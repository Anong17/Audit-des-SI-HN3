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jiank\OneDrive\Bureau\"/>
    </mc:Choice>
  </mc:AlternateContent>
  <xr:revisionPtr revIDLastSave="0" documentId="8_{B2580443-0A3B-4693-B81E-2D82FFED3FE0}" xr6:coauthVersionLast="47" xr6:coauthVersionMax="47" xr10:uidLastSave="{00000000-0000-0000-0000-000000000000}"/>
  <bookViews>
    <workbookView xWindow="-110" yWindow="-110" windowWidth="19420" windowHeight="11020" activeTab="5" xr2:uid="{00000000-000D-0000-FFFF-FFFF00000000}"/>
  </bookViews>
  <sheets>
    <sheet name="4.1" sheetId="1" r:id="rId1"/>
    <sheet name="4.2" sheetId="4" r:id="rId2"/>
    <sheet name="4.3" sheetId="3" r:id="rId3"/>
    <sheet name="4.4" sheetId="5" r:id="rId4"/>
    <sheet name="4.5" sheetId="8" r:id="rId5"/>
    <sheet name="4.6" sheetId="9" r:id="rId6"/>
    <sheet name="synthèse" sheetId="10" r:id="rId7"/>
    <sheet name="COSO" sheetId="2" r:id="rId8"/>
  </sheets>
  <externalReferences>
    <externalReference r:id="rId9"/>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 i="10" l="1"/>
  <c r="G12" i="10" s="1"/>
  <c r="H12" i="10" s="1"/>
  <c r="E12" i="10"/>
  <c r="D12" i="10"/>
  <c r="F11" i="10"/>
  <c r="E11" i="10"/>
  <c r="D11" i="10"/>
  <c r="F10" i="10"/>
  <c r="E10" i="10"/>
  <c r="D10" i="10"/>
  <c r="G10" i="10" s="1"/>
  <c r="H10" i="10" s="1"/>
  <c r="F9" i="10"/>
  <c r="E9" i="10"/>
  <c r="D9" i="10"/>
  <c r="G9" i="10" s="1"/>
  <c r="F8" i="10"/>
  <c r="E8" i="10"/>
  <c r="D8" i="10"/>
  <c r="G7" i="10"/>
  <c r="H7" i="10" s="1"/>
  <c r="F7" i="10"/>
  <c r="E7" i="10"/>
  <c r="D7" i="10"/>
  <c r="F6" i="10"/>
  <c r="F13" i="10" s="1"/>
  <c r="E6" i="10"/>
  <c r="E13" i="10" s="1"/>
  <c r="D6" i="10"/>
  <c r="H9" i="10" l="1"/>
  <c r="D13" i="10"/>
  <c r="G6" i="10"/>
  <c r="G11" i="10"/>
  <c r="H11" i="10" s="1"/>
  <c r="G8" i="10"/>
  <c r="H8" i="10" s="1"/>
  <c r="G13" i="10" l="1"/>
  <c r="H13" i="10" s="1"/>
  <c r="H6" i="10"/>
</calcChain>
</file>

<file path=xl/sharedStrings.xml><?xml version="1.0" encoding="utf-8"?>
<sst xmlns="http://schemas.openxmlformats.org/spreadsheetml/2006/main" count="24541" uniqueCount="18410">
  <si>
    <t>Organisation</t>
  </si>
  <si>
    <t>Application</t>
  </si>
  <si>
    <t>Adéquation de l'application aux besoins</t>
  </si>
  <si>
    <t>Performance et de la rentabilité</t>
  </si>
  <si>
    <t>Evolutivité/pérennité de l'application</t>
  </si>
  <si>
    <t>S’assurer de l’existence d'un comité informatique</t>
  </si>
  <si>
    <t>S’assurer qu’une analyse des risques a été réalisée</t>
  </si>
  <si>
    <t>S’assurer que le prolongement de l'analyse de risque et de son expansion ont été réalisés</t>
  </si>
  <si>
    <t>S’assurer que l’analyse et évaluation du niveau de sensibilité a été réalisée</t>
  </si>
  <si>
    <t>Vérifier l’existence de procédures formalisées</t>
  </si>
  <si>
    <t>S’assurer de l’existence et de la mise à disposition du compte rendu mensuel au propriétaire</t>
  </si>
  <si>
    <t>S’assurer qu’une procédure de gestion des profils utilisateurs existe</t>
  </si>
  <si>
    <t>Vérifier qu’un mot de passe est associé à l'identifiant</t>
  </si>
  <si>
    <t>S’assurer que les tentatives de connexions infructueuses à l'application sont suivies</t>
  </si>
  <si>
    <t>Vérifier l’existence de pistes d’audit sur le système d’administration de l’application</t>
  </si>
  <si>
    <t>Vérifier que les opérations effectuées sur des données sensibles sont suivies</t>
  </si>
  <si>
    <t>S’assurer de la conservation de toutes les données rejetées</t>
  </si>
  <si>
    <t>Vérifier que la mise à jour des données sensibles est suivie</t>
  </si>
  <si>
    <t>S’assurer que la journalisation des mises à jour est effective</t>
  </si>
  <si>
    <t>Vérifier l’existence des contrôles automatiques périodiques</t>
  </si>
  <si>
    <t>S’assurer que la distribution des états de sortie est effective</t>
  </si>
  <si>
    <t>S’assurer que la documentation de l'application est effective</t>
  </si>
  <si>
    <t>S’assurer de l’existence de la documentation d'exploitation</t>
  </si>
  <si>
    <t>S’assurer de l’existence et l’application d’un Contrat de Service</t>
  </si>
  <si>
    <t>Vérifier que les sauvegardes sont effectives</t>
  </si>
  <si>
    <t>S’assurer que des tests et mises à jour du plan sont effectifs</t>
  </si>
  <si>
    <t>Vérifier qu’une évaluation de la rentabilité existe</t>
  </si>
  <si>
    <t>S’assurer qu’un bilan post-projet a été réalisé</t>
  </si>
  <si>
    <t>Vérifier que les processus métiers ont été pris en compte</t>
  </si>
  <si>
    <t>Vérifier que l’architecture technique est prise en compte</t>
  </si>
  <si>
    <t>Vérifier que les technologies utilisées sont matures</t>
  </si>
  <si>
    <t>S’assurer que l’application est modulaire et adaptable</t>
  </si>
  <si>
    <t>Vérifier que l’entité est membre d’un club utilisateurs</t>
  </si>
  <si>
    <t>Vérifier que les montées de versions sont suivies</t>
  </si>
  <si>
    <t>Critères d'évaluation</t>
  </si>
  <si>
    <t>Existence d'un comité informatique</t>
  </si>
  <si>
    <t>Le Comité est présidé par le Directeur Général</t>
  </si>
  <si>
    <t>Il existe une politique relative aux applications au sein de l'institution</t>
  </si>
  <si>
    <t>La politique est largement diffusée</t>
  </si>
  <si>
    <t>La politique est mise en œuvre</t>
  </si>
  <si>
    <t>La politique couvre l'ensemble du cycle de vie de l’application</t>
  </si>
  <si>
    <t>La politique préconise l'attribution formelle de responsabilités aux utilisateurs du système (application)</t>
  </si>
  <si>
    <t>Le rôle et les responsabilités des utilisateurs vis-à-vis de l’application couvrent la définition des besoins de sécurité</t>
  </si>
  <si>
    <t>Le rôle et les responsabilités des utilisateurs vis-à-vis de l’application couvrent la gestion des changements et des évolutions</t>
  </si>
  <si>
    <t>Une analyse des risques spécifique à l’application a été réalisée</t>
  </si>
  <si>
    <t>Un ou des manuels pour l’application existe</t>
  </si>
  <si>
    <t>Le manuel est à jour</t>
  </si>
  <si>
    <t>Le manuel est maitrisé</t>
  </si>
  <si>
    <t>Le manuel comprend un mode d'emploi</t>
  </si>
  <si>
    <t>Le manuel comprend des droits d’accès</t>
  </si>
  <si>
    <t>L'administration est bien assurée par les utilisateurs</t>
  </si>
  <si>
    <t>Le compte rendu respecte le contrat du service</t>
  </si>
  <si>
    <t>Il existe un guide utilisateurs / manuel de procédures</t>
  </si>
  <si>
    <t>Le manuel est diffusé</t>
  </si>
  <si>
    <t>Le manuel comprend le mode d’emploi de l'application</t>
  </si>
  <si>
    <t>Aligner les KPI sur les objectifs métiers</t>
  </si>
  <si>
    <t>Réviser annuellement les indicateurs clés</t>
  </si>
  <si>
    <t>Non-respect des standards</t>
  </si>
  <si>
    <t>Elevée</t>
  </si>
  <si>
    <t>Non-respect des standards opérationnels</t>
  </si>
  <si>
    <t>Guide des bonnes pratiques</t>
  </si>
  <si>
    <t>Automatiser les contrôles de conformité</t>
  </si>
  <si>
    <t>Auditer régulièrement le respect des standards</t>
  </si>
  <si>
    <t>Formation insuffisante sur les optimisations</t>
  </si>
  <si>
    <t>Module pédagogique d'optimisation</t>
  </si>
  <si>
    <t>OUI</t>
  </si>
  <si>
    <t>Des modules pédagogiques aident-ils à l'optimisation des dispositifs ?</t>
  </si>
  <si>
    <t>Des formations sont dispensées aux responsables pour leur permettre d’adapter et d’optimiser les dispositifs de contrôle interne</t>
  </si>
  <si>
    <t>Certifier les compétences sur les nouveaux processus</t>
  </si>
  <si>
    <t>Former spécifiquement aux nouvelles optimisations</t>
  </si>
  <si>
    <t>Priorisation défaillante des actions</t>
  </si>
  <si>
    <t>Priorisation inefficace des actions correctives</t>
  </si>
  <si>
    <t>Liste des actions priorisées</t>
  </si>
  <si>
    <t>Affecter des ressources dédiées aux actions critiques</t>
  </si>
  <si>
    <t>Utiliser une matrice impact/urgence pour prioriser</t>
  </si>
  <si>
    <t>Recommandations non appliquées</t>
  </si>
  <si>
    <t>Préconisations non appliquées ou retardées</t>
  </si>
  <si>
    <t>Feuille de route des préconisations</t>
  </si>
  <si>
    <t>Les préconisations sont-elles intégrées dans les feuilles de route opérationnelles ?</t>
  </si>
  <si>
    <t>Les recommandations issues des évaluations sont suivies et intégrées dans les plans d’action des équipes responsables</t>
  </si>
  <si>
    <t>Publier trimestriellement le taux d'application</t>
  </si>
  <si>
    <t>Mettre en place un suivi des recommandations</t>
  </si>
  <si>
    <t>Pistes d'amélioration non utilisées</t>
  </si>
  <si>
    <t>Pistes d'amélioration non exploitées</t>
  </si>
  <si>
    <t>Registre des pistes d'amélioration</t>
  </si>
  <si>
    <t>Prioriser les améliorations par impact</t>
  </si>
  <si>
    <t>Créer un registre des pistes d'amélioration</t>
  </si>
  <si>
    <t>Revues périodiques superficielles</t>
  </si>
  <si>
    <t>Revues périodiques reportées ou superficielles</t>
  </si>
  <si>
    <t>Plan de revues périodiques</t>
  </si>
  <si>
    <t>Des revues périodiques analysent-elles les résultats et pistes d'amélioration ?</t>
  </si>
  <si>
    <t>Des réunions périodiques sont organisées pour discuter des résultats des évaluations et des mesures d’amélioration</t>
  </si>
  <si>
    <t>Imposer des plans d'action post-revue</t>
  </si>
  <si>
    <t>Renforcer la qualité des revues périodiques</t>
  </si>
  <si>
    <t>Processus décisionnel opaque</t>
  </si>
  <si>
    <t>Circuit décisionnel ralenti ou opaque</t>
  </si>
  <si>
    <t>Circuit formel de reporting décisionnel</t>
  </si>
  <si>
    <t>Publier les comptes-rendus de décision</t>
  </si>
  <si>
    <t>Documenter le processus décisionnel</t>
  </si>
  <si>
    <t>Diffusion partielle des résultats</t>
  </si>
  <si>
    <t>Diffusion incomplète ou tardive des résultats</t>
  </si>
  <si>
    <t>registre de diffusion des résultats</t>
  </si>
  <si>
    <t>Un circuit formel diffuse-t-il les résultats d'évaluation aux décideurs ?</t>
  </si>
  <si>
    <t>Un processus formalisé est en place pour la communication des résultats des évaluations aux responsables concernés</t>
  </si>
  <si>
    <t>Centraliser les rapports dans un portail unique</t>
  </si>
  <si>
    <t>Standardiser la diffusion des résultats</t>
  </si>
  <si>
    <t>Participation insuffisante aux revues</t>
  </si>
  <si>
    <t>Participation insuffisante aux revues qualité</t>
  </si>
  <si>
    <t>Rapport de participation aux revues</t>
  </si>
  <si>
    <t>Lier la participation aux objectifs individuels</t>
  </si>
  <si>
    <t>Rendre obligatoire la participation aux revues</t>
  </si>
  <si>
    <t>Calendrier des contributions non respecté</t>
  </si>
  <si>
    <t>Calendrier non respecté pour les contributions</t>
  </si>
  <si>
    <t>Calendrier des contributions responsables</t>
  </si>
  <si>
    <t>Les responsables contribuent-ils activement aux revues de contrôle ?</t>
  </si>
  <si>
    <t>Les responsables des composantes du contrôle interne participent activement aux revues et audits des contrôles internes</t>
  </si>
  <si>
    <t>S’assurer que les responsables des composantes du contrôle
 interne sont impliqués dans les évaluations et qu'ils sont informés
 des résultats afin de pouvoir apporter des améliorations lorsque cela
 est nécessaire</t>
  </si>
  <si>
    <t>Automatiser les rappels pour les échéances</t>
  </si>
  <si>
    <t>Publier un calendrier contraignant des contributions</t>
  </si>
  <si>
    <t>Mauvaise utilisation des feedbacks</t>
  </si>
  <si>
    <t>Moyenne</t>
  </si>
  <si>
    <t>Mauvais usage des retours utilisateurs</t>
  </si>
  <si>
    <t>Guide d'exploitation des feedbacks</t>
  </si>
  <si>
    <t>Former les équipes à l'analyse des retours</t>
  </si>
  <si>
    <t>Optimiser l'utilisation des feedbacks</t>
  </si>
  <si>
    <t>Retours terrains ignorés</t>
  </si>
  <si>
    <t>Retours terrains non pris en compte</t>
  </si>
  <si>
    <t>Liste des retours terrains intégrés</t>
  </si>
  <si>
    <t>Les retours terrains internes/externes nourrissent-ils les évaluations ad hoc ?</t>
  </si>
  <si>
    <t>Les évaluations ponctuelles prennent en compte les retours d’expérience et recommandations des parties prenantes internes et externes</t>
  </si>
  <si>
    <t>Implémenter un système de suivi des actions</t>
  </si>
  <si>
    <t>Analyser systématiquement les retours terrains</t>
  </si>
  <si>
    <t>Ajustements non documentés</t>
  </si>
  <si>
    <t>Ajustements non documentés ou non conformes</t>
  </si>
  <si>
    <t>Registre des ajustements opérationnels</t>
  </si>
  <si>
    <t>Mettre en place un registre des modifications</t>
  </si>
  <si>
    <t>Documenter tous les ajustements opérationnels</t>
  </si>
  <si>
    <t>Surveillance inefficace des données</t>
  </si>
  <si>
    <t>Surveillance inefficace des données critiques</t>
  </si>
  <si>
    <t>Fiche de monitoring des registres</t>
  </si>
  <si>
    <t>Un monitoring évalue-t-il l'ajustement des registres post-évolution ?</t>
  </si>
  <si>
    <t>Un suivi est mis en place pour évaluer l’adaptation des registres de contrôle après chaque évolution importante</t>
  </si>
  <si>
    <t>Configurer des alertes sur anomalies données</t>
  </si>
  <si>
    <t>Déployer des outils de monitoring continu</t>
  </si>
  <si>
    <t>Évaluation post-déploiement biaisée</t>
  </si>
  <si>
    <t>Évaluation biaisée après implémentation</t>
  </si>
  <si>
    <t>Rapport d'évaluation post-déploiement</t>
  </si>
  <si>
    <t>Impliquer des utilisateurs finaux dans les tests</t>
  </si>
  <si>
    <t>Standardiser les évaluations post-déploiement</t>
  </si>
  <si>
    <t>Tests pré-production insuffisants</t>
  </si>
  <si>
    <t>Tests insuffisants avant mise en production</t>
  </si>
  <si>
    <t>Plan de stress tests pré-déploiement</t>
  </si>
  <si>
    <t>Des stress tests sont-ils conduits avant et après le déploiement de nouvelles solutions ?</t>
  </si>
  <si>
    <t>Des tests de robustesse des contrôles internes sont réalisés avant et après l’implémentation de nouvelles technologies ou processus</t>
  </si>
  <si>
    <t>Automatiser les tests régressifs</t>
  </si>
  <si>
    <t>Renforcer les tests pré-production</t>
  </si>
  <si>
    <t>Contrôles inadaptés aux nouveaux risques</t>
  </si>
  <si>
    <t>Contrôles non adaptés aux nouveaux risques</t>
  </si>
  <si>
    <t>Liste des adaptations de contrôles</t>
  </si>
  <si>
    <t>Auditer semestriellement l'adéquation des contrôles</t>
  </si>
  <si>
    <t>Adapter les contrôles aux nouveaux risques</t>
  </si>
  <si>
    <t>Mauvaise gestion des transformations</t>
  </si>
  <si>
    <t>Plan d'analyse des transformations</t>
  </si>
  <si>
    <t>L'impact des transformations sur les contrôles est-il systématiquement analysé ?</t>
  </si>
  <si>
    <t>Les impacts des transformations organisationnelles ou technologiques sur le contrôle interne sont systématiquement analysés</t>
  </si>
  <si>
    <t>Former les managers au change management</t>
  </si>
  <si>
    <t>Élaborer un plan de gestion du changement</t>
  </si>
  <si>
    <t>Sous-estimation des impacts des changements</t>
  </si>
  <si>
    <t>Rapport d'impact des changements</t>
  </si>
  <si>
    <t>Impliquer les experts métiers dans les évaluations</t>
  </si>
  <si>
    <t>Réaliser des analyses d'impact préalables</t>
  </si>
  <si>
    <t>Système d'alerte inéfficace</t>
  </si>
  <si>
    <t>Évaluations ponctuelles non documentées</t>
  </si>
  <si>
    <t>Registre des évaluations ad hoc</t>
  </si>
  <si>
    <t>Les changements majeurs déclenchent-ils des évaluations ad hoc ?</t>
  </si>
  <si>
    <t>Un processus formel est défini pour déclencher une évaluation du contrôle interne en cas de changement majeur</t>
  </si>
  <si>
    <t>Vérifier que des évaluations ponctuelles sont réalisées lors de
 changements importants (réorganisation, introduction de nouvelles
 technologies, etc) pour s’assurer que les composantes du contrôle
 interne restent adaptées et efficaces dans ces nouveaux contextes</t>
  </si>
  <si>
    <t>Centraliser les preuves d'évaluation</t>
  </si>
  <si>
    <t>Documenter systématiquement les évaluations</t>
  </si>
  <si>
    <t>Système d'alerte inefficace</t>
  </si>
  <si>
    <t>Guide d'alerte précoce</t>
  </si>
  <si>
    <t>Tester mensuellement le système d'alerte</t>
  </si>
  <si>
    <t>Configurer un système d'alerte multicanal</t>
  </si>
  <si>
    <t>Détection tardive des dérives</t>
  </si>
  <si>
    <t>Détection tardive des dérives opérationnelles</t>
  </si>
  <si>
    <t>Fiche de surveillance des dérives</t>
  </si>
  <si>
    <t>Un dispositif alerte-t-il sur les dérives constatées ?</t>
  </si>
  <si>
    <t>Un système d’alerte est mis en place pour signaler les écarts ou dysfonctionnements détectés au cours des évaluations</t>
  </si>
  <si>
    <t>Tester annuellement les scénarios critiques</t>
  </si>
  <si>
    <t>Enrichir la bibliothèque de scénarios types</t>
  </si>
  <si>
    <t>Scénarios risques incomplets</t>
  </si>
  <si>
    <t>Scénarios risques incomplets ou irréalistes</t>
  </si>
  <si>
    <t>Liste des scénarios risques</t>
  </si>
  <si>
    <t>Organiser des ateliers risques semestriels</t>
  </si>
  <si>
    <t>Développer des scénarios risques prospectifs</t>
  </si>
  <si>
    <t>Anticipation insuffisante des risques</t>
  </si>
  <si>
    <t>Anticipation insuffisante des risques futurs</t>
  </si>
  <si>
    <t>Plan d'analyse prospective</t>
  </si>
  <si>
    <t>Les analyses prospectives enrichissent-elles les évaluations ?</t>
  </si>
  <si>
    <t>Les évaluations continues du contrôle interne intègrent des analyses de tendances et des benchmarks sectoriels</t>
  </si>
  <si>
    <t>Diversifier les méthodes d'audit</t>
  </si>
  <si>
    <t>Former les auditeurs aux meilleures pratiques</t>
  </si>
  <si>
    <t>Méthodologie d'audit inappropriée</t>
  </si>
  <si>
    <t>Méthodologie d'audit inadaptée</t>
  </si>
  <si>
    <t>Guide d'audit des contrôles</t>
  </si>
  <si>
    <t>Affecter des responsables par processus</t>
  </si>
  <si>
    <t>Planifier des revues processus trimestrielles</t>
  </si>
  <si>
    <t>Revues processus non réalisées à temps</t>
  </si>
  <si>
    <t>Revues processus non effectuées à temps</t>
  </si>
  <si>
    <t>Calendrier des revues processus</t>
  </si>
  <si>
    <t>Les processus de contrôle font-ils l'objet de revues systématiques ?</t>
  </si>
  <si>
    <t>Des revues périodiques des processus de contrôle interne sont réalisées par les équipes concernées</t>
  </si>
  <si>
    <t>Implémenter des contrôles qualité des données</t>
  </si>
  <si>
    <t>Automatiser la génération des rapports</t>
  </si>
  <si>
    <t>Reporting inexact ou incomplet</t>
  </si>
  <si>
    <t>Rapport mensuel de performance</t>
  </si>
  <si>
    <t>Aligner les indicateurs sur les objectifs stratégiques</t>
  </si>
  <si>
    <t>Adapter les métriques aux processus critiques</t>
  </si>
  <si>
    <t>Métriques de surveillance inadaptées</t>
  </si>
  <si>
    <t>Métriques de surveillance non pertinentes</t>
  </si>
  <si>
    <t>Registre des métriques de contrôle</t>
  </si>
  <si>
    <t>Des métriques mesurent-elles la performance des contrôles ?</t>
  </si>
  <si>
    <t>Des indicateurs de performance et de suivi des contrôles internes sont définis et régulièrement actualisés</t>
  </si>
  <si>
    <t>Former les équipes aux nouveaux référentiels</t>
  </si>
  <si>
    <t>Mettre à jour semestriellement les référentiels</t>
  </si>
  <si>
    <t>Référentiels de contrôle obsolètes</t>
  </si>
  <si>
    <t>Liste des référentiels contrôle interne</t>
  </si>
  <si>
    <t>Standardiser les grilles d'évaluation</t>
  </si>
  <si>
    <t>Établir un calendrier d'évaluation trimestriel</t>
  </si>
  <si>
    <t>Évaluations irrégulières ou superficielles</t>
  </si>
  <si>
    <t>Plan d'évaluation permanente</t>
  </si>
  <si>
    <t>L'évaluation permanente du contrôle interne est-elle institutionnalisée ?</t>
  </si>
  <si>
    <t>Un programme d’évaluation continue du contrôle interne est formalisé et mis en œuvre</t>
  </si>
  <si>
    <t>S’assurer que l’organisation met en place des processus
 d’évaluation continue pour surveiller l’efficacité des composantes
 du contrôle interne de manière régulière et systématique</t>
  </si>
  <si>
    <t>Automatiser les rapports d'anomalies hebdomadaires</t>
  </si>
  <si>
    <t>Développer des tableaux de bord temps réel</t>
  </si>
  <si>
    <t>Suivi inefficace des indicateurs clés</t>
  </si>
  <si>
    <t>Suivi inefficace des KPI clés</t>
  </si>
  <si>
    <t>Guide de gestion des indicateurs critiques</t>
  </si>
  <si>
    <t>Déployer des outils de détection précoce</t>
  </si>
  <si>
    <t>Configurer des alertes automatiques sur indicateurs clés</t>
  </si>
  <si>
    <t>Détection tardive des anomalies majeures</t>
  </si>
  <si>
    <t>Détection tardive des anomalies critiques</t>
  </si>
  <si>
    <t>Rapport d'alerte sur anomalies</t>
  </si>
  <si>
    <t>NON</t>
  </si>
  <si>
    <t>Des alertes identifient-elles les anomalies dans les relations tierces ?</t>
  </si>
  <si>
    <t>Des mécanismes d’alerte sont définis pour détecter toute anomalie dans la communication ou la gestion des engagements des tiers</t>
  </si>
  <si>
    <t>Utiliser des logs horodatés pour toutes les communications</t>
  </si>
  <si>
    <t>Implémenter un système de traçabilité des échanges</t>
  </si>
  <si>
    <t>Rupture de la traçabilité des communications</t>
  </si>
  <si>
    <t>Faible</t>
  </si>
  <si>
    <t>Fiche de traçabilité des correspondances</t>
  </si>
  <si>
    <t>Sauvegarder automatiquement toutes les communications</t>
  </si>
  <si>
    <t>Normaliser les protocoles d'échange d'information</t>
  </si>
  <si>
    <t>Pertes d'informations dans les échanges</t>
  </si>
  <si>
    <t>Registre des échanges avec les tiers</t>
  </si>
  <si>
    <t>La traçabilité des échanges avec les tiers est-elle assurée ?</t>
  </si>
  <si>
    <t>Les échanges avec les tiers font l’objet d’un suivi et de comptes rendus réguliers pour assurer la transparence</t>
  </si>
  <si>
    <t>Mettre en place des boucles de feedback mensuelles</t>
  </si>
  <si>
    <t>Centraliser les remontées terrains dans un système unique</t>
  </si>
  <si>
    <t>Retours terrains non exploités</t>
  </si>
  <si>
    <t>Retours d'expérience non valorisés</t>
  </si>
  <si>
    <t>Liste des retours partenaires exploitables</t>
  </si>
  <si>
    <t>Imposer des analyses post-incident obligatoires</t>
  </si>
  <si>
    <t>Créer une base de connaissances des incidents fournisseurs</t>
  </si>
  <si>
    <t>Non-utilisation des retours d'expérience</t>
  </si>
  <si>
    <t>Non-exploitation des leçons apprises</t>
  </si>
  <si>
    <t>Plan de capitalisation des RETEX</t>
  </si>
  <si>
    <t>Capitalise-t-on sur les retours d'expérience avec les partenaires ?</t>
  </si>
  <si>
    <t>Un mécanisme de retour d’expérience est instauré pour identifier les points d’amélioration des échanges avec les tiers</t>
  </si>
  <si>
    <t>Actualiser mensuellement la matrice risques fournisseurs</t>
  </si>
  <si>
    <t>Utiliser des outils de cartographie dynamique des risques</t>
  </si>
  <si>
    <t>Cartographie des risques imprécise</t>
  </si>
  <si>
    <t>Cartographie des risques inexacte ou incomplète</t>
  </si>
  <si>
    <t>Guide d'alimentation de la cartographie</t>
  </si>
  <si>
    <t>Automatiser la collecte des données fournisseurs</t>
  </si>
  <si>
    <t>Standardiser les modèles de reporting fournisseurs</t>
  </si>
  <si>
    <t>Reporting incomplet sur les risques fournisseurs</t>
  </si>
  <si>
    <t>Rapport d'intégration des risques tiers</t>
  </si>
  <si>
    <t>Les interactions avec les tiers nourrissent-elles la cartographie des risques ?</t>
  </si>
  <si>
    <t>Les résultats des interactions avec les tiers sont pris en compte dans l’actualisation des cartographies des risques</t>
  </si>
  <si>
    <t>Aligner les indicateurs sur les engagements stratégiques</t>
  </si>
  <si>
    <t>Développer des tableaux de bord de suivi contractuel</t>
  </si>
  <si>
    <t>Retards dans les contrôles réguliers</t>
  </si>
  <si>
    <t>Retards dans les contrôles périodiques</t>
  </si>
  <si>
    <t>Calendrier des vérifications documentaires</t>
  </si>
  <si>
    <t>Lier les indicateurs aux objectifs qualité</t>
  </si>
  <si>
    <t>Mettre en place des KPI de qualité documentaire</t>
  </si>
  <si>
    <t>Validations non tracées ou expirées</t>
  </si>
  <si>
    <t>Validations non documentées ou expirées</t>
  </si>
  <si>
    <t>Registre des validations d'informations</t>
  </si>
  <si>
    <t>La crédibilité des informations transmises aux tiers est-elle validée ?</t>
  </si>
  <si>
    <t>Un processus de validation est en place pour garantir la fiabilité des informations partagées avec les tiers</t>
  </si>
  <si>
    <t>Vérifier que les résultats des échanges avec les tiers sont
 documentés et intégrés dans le système de gestion des risques, afin
 d’assurer que le contrôle interne reste efficace face aux risques
 externes</t>
  </si>
  <si>
    <t>Automatiser la génération des rapports de contrôle</t>
  </si>
  <si>
    <t>Planifier un calendrier de contrôles réguliers</t>
  </si>
  <si>
    <t>Vérifications d'habilitation non fiables</t>
  </si>
  <si>
    <t>Fiche de contrôle des habilitations</t>
  </si>
  <si>
    <t>Implémenter des alertes sur validations expirées</t>
  </si>
  <si>
    <t>Digitaliser les processus de validation</t>
  </si>
  <si>
    <t>Accès non revoqués</t>
  </si>
  <si>
    <t>Accès excessifs ou non révoqués</t>
  </si>
  <si>
    <t>Liste des accès tiers autorisés</t>
  </si>
  <si>
    <t>L'accès des tiers aux systèmes est-il strictement contrôlé ?</t>
  </si>
  <si>
    <t>Les accès aux données et aux systèmes d’information par les tiers sont contrôlés et limités selon le principe du moindre privilège</t>
  </si>
  <si>
    <t>Introduire des contrôles biométriques pour les accès sensibles</t>
  </si>
  <si>
    <t>Renforcer les processus de vérification d'habilitation</t>
  </si>
  <si>
    <t>Traitement incohérent des écarts</t>
  </si>
  <si>
    <t>Traitement incohérent des non-conformités</t>
  </si>
  <si>
    <t>Protocole de traitement des écarts</t>
  </si>
  <si>
    <t>Synchroniser avec les processus RH</t>
  </si>
  <si>
    <t>Automatiser la révocation des accès</t>
  </si>
  <si>
    <t>Procédures de crise inefficaces</t>
  </si>
  <si>
    <t>Procédures de crise inefficaces ou méconnues</t>
  </si>
  <si>
    <t>Plan de gestion des incidents tiers</t>
  </si>
  <si>
    <t>La gestion des incidents impliquant des tiers est-elle formalisée ?</t>
  </si>
  <si>
    <t>Des registres de gestion des incidents de sécurité impliquant des tiers sont établies et testées régulièrement</t>
  </si>
  <si>
    <t>Documenter systématiquement les corrections</t>
  </si>
  <si>
    <t>Standardiser les procédures de traitement des écarts</t>
  </si>
  <si>
    <t>Références réglementaires périmées</t>
  </si>
  <si>
    <t>Références réglementaires obsolètes</t>
  </si>
  <si>
    <t>Référentiel de conformité réglementaire</t>
  </si>
  <si>
    <t>Mettre à jour les scénarios post-test</t>
  </si>
  <si>
    <t>Tester trimestriellement les procédures de crise</t>
  </si>
  <si>
    <t>Non-respect des engagements contractuels</t>
  </si>
  <si>
    <t>Engagements contractuels non respectés</t>
  </si>
  <si>
    <t>Charte relations fournisseurs</t>
  </si>
  <si>
    <t>Le cadre réglementaire s'impose-t-il aux relations avec les tiers ?</t>
  </si>
  <si>
    <t>Un cadre de conformité réglementaire est défini pour s’assurer du respect des lois sur la protection des données et la cybersécurité</t>
  </si>
  <si>
    <t>Affecter des responsables conformité</t>
  </si>
  <si>
    <t>Mettre en place une veille réglementaire active</t>
  </si>
  <si>
    <t>Analyse superficielle des risques data</t>
  </si>
  <si>
    <t>Grille d'analyse des risques données</t>
  </si>
  <si>
    <t>Générer des alertes sur les manquements</t>
  </si>
  <si>
    <t>Automatiser le suivi des engagements contractuels</t>
  </si>
  <si>
    <t>Mauvaise identification des tiers critiques</t>
  </si>
  <si>
    <t>Identification erronée des tiers critiques</t>
  </si>
  <si>
    <t>registre d'évaluation des tiers sensibles</t>
  </si>
  <si>
    <t>Les tiers accédant à des données sensibles sont-ils évalués ?</t>
  </si>
  <si>
    <t>Les tiers ayant accès à des informations sensibles sont soumis à des évaluations préalables et régulières de leur sécurité</t>
  </si>
  <si>
    <t>Nommer des responsables data par domaine</t>
  </si>
  <si>
    <t>Approfondir les analyses via des outils spécialisés</t>
  </si>
  <si>
    <t>Violation des clauses de confidentialité</t>
  </si>
  <si>
    <t>Violation des obligations contractuelles de confidentialité</t>
  </si>
  <si>
    <t>Clause de confidentialité standard</t>
  </si>
  <si>
    <t>Adapter les contrôles selon le niveau de risque</t>
  </si>
  <si>
    <t>Établir une classification des tiers par criticité</t>
  </si>
  <si>
    <t>Fuite d'informations sensibles</t>
  </si>
  <si>
    <t>Divulgation non autorisée d'informations sensibles</t>
  </si>
  <si>
    <t>Annexe confidentielle type</t>
  </si>
  <si>
    <t>La confidentialité des données partagées est-elle garantie contractuellement ?</t>
  </si>
  <si>
    <t>Des clauses de confidentialité et de protection des données sont intégrées aux contrats avec les tiers</t>
  </si>
  <si>
    <t>S’assurer que des mesures sont mises en place pour gérer les
 risques associés à la communication avec les tiers, notamment en
 termes de confidentialité, de conformité aux réglementations et de
 protection des données sensibles</t>
  </si>
  <si>
    <t>Former systématiquement sur les engagements</t>
  </si>
  <si>
    <t>Auditer les clauses de confidentialité annuellement</t>
  </si>
  <si>
    <t>Vision incomplète des risques</t>
  </si>
  <si>
    <t>Vision partielle ou biaisée des expositions</t>
  </si>
  <si>
    <t>Rapport d'intégration des risques</t>
  </si>
  <si>
    <t>Implémenter des solutions de DLP (Data Loss Prevention)</t>
  </si>
  <si>
    <t>Renforcer les contrôles d'accès aux données sensibles</t>
  </si>
  <si>
    <t>Méthodes d'évaluation subjectives</t>
  </si>
  <si>
    <t>Méthode d'évaluation subjective ou non actualisée</t>
  </si>
  <si>
    <t>Méthodologie d'évaluation des risques tiers</t>
  </si>
  <si>
    <t>Les évaluations des tiers sont-elles intégrées au système de risque ?</t>
  </si>
  <si>
    <t>Les résultats des évaluations des tiers sont documentés et intégrés dans le processus global de gestion des risques</t>
  </si>
  <si>
    <t>Intégrer des scénarios prospectifs</t>
  </si>
  <si>
    <t>Enrichir la cartographie des risques mensuellement</t>
  </si>
  <si>
    <t>Traçabilité insuffisante des problèmes fournisseurs</t>
  </si>
  <si>
    <t>Absence de traçabilité des défaillances fournisseurs</t>
  </si>
  <si>
    <t>Registre des écarts fournisseurs</t>
  </si>
  <si>
    <t>Former les évaluateurs aux biais cognitifs</t>
  </si>
  <si>
    <t>Développer des grilles d'évaluation objectives</t>
  </si>
  <si>
    <t>Sous-déclaration des écarts</t>
  </si>
  <si>
    <t>Sous-déclaration des non-conformités</t>
  </si>
  <si>
    <t>document de signalement des manquements</t>
  </si>
  <si>
    <t>Un dispositif signale-t-il les manquements des partenaires ?</t>
  </si>
  <si>
    <t>Un processus de remontée des incidents liés au non-respect des engagements des tiers est défini et appliqué</t>
  </si>
  <si>
    <t>Implémenter des analyses de tendances</t>
  </si>
  <si>
    <t>Améliorer la traçabilité via un système centralisé</t>
  </si>
  <si>
    <t>Contrôles partiels ou non standardisés</t>
  </si>
  <si>
    <t>Contrôles incomplets ou non standardisés</t>
  </si>
  <si>
    <t>Checklist de vérification de conformité</t>
  </si>
  <si>
    <t>Sanctionner les omissions répétées</t>
  </si>
  <si>
    <t>Mettre en place un système de déclaration obligatoire</t>
  </si>
  <si>
    <t>Audits non représentatifs</t>
  </si>
  <si>
    <t>Couverture d'audit insuffisante ou non représentative</t>
  </si>
  <si>
    <t>Programme annuel d'audit des tiers</t>
  </si>
  <si>
    <t>La conformité des tiers est-elle vérifiée périodiquement ?</t>
  </si>
  <si>
    <t>Des audits ou revues de conformité des tiers sont réalisés périodiquement pour évaluer le respect des engagements</t>
  </si>
  <si>
    <t>Automatiser les contrôles récurrents</t>
  </si>
  <si>
    <t>Standardiser les protocoles de contrôle</t>
  </si>
  <si>
    <t>Évaluation biaisée des performances</t>
  </si>
  <si>
    <t>Evaluation des performances biaisées</t>
  </si>
  <si>
    <t>Grille d'évaluation des performances</t>
  </si>
  <si>
    <t>Impliquer des auditeurs externes ponctuellement</t>
  </si>
  <si>
    <t>Défaillance dans le suivi des obligations</t>
  </si>
  <si>
    <t>Suivi des obligations défaillant</t>
  </si>
  <si>
    <t>Tableau de bord de suivi des obligations</t>
  </si>
  <si>
    <t>Le respect des obligations tierces fait-il l'objet de suivi ?</t>
  </si>
  <si>
    <t>Des indicateurs de suivi de la conformité des tiers sont mis en place et suivis régulièrement</t>
  </si>
  <si>
    <t>Croiser les données avec des sources externes</t>
  </si>
  <si>
    <t>Développer des indicateurs de performance objectifs</t>
  </si>
  <si>
    <t>Non-suivi des engagements contractuels</t>
  </si>
  <si>
    <t>Engagements contractuels non suivis</t>
  </si>
  <si>
    <t>Registre des engagements contractuels</t>
  </si>
  <si>
    <t>Générer des rapports d'avancement mensuels</t>
  </si>
  <si>
    <t>Implémenter un système de suivi des obligations</t>
  </si>
  <si>
    <t>Engagements tiers non contractualisés</t>
  </si>
  <si>
    <t>Engagements tiers non formalisés</t>
  </si>
  <si>
    <t>Contrat type avec engagements tiers</t>
  </si>
  <si>
    <t>Les engagements des tiers sont-ils contractualisés ?</t>
  </si>
  <si>
    <t>L'organisation dispose de contrats ou accors formels définissant les obligations des tiers en matière de contrôle interne</t>
  </si>
  <si>
    <t>Vérifier que des mécanismes de suivi et de contrôle sont en place
 pour s’assurer que les tiers respectent les engagements relatifs au
 contrôle interne, et que les résultats de cette coopération sont
 régulièrement évalués</t>
  </si>
  <si>
    <t>Évaluations continues et indépendantes</t>
  </si>
  <si>
    <t>Activités de Surveillance</t>
  </si>
  <si>
    <t>Automatiser les alertes d'échéance</t>
  </si>
  <si>
    <t>Centraliser les engagements dans un registre contractuel</t>
  </si>
  <si>
    <t>Mises à jour documentaires irrégulières</t>
  </si>
  <si>
    <t>Politique de mise à jour documentaire</t>
  </si>
  <si>
    <t>Configurer des alertes sur documents obsolètes</t>
  </si>
  <si>
    <t>Digitaliser le suivi des mises à jour</t>
  </si>
  <si>
    <t>Retard dans la révision des documents</t>
  </si>
  <si>
    <t>Révision des documents retardée</t>
  </si>
  <si>
    <t>Calendrier de révision des documents</t>
  </si>
  <si>
    <t>La révision des informations suit-elle l'évolution du contexte ?</t>
  </si>
  <si>
    <t>Les informations sont régulièrement mises à jour pour refléter les changements dans les opérations ou la réglementation de l’organisation</t>
  </si>
  <si>
    <t>Affecter des responsables par famille documentaire</t>
  </si>
  <si>
    <t>Planifier des revues documentaires trimestrielles</t>
  </si>
  <si>
    <t>Fiches techniques non standardisées</t>
  </si>
  <si>
    <t>Fiches synthétiques non standardisées</t>
  </si>
  <si>
    <t>Modèle type de fiche synthétique</t>
  </si>
  <si>
    <t>Standardiser les templates de fiches techniques</t>
  </si>
  <si>
    <t>Complexité excessive des synthèses</t>
  </si>
  <si>
    <t>Synthèse des documents complexe</t>
  </si>
  <si>
    <t>registre de synthèse des documents complexes</t>
  </si>
  <si>
    <t>Des synthèses accompagnent-elles les documents complexes ?</t>
  </si>
  <si>
    <t>Des guides ou des résumés exécutifs sont fournis lorsque cela est nécessaire pour faciliter la compréhension des informations complexes</t>
  </si>
  <si>
    <t>Former aux techniques de synthèse</t>
  </si>
  <si>
    <t>Imposer des normes de concision</t>
  </si>
  <si>
    <t>Glossaires incomplets</t>
  </si>
  <si>
    <t>Fiche des glossaires disponibles</t>
  </si>
  <si>
    <t>Intégrer des explications contextuelles</t>
  </si>
  <si>
    <t>Compléter et actualiser trimestriellement les glossaires</t>
  </si>
  <si>
    <t>Langage trop technique non simplifié</t>
  </si>
  <si>
    <t>Simplification linguistique non réalisée</t>
  </si>
  <si>
    <t>Plan de simplification linguistique</t>
  </si>
  <si>
    <t>Le langage employé est-il adapté à la compréhension des tiers ?</t>
  </si>
  <si>
    <t>Les informations sont rédigées dans un format clair et compréhensible pour les destinataires, en évitant le jargon ou les termes trop techniques</t>
  </si>
  <si>
    <t>Développer un glossaire interactif</t>
  </si>
  <si>
    <t>Former à la vulgarisation technique</t>
  </si>
  <si>
    <t>Absence de validation externe</t>
  </si>
  <si>
    <t>Validation externe absente</t>
  </si>
  <si>
    <t>Document de validation externe</t>
  </si>
  <si>
    <t>Benchmarker avec les meilleures pratiques sectorielles</t>
  </si>
  <si>
    <t>Solliciter des relectures par experts externes</t>
  </si>
  <si>
    <t>Filtres qualité inefficaces</t>
  </si>
  <si>
    <t>Registre des filtres qualité</t>
  </si>
  <si>
    <t>Un filtre qualité s'applique-t-il aux informations externes ?</t>
  </si>
  <si>
    <t>Des processus sont en place pour vérifier la pertinence et la précision des informations avant leur diffusion vers les parties externes</t>
  </si>
  <si>
    <t>Introduire des validations croisées</t>
  </si>
  <si>
    <t>Implémenter des filtres qualité automatisés</t>
  </si>
  <si>
    <t>Mauvaise adaptation aux parties prenantes</t>
  </si>
  <si>
    <t>Adaptation aux parties prenantes insuffisante</t>
  </si>
  <si>
    <t>Rapport d'adaptation aux parties prenantes</t>
  </si>
  <si>
    <t>Créer des personas pour chaque catégorie</t>
  </si>
  <si>
    <t>Adapter les supports aux spécificités des parties prenantes</t>
  </si>
  <si>
    <t>Incohérence dans les communications externes</t>
  </si>
  <si>
    <t>Communications externes incohérentes</t>
  </si>
  <si>
    <t>Liste des communications externes</t>
  </si>
  <si>
    <t>Les communications externes sont-elles spécifiquement adaptées ?</t>
  </si>
  <si>
    <t>Les informations partagées avec les tiers sont spécifiquement adaptées à leurs besoins et à leur niveau de compréhension</t>
  </si>
  <si>
    <t>S’assurer que les informations partagées avec les tiers sont
 pertinentes, complètes et compréhensibles, et qu’elles sont
 adaptées au rôle et aux besoins de chaque partie prenante externe</t>
  </si>
  <si>
    <t>Nommer des référents communication par domaine</t>
  </si>
  <si>
    <t>Développer des guidelines de communication unifiés</t>
  </si>
  <si>
    <t>Absence d'évaluation des contenus</t>
  </si>
  <si>
    <t>Évaluations de contenu non faites</t>
  </si>
  <si>
    <t>Calendrier des évaluations de contenu</t>
  </si>
  <si>
    <t>Former les évaluateurs à l'analyse objective</t>
  </si>
  <si>
    <t>Élaborer une grille d'évaluation standardisée</t>
  </si>
  <si>
    <t>Retards dans les révisions éditoriales</t>
  </si>
  <si>
    <t>Révisions éditoriales retardées</t>
  </si>
  <si>
    <t>Pièce des révisions éditoriales</t>
  </si>
  <si>
    <t>La pertinence des contenus diffusés est-elle périodiquement réévaluée ?</t>
  </si>
  <si>
    <t>Les informations partagées sont régulièrement évaluées pour s’assurer qu’elles sont toujours pertinentes et compréhensibles pour les destinataires</t>
  </si>
  <si>
    <t>Automatiser les alertes de révision</t>
  </si>
  <si>
    <t>Imposer des deadlines pour les révisions</t>
  </si>
  <si>
    <t>Modules pédagogiques non actualisés</t>
  </si>
  <si>
    <t>Modules pédagogiques non révisés</t>
  </si>
  <si>
    <t>Fiche des modules pédagogiques</t>
  </si>
  <si>
    <t>Mettre en place un cycle de mise à jour semestriel</t>
  </si>
  <si>
    <t>Créer un comité de révision pédagogique</t>
  </si>
  <si>
    <t>Formation continue insuffisante</t>
  </si>
  <si>
    <t>Formation continue négligée</t>
  </si>
  <si>
    <t>Plan de formation continue</t>
  </si>
  <si>
    <t>Des modules pédagogiques facilitent-ils l'appropriation des informations ?</t>
  </si>
  <si>
    <t>Des formations sont proposées pour garantir que les parties prenantes comprennent bien les informations partagées et leur rôle dans le contrôle interne</t>
  </si>
  <si>
    <t>Lier les évolutions de poste aux formations</t>
  </si>
  <si>
    <t>Établir un plan de formation continue obligatoire</t>
  </si>
  <si>
    <t>Droits d'accès trop larges</t>
  </si>
  <si>
    <t>Droits d'accès trop permissifs</t>
  </si>
  <si>
    <t>Document des droits d'accès</t>
  </si>
  <si>
    <t>Réviser semestriellement les droits</t>
  </si>
  <si>
    <t>Appliquer le principe du moindre privilège</t>
  </si>
  <si>
    <t>Profils utilisateurs non à jour</t>
  </si>
  <si>
    <t>Profils utilisateurs non actualisés</t>
  </si>
  <si>
    <t>Registre des profils utilisateurs</t>
  </si>
  <si>
    <t>Les processus garantissent-ils un accès différencié selon les profils ?</t>
  </si>
  <si>
    <t>Des processus sont mis en place pour garantir que les parties prenantes reçoivent les informations dans un format adapté à leurs besoins et à leur niveau de décision</t>
  </si>
  <si>
    <t>Synchroniser avec les RH mensuellement</t>
  </si>
  <si>
    <t>Automatiser les mises à jour de profils</t>
  </si>
  <si>
    <t>Non-application des matrices de compétences</t>
  </si>
  <si>
    <t>Matrice non appliquée</t>
  </si>
  <si>
    <t>Rapport d'application de la matrice</t>
  </si>
  <si>
    <t>Aligner les habilitations sur les évaluations annuelles</t>
  </si>
  <si>
    <t>Mettre en place un référentiel de compétences dynamique</t>
  </si>
  <si>
    <t>Flou dans l'attribution des responsabilités</t>
  </si>
  <si>
    <t>Responsabilités mal définies</t>
  </si>
  <si>
    <t>Liste des responsabilités définies</t>
  </si>
  <si>
    <t>La matrice des responsabilités guide-t-elle le partage d'information ?</t>
  </si>
  <si>
    <t>Les niveaux de responsabilité sont clairement définis et les informations sont partagées uniquement avec les parties concernées</t>
  </si>
  <si>
    <t>Lier les responsabilités aux objectifs individuels</t>
  </si>
  <si>
    <t>Publier un RACI mis à jour trimestriellement</t>
  </si>
  <si>
    <t>Contrôles d'accès inconstants</t>
  </si>
  <si>
    <t>Contrôles d'accès irréguliers</t>
  </si>
  <si>
    <t>Calendrier des contrôles d'accès</t>
  </si>
  <si>
    <t>Auditer trimestriellement les accès</t>
  </si>
  <si>
    <t>Implémenter un système de gestion des identités</t>
  </si>
  <si>
    <t>Non-respect des canaux de distribution</t>
  </si>
  <si>
    <t>Règles de distribution non respectées</t>
  </si>
  <si>
    <t>Pièce des règles de distribution</t>
  </si>
  <si>
    <t>La distribution d'information respecte-t-elle le principe de besoin de savoir ?</t>
  </si>
  <si>
    <t>Les informations sont filtrées et adaptées selon les rôles et responsabilités des différentes parties prenantes</t>
  </si>
  <si>
    <t>Vérifier que les parties prenantes externes sont informées en temps
 utile des évolutions qui peuvent avoir un impact sur le
 fonctionnement du contrôle interne, en particulier lorsqu'il y a des
 changements significatifs dans l’organisation ou dans la
 réglementation applicable</t>
  </si>
  <si>
    <t>Automatiser les contrôles de conformité des canaux</t>
  </si>
  <si>
    <t>Cartographier les canaux officiels par type d'information</t>
  </si>
  <si>
    <t>Normes de lisibilité ignorées</t>
  </si>
  <si>
    <t>Critères de lisibilité non appliqués</t>
  </si>
  <si>
    <t>Fiche des critères de lisibilité</t>
  </si>
  <si>
    <t>Former aux normes d'accessibilité</t>
  </si>
  <si>
    <t>Appliquer des tests de lisibilité standardisés</t>
  </si>
  <si>
    <t>Évaluation insuffisante de la clarté</t>
  </si>
  <si>
    <t>Évaluation de clarté insuffisante</t>
  </si>
  <si>
    <t>Plan d'évaluation de clarté</t>
  </si>
  <si>
    <t>La clarté des informations partagées est-elle régulièrement évaluée ?</t>
  </si>
  <si>
    <t>La transparence des informations est évaluée régulièrement</t>
  </si>
  <si>
    <t>Personnaliser les contenus par persona</t>
  </si>
  <si>
    <t>Segmenter les audiences par profils d'utilisation</t>
  </si>
  <si>
    <t>Publics destinataires mal ciblés</t>
  </si>
  <si>
    <t>Publics cibles mal identifiés</t>
  </si>
  <si>
    <t>Document d'analyse des publics cibles</t>
  </si>
  <si>
    <t>Adopter des principes de design universel</t>
  </si>
  <si>
    <t>Réaliser des tests utilisateurs avant déploiement</t>
  </si>
  <si>
    <t>Supports inadaptés aux utilisateurs finaux</t>
  </si>
  <si>
    <t>Supports inadaptés aux besoins</t>
  </si>
  <si>
    <t>Registre des supports adaptés</t>
  </si>
  <si>
    <t>Les supports de communication sont-ils adaptés à leur public ?</t>
  </si>
  <si>
    <t>Des supports de communication adaptés (ex newsletters, bulletins) sont utilisés pour diffuser les informations de manière claire et accessible</t>
  </si>
  <si>
    <t>Mesurer régulièrement le taux de compréhension</t>
  </si>
  <si>
    <t>Implémenter des quizz de validation post-communication</t>
  </si>
  <si>
    <t>Compréhension non vérifiée systématiquement</t>
  </si>
  <si>
    <t>Validation de compréhension non effectuée</t>
  </si>
  <si>
    <t>Rapport de validation de compréhension</t>
  </si>
  <si>
    <t>Mettre en place des boucles de rétroaction systématiques</t>
  </si>
  <si>
    <t>Standardiser les canaux de collecte de feedback</t>
  </si>
  <si>
    <t>Retours utilisateurs mal pris en compte</t>
  </si>
  <si>
    <t>Mécanismes de feedback inefficaces</t>
  </si>
  <si>
    <t>Liste des mécanismes de feedback</t>
  </si>
  <si>
    <t>Des boucles de rétroaction valident-elles la bonne compréhension ?</t>
  </si>
  <si>
    <t>Des mécanismes de feedback sont en place pour s’assurer que les informations sont bien comprises et utilisées de manière appropriée</t>
  </si>
  <si>
    <t>Former aux techniques de priorisation</t>
  </si>
  <si>
    <t>Développer une matrice d'évaluation multicritère</t>
  </si>
  <si>
    <t>Absence de hiérarchisation des informations</t>
  </si>
  <si>
    <t>Priorisation informationnelle absente</t>
  </si>
  <si>
    <t>Document de priorisation informationnelle</t>
  </si>
  <si>
    <t>Automatiser le routage selon des règles métiers</t>
  </si>
  <si>
    <t>Implémenter un système de tagging par criticité/urgence</t>
  </si>
  <si>
    <t>Désorganisation des flux d'information prioritaires</t>
  </si>
  <si>
    <t>Flux hiérarchisés désorganisés</t>
  </si>
  <si>
    <t>Registre des flux hiérarchisés</t>
  </si>
  <si>
    <t>La diffusion d'information suit-elle une logique de pertinence hiérarchisée ?</t>
  </si>
  <si>
    <t>Les informations pertinentes sont diffusées régulièrement à tous les niveaux de l’organisation en fonction de la pertinence pour chaque groupe</t>
  </si>
  <si>
    <t>Récompenser les bonnes pratiques</t>
  </si>
  <si>
    <t>Automatiser le suivi de la conformité</t>
  </si>
  <si>
    <t>Persistance des écarts aux normes internes</t>
  </si>
  <si>
    <t>Non-conformité interne persistante</t>
  </si>
  <si>
    <t>Rapport de conformité interne</t>
  </si>
  <si>
    <t>Former aux techniques de communication efficace</t>
  </si>
  <si>
    <t>Standardiser les protocoles de communication</t>
  </si>
  <si>
    <t>Malentendus fréquents dans les communications</t>
  </si>
  <si>
    <t>Règles de communication ambiguës</t>
  </si>
  <si>
    <t>Liste des règles de communication</t>
  </si>
  <si>
    <t>La politique de communication interne est-elle clairement établie ?</t>
  </si>
  <si>
    <t>Des processus formels de communication interne sont définis, y compris des registres de diffusion des informations nécessaires pour le contrôle interne</t>
  </si>
  <si>
    <t>S’assurer que l’organisation dispose de processus formels pour
 communiquer avec les tiers sur les points pertinents concernant le
 contrôle interne, notamment les risques et les mesures prises pour y
 faire face</t>
  </si>
  <si>
    <t>Mettre en place un système de mentorat</t>
  </si>
  <si>
    <t>Développer des programmes de formation alternatifs</t>
  </si>
  <si>
    <t>Annulation de sessions de formation spécialisées</t>
  </si>
  <si>
    <t>Sessions dédiées annulées</t>
  </si>
  <si>
    <t>Calendrier des sessions dédiées</t>
  </si>
  <si>
    <t>Impliquer les experts métiers dans les formations</t>
  </si>
  <si>
    <t>Actualiser trimestriellement les contenus de formation</t>
  </si>
  <si>
    <t>Contenus de formation dépassés</t>
  </si>
  <si>
    <t>Modules de formation obsolètes</t>
  </si>
  <si>
    <t>Pièce des modules de formation</t>
  </si>
  <si>
    <t>L'appropriation des outils fait-elle l'objet de formations spécifiques ?</t>
  </si>
  <si>
    <t>Des formations sont proposées pour assurer une utilisation optimale des outils et technologies disponibles</t>
  </si>
  <si>
    <t>Implémenter des solutions de failover</t>
  </si>
  <si>
    <t>Optimiser l'infrastructure réseau</t>
  </si>
  <si>
    <t>Instabilité des connexions entre applications</t>
  </si>
  <si>
    <t>Connectivité applicative instable</t>
  </si>
  <si>
    <t>Fiche de connectivité applicative</t>
  </si>
  <si>
    <t>Mettre en place des tests d'interopérabilité</t>
  </si>
  <si>
    <t>Standardiser les protocoles d'intégration</t>
  </si>
  <si>
    <t>Incompatibilité entre les systèmes</t>
  </si>
  <si>
    <t>Interopérabilité système défaillante</t>
  </si>
  <si>
    <t>Plan d'interopérabilité système</t>
  </si>
  <si>
    <t>L'interopérabilité des systèmes évite-t-elle les silos informationnels ?</t>
  </si>
  <si>
    <t>Les outils de gestion de l’information sont intégrés de manière cohérente aux autres systèmes de l’organisation pour éviter les silos d’information</t>
  </si>
  <si>
    <t>Organiser des sessions de démonstration</t>
  </si>
  <si>
    <t>Documenter exhaustivement les fonctionnalités</t>
  </si>
  <si>
    <t>Fonctionnalités importantes mal comprises</t>
  </si>
  <si>
    <t>Fonctionnalités clés non documentées</t>
  </si>
  <si>
    <t>Document des fonctionnalités clés</t>
  </si>
  <si>
    <t>Croiser systématiquement les sources d'information</t>
  </si>
  <si>
    <t>Prises de décision basées sur des informations inexactes</t>
  </si>
  <si>
    <t>Données décisionnelles erronées</t>
  </si>
  <si>
    <t>Registre des interfaces décisionnelles</t>
  </si>
  <si>
    <t>Les décideurs disposent-ils d'interfaces décisionnelles automatisées ?</t>
  </si>
  <si>
    <t>Les utilisateurs ont accès à des tableaux de bord ou des rapports automatisés pour faciliter la prise de décision en matière de contrôle interne</t>
  </si>
  <si>
    <t>Nommer des champions du changement</t>
  </si>
  <si>
    <t>Créer un calendrier d'adoption technologique</t>
  </si>
  <si>
    <t>Retard dans l'adoption de nouvelles technologies</t>
  </si>
  <si>
    <t>Innovation ralentie</t>
  </si>
  <si>
    <t>Rapport d'évolution technologique</t>
  </si>
  <si>
    <t>Monitorer en continu l'état des équipements</t>
  </si>
  <si>
    <t>Mettre en place un programme de maintenance prédictive</t>
  </si>
  <si>
    <t>Détérioration progressive des équipements</t>
  </si>
  <si>
    <t>Maintenances négligées</t>
  </si>
  <si>
    <t>Liste des maintenances programmées</t>
  </si>
  <si>
    <t>La maintenance technologique suit-elle les évolutions nécessaires ?</t>
  </si>
  <si>
    <t>Les technologies mises en place sont régulièrement mises à jour pour garantir leur efficacité face aux nouvelles exigences</t>
  </si>
  <si>
    <t>Former aux nouvelles technologies</t>
  </si>
  <si>
    <t>Établir un plan de migration technologique</t>
  </si>
  <si>
    <t>Utilisation de technologies obsolètes</t>
  </si>
  <si>
    <t>Outils périmés</t>
  </si>
  <si>
    <t>Calendrier des évaluations outils</t>
  </si>
  <si>
    <t>Allouer un budget dédié à l'innovation</t>
  </si>
  <si>
    <t>Créer un comité d'innovation</t>
  </si>
  <si>
    <t>Capacité d'innovation réduite</t>
  </si>
  <si>
    <t>Besoins non analysés</t>
  </si>
  <si>
    <t>Pièce des besoins analytiques</t>
  </si>
  <si>
    <t>Les outils d'analyse répondent-ils aux besoins du contrôle interne ?</t>
  </si>
  <si>
    <t>Des outils informatiques adaptés (par exemple, logiciels de gestion des risques, plateformes collaboratives) sont utilisés pour collecter et analyser les informations relatives au contrôle interne</t>
  </si>
  <si>
    <t>Vérifier que la communication interne des informations nécessaires
 au contrôle interne est régulièrement suivie, avec des rapports ou
 des audits pour évaluer l'efficacité des mécanismes de
 communication en place</t>
  </si>
  <si>
    <t>Maintenir des solutions de secours opérationnelles</t>
  </si>
  <si>
    <t>Tester régulièrement les plans de continuité</t>
  </si>
  <si>
    <t>Continuité d'activité menacée</t>
  </si>
  <si>
    <t>registres ambiguës</t>
  </si>
  <si>
    <t>Fiche des registres internes</t>
  </si>
  <si>
    <t>Publier un organigramme des responsabilités</t>
  </si>
  <si>
    <t>Clarifier les délégations par écrit</t>
  </si>
  <si>
    <t>Délégations floues</t>
  </si>
  <si>
    <t>Protocoles non suivis</t>
  </si>
  <si>
    <t>Plan des protocoles applicables</t>
  </si>
  <si>
    <t>Des protocoles encadrent-ils la communication interne formelle ?</t>
  </si>
  <si>
    <t>Des registres de communication formelles sont définies pour s’assurer que toutes les parties prenantes sont correctement informées</t>
  </si>
  <si>
    <t>Mettre à jour mensuellement la matrice des risques</t>
  </si>
  <si>
    <t>Prioriser les risques selon leur criticité</t>
  </si>
  <si>
    <t>Risques non priorisés</t>
  </si>
  <si>
    <t>Sécurité compromise</t>
  </si>
  <si>
    <t>Document d'architecture système</t>
  </si>
  <si>
    <t>Développer des plans de formation individualisés</t>
  </si>
  <si>
    <t>Évaluer les compétences trimestriellement</t>
  </si>
  <si>
    <t>Compétences non évaluées</t>
  </si>
  <si>
    <t>Infrastructures fragmentées</t>
  </si>
  <si>
    <t>Registre des infrastructures unifiées</t>
  </si>
  <si>
    <t>L'infrastructure informatique unifie-t-elle la gestion des données ?</t>
  </si>
  <si>
    <t>Des systèmes d’information sont en place pour centraliser et distribuer les données de contrôle interne de manière cohérente</t>
  </si>
  <si>
    <t>Mettre en place des comités utilisateurs</t>
  </si>
  <si>
    <t>Implémenter des processus d'analyse des besoins</t>
  </si>
  <si>
    <t>Diffusion inefficace</t>
  </si>
  <si>
    <t>Rapport de diffusion ciblée</t>
  </si>
  <si>
    <t>Automatiser la documentation</t>
  </si>
  <si>
    <t>Clarifier les registres et nomenclatures</t>
  </si>
  <si>
    <t>Registres ambigus</t>
  </si>
  <si>
    <t>Accès non contrôlés</t>
  </si>
  <si>
    <t>Liste des destinataires autorisés</t>
  </si>
  <si>
    <t>La diffusion des rapports cible-t-elle efficacement les destinataires ?</t>
  </si>
  <si>
    <t>Les rapports d’activité ou de contrôle interne sont bien structurés et partagés avec toutes les parties prenantes concernées</t>
  </si>
  <si>
    <t>Former régulièrement aux procédures</t>
  </si>
  <si>
    <t>Standardiser les protocoles opérationnels</t>
  </si>
  <si>
    <t>Décisions non tracées</t>
  </si>
  <si>
    <t>Rapport des décisions stratégiques</t>
  </si>
  <si>
    <t>Mettre à jour les politiques de sécurité</t>
  </si>
  <si>
    <t>Réaliser des tests d'intrusion réguliers</t>
  </si>
  <si>
    <t>Absences critiques</t>
  </si>
  <si>
    <t>Liste des participants aux réunions</t>
  </si>
  <si>
    <t>Des rencontres périodiques abordent-elles les enjeux du contrôle interne ?</t>
  </si>
  <si>
    <t>Des réunions régulières sont organisées pour échanger sur les enjeux du contrôle interne entre les parties prenantes</t>
  </si>
  <si>
    <t>Mettre en place une gouvernance centralisée</t>
  </si>
  <si>
    <t>Unifier les infrastructures</t>
  </si>
  <si>
    <t>Optimisation retardée</t>
  </si>
  <si>
    <t>Calendrier d'optimisation technologique</t>
  </si>
  <si>
    <t>Segmenter les audiences cibles</t>
  </si>
  <si>
    <t>Optimiser les canaux de diffusion</t>
  </si>
  <si>
    <t>Technologies inadaptées</t>
  </si>
  <si>
    <t>Pièce des technologies utilisées</t>
  </si>
  <si>
    <t>Les technologies modernes optimisent-elles la circulation de l'information ?</t>
  </si>
  <si>
    <t>Des outils de communication modernes sont utilisés pour partager des informations en temps réel</t>
  </si>
  <si>
    <t>S’assurer que des outils de communication adéquats (réunions,
 rapports, systèmes d’information) sont utilisés pour faciliter
 l’échange d’informations entre les différentes parties prenantes
 impliquées dans le contrôle interne</t>
  </si>
  <si>
    <t>Réaliser des audits de sécurité aléatoires</t>
  </si>
  <si>
    <t>Automatiser les contrôles d'accès</t>
  </si>
  <si>
    <t>Indicateurs obsolètes</t>
  </si>
  <si>
    <t>Fiche des indicateurs d'efficacité</t>
  </si>
  <si>
    <t>Utiliser des technologies blockchain pour l'audit</t>
  </si>
  <si>
    <t>Implémenter un système de traçabilité décisionnelle</t>
  </si>
  <si>
    <t>Qualité non évaluée</t>
  </si>
  <si>
    <t>Plan d'évaluation des échanges</t>
  </si>
  <si>
    <t>Des bilans réguliers mesurent-ils l'efficacité des échanges ?</t>
  </si>
  <si>
    <t>Des rapports réguliers sont générés pour évaluer la qualité et l’efficacité du feedback reçu et des réponses données</t>
  </si>
  <si>
    <t>Développer des compétences transversales</t>
  </si>
  <si>
    <t>Mettre en place un plan de succession</t>
  </si>
  <si>
    <t>Actions non suivies</t>
  </si>
  <si>
    <t>Document de suivi des actions</t>
  </si>
  <si>
    <t>Mesurer les gains d'optimisation</t>
  </si>
  <si>
    <t>Établir un plan d'optimisation continu</t>
  </si>
  <si>
    <t>Remarques ignorées</t>
  </si>
  <si>
    <t>Registre des remarques traitées</t>
  </si>
  <si>
    <t>Un suivi formalisé garantit-il la prise en compte des remarques ?</t>
  </si>
  <si>
    <t>Un processus de suivi est mis en place pour assurer la prise en compte des préoccupations exprimées</t>
  </si>
  <si>
    <t>Mettre en place un comité de veille technologique</t>
  </si>
  <si>
    <t>Réaliser une analyse des besoins technologiques</t>
  </si>
  <si>
    <t>Performance non mesurée</t>
  </si>
  <si>
    <t>Rapport de performance du support</t>
  </si>
  <si>
    <t>Aligner les KPI sur les objectifs stratégiques</t>
  </si>
  <si>
    <t>Réviser annuellement les indicateurs</t>
  </si>
  <si>
    <t>Délais dépassés</t>
  </si>
  <si>
    <t>Liste des délais de réponse</t>
  </si>
  <si>
    <t>Les réponses aux interrogations sont-elles rapides et transparentes ?</t>
  </si>
  <si>
    <t>Les réponses aux questions ou demandes de clarification sont fournies en temps utile et de manière transparente</t>
  </si>
  <si>
    <t>Publier des rapports qualité mensuels</t>
  </si>
  <si>
    <t>Standardiser les évaluations qualité</t>
  </si>
  <si>
    <t>Sensibilisation insuffisante</t>
  </si>
  <si>
    <t>Calendrier de sensibilisation</t>
  </si>
  <si>
    <t>Automatiser les rappels de suivi</t>
  </si>
  <si>
    <t>Implémenter un système de ticketing</t>
  </si>
  <si>
    <t>Dispositifs inefficaces</t>
  </si>
  <si>
    <t>Pièce des dispositifs disponibles</t>
  </si>
  <si>
    <t>Les acteurs connaissent-ils les dispositifs de feedback disponibles ?</t>
  </si>
  <si>
    <t>Les parties prenantes internes sont informées des mécanismes de feedback disponibles et savent comment les utiliser</t>
  </si>
  <si>
    <t>Analyser systématiquement les suggestions</t>
  </si>
  <si>
    <t>Mettre en place une boîte à idées</t>
  </si>
  <si>
    <t>Retours non exploités</t>
  </si>
  <si>
    <t>Fiche de collecte des retours</t>
  </si>
  <si>
    <t>Automatiser le reporting des performances</t>
  </si>
  <si>
    <t>Définir des KPI de performance clés</t>
  </si>
  <si>
    <t>Feedback non remonté</t>
  </si>
  <si>
    <t>Plan des canaux de feedback</t>
  </si>
  <si>
    <t>Des canaux dédiés recueillent-ils les retours d'information ?</t>
  </si>
  <si>
    <t>Les canaux de feedback formels sont établis (réunions, plateformes en ligne, forums internes) pour permettre aux parties prenantes internes de poser des questions</t>
  </si>
  <si>
    <t>Vérifier que des mécanismes de feedback sont mis en place pour
 permettre aux parties prenantes internes de poser des questions et
 d’obtenir des éclaircissements sur les informations reçues</t>
  </si>
  <si>
    <t>Communication externe</t>
  </si>
  <si>
    <t>Analyser les causes racines des retards</t>
  </si>
  <si>
    <t>Implémenter des outils de suivi de délais</t>
  </si>
  <si>
    <t>Délais systématiquement dépassés</t>
  </si>
  <si>
    <t>Alertes non traitées</t>
  </si>
  <si>
    <t>Document des règles d'alerte</t>
  </si>
  <si>
    <t>Mesurer l'impact des formations</t>
  </si>
  <si>
    <t>Organiser des campagnes de sensibilisation</t>
  </si>
  <si>
    <t>Alertes système non traitées</t>
  </si>
  <si>
    <t>Registre des notifications système</t>
  </si>
  <si>
    <t>Les mises à jour déclenchent-elles des notifications automatiques ?</t>
  </si>
  <si>
    <t>Des notifications et alertes sont envoyées en cas de mise à jour ou de nouvelles informations pertinentes à prendre en compte</t>
  </si>
  <si>
    <t>Benchmarker avec les meilleures pratiques</t>
  </si>
  <si>
    <t>Réévaluer trimestriellement les dispositifs</t>
  </si>
  <si>
    <t>Permissions d'accès trop permissives</t>
  </si>
  <si>
    <t>Rapport des privilèges d'accès</t>
  </si>
  <si>
    <t>Publier régulièrement les résultats</t>
  </si>
  <si>
    <t>Créer un système de suivi des actions</t>
  </si>
  <si>
    <t>Accès critiques non restreints</t>
  </si>
  <si>
    <t>Liste des accès stratégiques</t>
  </si>
  <si>
    <t>Les gestionnaires accèdent-ils sans intermédiaire aux informations stratégiques ?</t>
  </si>
  <si>
    <t>Les responsables du contrôle interne ont un accès direct aux informations critiques pour leur prise de décision</t>
  </si>
  <si>
    <t>Automatiser l'analyse des retours</t>
  </si>
  <si>
    <t>Centraliser les remontées de feedback</t>
  </si>
  <si>
    <t>Audits des flux non programmés</t>
  </si>
  <si>
    <t>Calendrier des audits de circulation</t>
  </si>
  <si>
    <t>Mettre en place une boucle de feedback</t>
  </si>
  <si>
    <t>Définir des SLA stricts pour le traitement</t>
  </si>
  <si>
    <t>Flux d'information désorganisés</t>
  </si>
  <si>
    <t>Pièce des flux d'information</t>
  </si>
  <si>
    <t>Les flux d'information permettent-ils un accès instantané aux données ?</t>
  </si>
  <si>
    <t>Des mécanismes de partage d’information sont en place pour faciliter l’accès en temps réel aux données nécessaires</t>
  </si>
  <si>
    <t>Automatiser l'assignation des alertes</t>
  </si>
  <si>
    <t>Configurer des priorités pour les alertes</t>
  </si>
  <si>
    <t>Alertes système ignorées</t>
  </si>
  <si>
    <t>Normes de présentation non appliquées</t>
  </si>
  <si>
    <t>Fiche des standards de présentation</t>
  </si>
  <si>
    <t>Implémenter une approche Zero Trust</t>
  </si>
  <si>
    <t>Réviser trimestriellement les permissions</t>
  </si>
  <si>
    <t>Permissions trop permissives</t>
  </si>
  <si>
    <t>Standardisation visuelle absente</t>
  </si>
  <si>
    <t>Plan d'harmonisation visuelle</t>
  </si>
  <si>
    <t>L'harmonisation des présentations accélère-t-elle la compréhension ?</t>
  </si>
  <si>
    <t>Des formats standardisés sont utilisés pour la présentation des informations, afin de garantir leur compréhension rapide et efficace</t>
  </si>
  <si>
    <t>Isoler physiquement les accès critiques</t>
  </si>
  <si>
    <t>Interfaces utilisateurs non fonctionnelles</t>
  </si>
  <si>
    <t>Document des interfaces utilisateurs</t>
  </si>
  <si>
    <t>Automatiser le traçage des flux critiques</t>
  </si>
  <si>
    <t>Planifier des audits de flux trimestriels</t>
  </si>
  <si>
    <t>Audits flux non programmés</t>
  </si>
  <si>
    <t>Accès sécurisés non monitorés</t>
  </si>
  <si>
    <t>Registre des accès sécurisés</t>
  </si>
  <si>
    <t>Les interfaces sécurisées donnent-elles accès aux informations utiles ?</t>
  </si>
  <si>
    <t>Les informations pertinentes sont accessibles à tous les responsables concernés à travers des plateformes sécurisées et bien structurées</t>
  </si>
  <si>
    <t>S’assurer que les informations partagées en interne sont pertinentes
 et à jour, en particulier celles relatives aux risques identifiés, aux
 actions de contrôle mises en place et aux résultats des évaluations
 de performance</t>
  </si>
  <si>
    <t>Implémenter des outils de workflow management</t>
  </si>
  <si>
    <t>Modéliser et documenter les flux d'information</t>
  </si>
  <si>
    <t>Flux information désorganisés</t>
  </si>
  <si>
    <t>Qualité des données non analysée</t>
  </si>
  <si>
    <t>Rapport de pertinence des données</t>
  </si>
  <si>
    <t>Automatiser les contrôles de conformité visuelle</t>
  </si>
  <si>
    <t>Créer des templates de présentation unifiés</t>
  </si>
  <si>
    <t>Normes présentation non appliquées</t>
  </si>
  <si>
    <t>Tests de validation omis</t>
  </si>
  <si>
    <t>Liste des tests de validation</t>
  </si>
  <si>
    <t>Des tests contrôlent-ils la pertinence et l'exhaustivité des données ?</t>
  </si>
  <si>
    <t>Des tests sont effectués pour vérifier que les informations générées sont exhaustives et pertinentes dans le cadre de la gestion du contrôle interne</t>
  </si>
  <si>
    <t>Former les équipes aux standards UI/UX</t>
  </si>
  <si>
    <t>Développer un guide de style visuel</t>
  </si>
  <si>
    <t>Contrôle d'intégrité absent</t>
  </si>
  <si>
    <t>Calendrier de vérification d'intégrité</t>
  </si>
  <si>
    <t>Standardiser les interfaces selon les meilleures pratiques</t>
  </si>
  <si>
    <t>Réaliser des tests utilisateurs réguliers</t>
  </si>
  <si>
    <t>Interfaces utilisateurs défectueuses</t>
  </si>
  <si>
    <t>Outils logiciels inadaptés</t>
  </si>
  <si>
    <t>Pièce des solutions logicielles</t>
  </si>
  <si>
    <t>Des solutions logicielles garantissent-elles l'intégrité des informations ?</t>
  </si>
  <si>
    <t>Des outils de contrôle de la qualité des informations sont utilisés pour garantir leur fiabilité (ex logiciels de gestion des informations)</t>
  </si>
  <si>
    <t>Mettre en place des alertes sur accès anormaux</t>
  </si>
  <si>
    <t>Implémenter un système de journalisation des accès</t>
  </si>
  <si>
    <t>Accès non surveillés</t>
  </si>
  <si>
    <t>Gestionnaires données non identifiés</t>
  </si>
  <si>
    <t>Fiche des gestionnaires désignés</t>
  </si>
  <si>
    <t>Nommer des data stewards par domaine</t>
  </si>
  <si>
    <t>Déployer des outils de profiling des données</t>
  </si>
  <si>
    <t>Qualité données non évaluée</t>
  </si>
  <si>
    <t>Responsabilités données non attribuées</t>
  </si>
  <si>
    <t>Plan de responsabilités données</t>
  </si>
  <si>
    <t>La maintenance des données est-elle assignée à des responsables identifiés ?</t>
  </si>
  <si>
    <t>Les responsables des informations sont définis et responsables de la mise à jour régulière de ces données</t>
  </si>
  <si>
    <t>Automatiser les tests de validation récurrents</t>
  </si>
  <si>
    <t>Établir un protocole de test obligatoire avant déploiement</t>
  </si>
  <si>
    <t>Tests validation omis</t>
  </si>
  <si>
    <t>Mises à jour des données en retard</t>
  </si>
  <si>
    <t>Document de mise à jour des données</t>
  </si>
  <si>
    <t>Mettre en place des checksums et signatures numériques</t>
  </si>
  <si>
    <t>Implémenter des contrôles automatisés d'intégrité des données</t>
  </si>
  <si>
    <t>Absence contrôle intégrité</t>
  </si>
  <si>
    <t>Actions correctives inefficaces</t>
  </si>
  <si>
    <t>Registre des processus correctifs</t>
  </si>
  <si>
    <t>Des processus correctifs assurent-ils l'adéquation des données à la réalité ?</t>
  </si>
  <si>
    <t>Des mécanismes de révision des informations sont établis pour corriger les erreurs et assurer leur conformité avec la réalité de l’organisation</t>
  </si>
  <si>
    <t>Standardiser les solutions logicielles par métier</t>
  </si>
  <si>
    <t>Former les utilisateurs aux outils existants</t>
  </si>
  <si>
    <t>Exhaustivité des données non vérifiée</t>
  </si>
  <si>
    <t>Rapport d'exhaustivité des informations</t>
  </si>
  <si>
    <t>Mettre en place un comité de sélection des outils</t>
  </si>
  <si>
    <t>Réaliser une analyse des besoins utilisateurs</t>
  </si>
  <si>
    <t>Gestionnaires non identifiés</t>
  </si>
  <si>
    <t>Reporting avec données manquantes</t>
  </si>
  <si>
    <t>Liste des données de reporting</t>
  </si>
  <si>
    <t>Les reporting intègrent-ils des données exhaustives et récentes ?</t>
  </si>
  <si>
    <t>Des rapports de gestion des risques et de contrôle interne sont générés avec des données complètes et à jour</t>
  </si>
  <si>
    <t>Vérifier que les informations sont partagées de manière appropriée,
 en fonction des rôles et des responsabilités des différentes parties
 prenantes, et qu'elles sont adaptées à leur niveau de responsabilité</t>
  </si>
  <si>
    <t>Communiquer largement les points de contact</t>
  </si>
  <si>
    <t>Identifier formellement les gestionnaires</t>
  </si>
  <si>
    <t>Responsabilités non attribuées</t>
  </si>
  <si>
    <t xml:space="preserve">Moyenne </t>
  </si>
  <si>
    <t>Filtrage des données non conforme</t>
  </si>
  <si>
    <t>Calendrier de filtrage des données</t>
  </si>
  <si>
    <t>Clarifier les rôles et responsabilités</t>
  </si>
  <si>
    <t>Retards mises à jour</t>
  </si>
  <si>
    <t>Indicateurs qualité non actualisés</t>
  </si>
  <si>
    <t>Pièce des indicateurs qualité</t>
  </si>
  <si>
    <t>Des indicateurs qualitatifs filtrent-ils les informations pertinentes ?</t>
  </si>
  <si>
    <t>Des critères de pertinence sont définis pour assurer que les informations collectées répondent aux besoins des parties prenantes</t>
  </si>
  <si>
    <t>Définir des responsables pour chaque mise à jour</t>
  </si>
  <si>
    <t>Automatiser les processus de mise à jour</t>
  </si>
  <si>
    <t>Bénéfices opérationnels non mesurés</t>
  </si>
  <si>
    <t>Fiche des gains opérationnels</t>
  </si>
  <si>
    <t>Implémenter des indicateurs de suivi des corrections</t>
  </si>
  <si>
    <t>Analyser l'efficacité des actions correctives</t>
  </si>
  <si>
    <t>Exhaustivité données non vérifiée</t>
  </si>
  <si>
    <t>Accès en temps réel non opérationnel</t>
  </si>
  <si>
    <t>Plan d'accès en temps réel</t>
  </si>
  <si>
    <t>L'immédiateté d'accès aux données permet-elle des améliorations opérationnelles ?</t>
  </si>
  <si>
    <t>Les informations collectées sont accessibles en temps réel et sont utilisées pour améliorer les processus internes</t>
  </si>
  <si>
    <t>Implémenter des contrôles d'intégrité</t>
  </si>
  <si>
    <t>Auditer l'exhaustivité des données sources</t>
  </si>
  <si>
    <t>Rapports avec informations manquantes</t>
  </si>
  <si>
    <t>registres de collecte non respectées</t>
  </si>
  <si>
    <t>Document de registres de collecte</t>
  </si>
  <si>
    <t>Automatiser les contrôles de complétude</t>
  </si>
  <si>
    <t>Vérifier systématiquement l'exhaustivité des rapports</t>
  </si>
  <si>
    <t>Filtrage données inefficace</t>
  </si>
  <si>
    <t>Méthodologies non homologuées utilisées</t>
  </si>
  <si>
    <t>Registre des méthodologies approuvées</t>
  </si>
  <si>
    <t>La méthodologie de collecte est-elle formalisée et transparente ?</t>
  </si>
  <si>
    <t>Les processus de collecte sont systématiques, transparents et bien documentés</t>
  </si>
  <si>
    <t>Former les utilisateurs aux techniques de filtrage</t>
  </si>
  <si>
    <t>Implémenter des algorithmes de filtrage avancés</t>
  </si>
  <si>
    <t>Indicateurs qualité obsolètes</t>
  </si>
  <si>
    <t>Audit des données non mené</t>
  </si>
  <si>
    <t>Rapport d'audit des données</t>
  </si>
  <si>
    <t>Benchmarker avec les standards du secteur</t>
  </si>
  <si>
    <t>Réviser trimestriellement les indicateurs qualité</t>
  </si>
  <si>
    <t>Bénéfices opérationnels non quantifiés</t>
  </si>
  <si>
    <t>Absence de contrôle de fiabilité des données</t>
  </si>
  <si>
    <t>Liste des contrôles de véracité</t>
  </si>
  <si>
    <t>La véracité des informations collectées fait-elle l'objet de contrôles ?</t>
  </si>
  <si>
    <t>Des contrôles sont en place pour vérifier la fiabilité des données collectées</t>
  </si>
  <si>
    <t>Lier les bénéfices aux objectifs stratégiques</t>
  </si>
  <si>
    <t>Développer des indicateurs de performance opérationnelle</t>
  </si>
  <si>
    <t>Accès temps réel non fonctionnel</t>
  </si>
  <si>
    <t>Données non consolidées régulièrement</t>
  </si>
  <si>
    <t>calendrier de consolidation des données</t>
  </si>
  <si>
    <t>Mettre en place des systèmes de cache performants</t>
  </si>
  <si>
    <t>Optimiser l'infrastructure pour l'accès temps réel</t>
  </si>
  <si>
    <t>Collecte données incomplète</t>
  </si>
  <si>
    <t>Architecture système non sécurisée</t>
  </si>
  <si>
    <t>Pièce technique d'architecture système</t>
  </si>
  <si>
    <t>L'architecture informatique permet-elle une centralisation des données de contrôle ?</t>
  </si>
  <si>
    <t>Des systèmes d’information appropriés sont utilisés pour collecter et centraliser les données relatives au contrôle interne</t>
  </si>
  <si>
    <t>S’assurer que l’organisation a mis en place des processus formels
 pour communiquer de manière régulière et transparente les
 informations nécessaires au fonctionnement du contrôle interne à
 tous les niveaux de l’organisation</t>
  </si>
  <si>
    <t>Automatiser les contrôles d'exhaustivité</t>
  </si>
  <si>
    <t>Standardiser les processus de collecte</t>
  </si>
  <si>
    <t>Méthodes non homologuées utilisées</t>
  </si>
  <si>
    <t>Évaluation des compétences non réalisée</t>
  </si>
  <si>
    <t>Fiche d'évaluation des compétences</t>
  </si>
  <si>
    <t>Auditer régulièrement les pratiques analytiques</t>
  </si>
  <si>
    <t>Homologuer les méthodes d'analyse</t>
  </si>
  <si>
    <t>Anomalies non détectées</t>
  </si>
  <si>
    <t>Recyclage annuel non effectué</t>
  </si>
  <si>
    <t>Plan de recyclage annuel</t>
  </si>
  <si>
    <t>Des recyclages périodiques maintiennent-ils les compétences à niveau ?</t>
  </si>
  <si>
    <t>Des rappels et des sessions de mise à jour régulières sont programmés pour maintenir le niveau de connaissance des collaborateurs à jour</t>
  </si>
  <si>
    <t>Configurer des alertes sur données aberrantes</t>
  </si>
  <si>
    <t>Déployer des outils de détection d'anomalies</t>
  </si>
  <si>
    <t>Absence de contrôle qualité données</t>
  </si>
  <si>
    <t>Politique d'inclusion non déployée</t>
  </si>
  <si>
    <t>Document de politique d'inclusion</t>
  </si>
  <si>
    <t>Définir des standards qualité pour les données</t>
  </si>
  <si>
    <t>Données non consolidées</t>
  </si>
  <si>
    <t>Formations non alignées aux besoins métiers</t>
  </si>
  <si>
    <t>Registre des formations par métier</t>
  </si>
  <si>
    <t>L'offre de formation est-elle inclusive et différenciée selon les métiers ?</t>
  </si>
  <si>
    <t>Les formations sont accessibles à tous les collaborateurs concernés et sont adaptées à leurs fonctions</t>
  </si>
  <si>
    <t>Implémenter des outils ETL professionnels</t>
  </si>
  <si>
    <t>Automatiser la consolidation des données</t>
  </si>
  <si>
    <t>Architecture système vulnérable</t>
  </si>
  <si>
    <t>Mises à jour réglementaires manquées</t>
  </si>
  <si>
    <t>Rapport de veille réglementaire mensuel</t>
  </si>
  <si>
    <t>Mettre en place des tests de résistance annuels</t>
  </si>
  <si>
    <t>Réaliser des audits d'architecture sécurité</t>
  </si>
  <si>
    <t>Inadéquation formation/besoins</t>
  </si>
  <si>
    <t>Formateurs non certifiés à jour</t>
  </si>
  <si>
    <t>Liste des certifications formateurs actualisées</t>
  </si>
  <si>
    <t>Les formateurs maîtrisent-ils les dernières évolutions réglementaires ?</t>
  </si>
  <si>
    <t>Les responsables de formation sont qualifiés et bien informés des changements dans les règles et registres</t>
  </si>
  <si>
    <t>Adapter les plans de formation aux évolutions métiers</t>
  </si>
  <si>
    <t>Analyser annuellement les besoins en compétences</t>
  </si>
  <si>
    <t>Non-conformité réglementaire</t>
  </si>
  <si>
    <t>L'évaluation des apprentissages est absente ou superficielle</t>
  </si>
  <si>
    <t>Document évaluation apprentissage</t>
  </si>
  <si>
    <t>Nommer des correspondants conformité</t>
  </si>
  <si>
    <t>Qualité réduite des formations</t>
  </si>
  <si>
    <t>L'efficacité des formations n'est pas mesurée</t>
  </si>
  <si>
    <t>Registre efficacité formations</t>
  </si>
  <si>
    <t>L'évaluation des formations mesure-t-elle tant leur efficacité que l'apprentissage ?</t>
  </si>
  <si>
    <t>Un système d’évaluation est mis en place pour mesurer l’efficacité des formations et l’acquisition des compétences</t>
  </si>
  <si>
    <t>Recueillir des feedbacks stagiaires systématiques</t>
  </si>
  <si>
    <t>Standardiser les critères qualité des formations</t>
  </si>
  <si>
    <t>Compétences acquises non vérifiées</t>
  </si>
  <si>
    <t>Les contenus de formation ne sont pas actualisés</t>
  </si>
  <si>
    <t>Rapport contenus actualisés</t>
  </si>
  <si>
    <t>Certifier les compétences acquises</t>
  </si>
  <si>
    <t>Tester systématiquement les acquis de formation</t>
  </si>
  <si>
    <t>Impact des formations non mesuré</t>
  </si>
  <si>
    <t>Le calendrier des formations n'est pas suivi rigoureusement</t>
  </si>
  <si>
    <t>Liste calendrier formations</t>
  </si>
  <si>
    <t>Le calendrier des formations est-il rigoureusement appliqué avec contenus actualisés ?</t>
  </si>
  <si>
    <t>La fréquence des formations est définie et suivie, avec une mise à jour des contenus pour refléter les évolutions des règles et registres</t>
  </si>
  <si>
    <t>Vérifier que des outils de gestion de l'information et des technologies
 appropriées sont utilisés pour faciliter la collecte, l'analyse et la
 distribution des informations pertinentes relatives au contrôle
 interne</t>
  </si>
  <si>
    <t>Implémenter des évaluations post-formation</t>
  </si>
  <si>
    <t>Mesurer l'impact des formations via des KPI</t>
  </si>
  <si>
    <t>Contenus de formation obsolètes</t>
  </si>
  <si>
    <t>L'évaluation des besoins d'accès est insuffisante</t>
  </si>
  <si>
    <t>Calendrier besoins accès</t>
  </si>
  <si>
    <t>Impliquer les experts métiers dans les mises à jour</t>
  </si>
  <si>
    <t>Réviser annuellement les contenus de formation</t>
  </si>
  <si>
    <t>Retard dans le développement des compétences</t>
  </si>
  <si>
    <t>Les principes d'accès ne sont pas strictement respectés</t>
  </si>
  <si>
    <t>Pièce principes accès</t>
  </si>
  <si>
    <t>Les données actualisées sont-elles accessibles selon le principe de besoin ?</t>
  </si>
  <si>
    <t>Les informations mises à jour sont accessibles à toutes les parties prenantes concernées, en fonction de leur niveau de responsabilité</t>
  </si>
  <si>
    <t>Développer des parcours de formation individualisés</t>
  </si>
  <si>
    <t>Mettre en place des évaluations des compétences</t>
  </si>
  <si>
    <t>Évaluation superficielle des habilitations</t>
  </si>
  <si>
    <t>Les validations stratégiques ne sont pas systématiquement réalisées</t>
  </si>
  <si>
    <t>Fiche validations stratégiques</t>
  </si>
  <si>
    <t>Auditer trimestriellement les habilitations</t>
  </si>
  <si>
    <t>Accès non justifiés aux systèmes</t>
  </si>
  <si>
    <t>L'approbation par la direction fait défaut pour des décisions importantes</t>
  </si>
  <si>
    <t>Plan approbation direction</t>
  </si>
  <si>
    <t>Les mises à jour significatives requièrent-elles l'avis de la direction ?</t>
  </si>
  <si>
    <t>La direction et le Conseil sont consultés lors des mises à jour majeures des informations sur les risques</t>
  </si>
  <si>
    <t>Former les validateurs aux enjeux métiers</t>
  </si>
  <si>
    <t>Implémenter des workflows de validation métier</t>
  </si>
  <si>
    <t>Validations métier manquantes</t>
  </si>
  <si>
    <t>La politique de mise à jour n'est pas appliquée</t>
  </si>
  <si>
    <t>Document politique MAJ</t>
  </si>
  <si>
    <t>Documenter systématiquement les décisions</t>
  </si>
  <si>
    <t>Instaurer des comités de validation stratégique</t>
  </si>
  <si>
    <t>Décisions stratégiques non validées</t>
  </si>
  <si>
    <t>Les actualisations sont trop espacées dans le temps</t>
  </si>
  <si>
    <t>Registre rythmes actualisation</t>
  </si>
  <si>
    <t>L'actualisation des données suit-elle un rythme défini ou se fait-elle en continu ?</t>
  </si>
  <si>
    <t>Les informations sont mises à jour en temps réel ou à intervalles réguliers pour refléter les changements dans les risques ou les contrôles</t>
  </si>
  <si>
    <t>Sanctionner les écarts répétés aux politiques</t>
  </si>
  <si>
    <t>Mettre en place des contrôles de conformité automatisés</t>
  </si>
  <si>
    <t>Non-respect des politiques internes</t>
  </si>
  <si>
    <t>La gouvernance périodique ne permet pas un contrôle efficace</t>
  </si>
  <si>
    <t>Rapport gouvernance périodique</t>
  </si>
  <si>
    <t>Automatiser les processus de reporting</t>
  </si>
  <si>
    <t>Réduire les fréquences d'actualisation</t>
  </si>
  <si>
    <t>Délais excessifs entre actualisations</t>
  </si>
  <si>
    <t>Le reporting à la direction omet des informations cruciales</t>
  </si>
  <si>
    <t>Liste reporting direction</t>
  </si>
  <si>
    <t>La gouvernance reçoit-elle des rapports périodiques conformément au planning ?</t>
  </si>
  <si>
    <t>Des rapports réguliers sur les risques et les contrôles internes sont partagés avec la direction et le Conseil, conformément à la fréquence prévue</t>
  </si>
  <si>
    <t>Automatiser la consolidation des indicateurs</t>
  </si>
  <si>
    <t>Développer un tableau de bord de contrôle global</t>
  </si>
  <si>
    <t>Contrôle global inefficace</t>
  </si>
  <si>
    <t>Les révisions des données sont effectuées avec retard</t>
  </si>
  <si>
    <t>Calendrier révisions données</t>
  </si>
  <si>
    <t>Introduire des contre-vérifications indépendantes</t>
  </si>
  <si>
    <t>Vérifier les sources des rapports directionnels</t>
  </si>
  <si>
    <t>Reporting directionnel erroné</t>
  </si>
  <si>
    <t>Les mises à jour ne respectent pas l'échéancier prévu</t>
  </si>
  <si>
    <t>Pièce échéancier MAJ</t>
  </si>
  <si>
    <t>Un échéancier encadre-t-il les mises à jour informationnelles ?</t>
  </si>
  <si>
    <t>Un calendrier de mise à jour des informations relatives aux risques et contrôles internes est défini et respecté</t>
  </si>
  <si>
    <t>S’assurer que les informations relatives aux risques et aux contrôles
 internes sont régulièrement mises à jour et partagées avec les
 parties prenantes pertinentes, y compris la direction et le Conseil</t>
  </si>
  <si>
    <t>Créer des processus d'actualisation automatisés</t>
  </si>
  <si>
    <t>Implémenter des alertes sur données obsolètes</t>
  </si>
  <si>
    <t>Données non actualisées utilisées</t>
  </si>
  <si>
    <t>Les workflows ne suivent pas de standards définis</t>
  </si>
  <si>
    <t>Fiche workflows standardisés</t>
  </si>
  <si>
    <t>Établir un calendrier de maintenance contraignant</t>
  </si>
  <si>
    <t>Automatiser les mises à jour systèmes</t>
  </si>
  <si>
    <t>Retards dans les mises à jour système</t>
  </si>
  <si>
    <t>L'automatisation des validations présente des dysfonctionnements récurrents</t>
  </si>
  <si>
    <t>Plan automatisation validations</t>
  </si>
  <si>
    <t>L'automatisation standardise-t-elle les validations ?</t>
  </si>
  <si>
    <t>Des outils automatisés ou logiciels sont utilisés pour faciliter et standardiser le processus de validation des informations</t>
  </si>
  <si>
    <t>Documenter toutes les exceptions et dérogations</t>
  </si>
  <si>
    <t>Cartographier et harmoniser les processus</t>
  </si>
  <si>
    <t>Incohérences dans les processus</t>
  </si>
  <si>
    <t>Les registres d'audit sont obsolètes et inadaptées</t>
  </si>
  <si>
    <t>Document registres audit</t>
  </si>
  <si>
    <t>Maintenir un environnement de test dédié</t>
  </si>
  <si>
    <t>Valider régulièrement les outils de contrôle</t>
  </si>
  <si>
    <t>Outils de validation défectueux</t>
  </si>
  <si>
    <t>Les audits processus ne sont pas correctement enregistrés</t>
  </si>
  <si>
    <t>Registre audits processus</t>
  </si>
  <si>
    <t>Des audits périodiques contrôlent-ils les processus de validation ?</t>
  </si>
  <si>
    <t>Des audits ou des révisions périodiques sont effectués pour valider la conformité des processus de validation avec les normes internes</t>
  </si>
  <si>
    <t>Standardiser les méthodes de documentation</t>
  </si>
  <si>
    <t>Digitaliser les preuves d'audit</t>
  </si>
  <si>
    <t>Absence de preuves d'audit</t>
  </si>
  <si>
    <t>Les contrôles approfondis ne couvrent pas tous les risques</t>
  </si>
  <si>
    <t>Rapport contrôles approfondis</t>
  </si>
  <si>
    <t>Effectuer des audits surprises sur zones sensibles</t>
  </si>
  <si>
    <t>Mettre à jour régulièrement la cartographie des risques</t>
  </si>
  <si>
    <t>Zones à risque non couvertes</t>
  </si>
  <si>
    <t>Les vérifications renforcées sont fréquemment omises</t>
  </si>
  <si>
    <t>Liste vérifications renforcées</t>
  </si>
  <si>
    <t>Certaines informations subissent-elles une vérification renforcée ?</t>
  </si>
  <si>
    <t>Les informations sont soumises à une double vérification, si nécessaire, pour s’assurer de leur fiabilité</t>
  </si>
  <si>
    <t>Aligner les plans d'audit sur les risques réels</t>
  </si>
  <si>
    <t>Former les auditeurs aux techniques d'audit à valeur ajoutée</t>
  </si>
  <si>
    <t>Audits sans valeur ajoutée</t>
  </si>
  <si>
    <t>Le calendrier des audits qualité n'est pas respecté</t>
  </si>
  <si>
    <t>Calendrier audits qualité</t>
  </si>
  <si>
    <t>Implémenter des checklists de validation finale</t>
  </si>
  <si>
    <t>Renforcer les contrôles qualité intermédiaires</t>
  </si>
  <si>
    <t>Qualité non conforme aux attentes</t>
  </si>
  <si>
    <t>Les contrôles qualité sont réalisés de manière incomplète</t>
  </si>
  <si>
    <t>Pièce contrôles qualité</t>
  </si>
  <si>
    <t>La qualité et la cohérence des données sont-elles systématiquement contrôlées ?</t>
  </si>
  <si>
    <t>Des contrôles de qualité sont mis en place pour garantir l’exactitude et la cohérence des informations</t>
  </si>
  <si>
    <t>Mettre en place des indicateurs de suivi en temps réel</t>
  </si>
  <si>
    <t>Optimiser la planification des livraisons</t>
  </si>
  <si>
    <t>Retards dans les livraisons critiques</t>
  </si>
  <si>
    <t>Les approbations métiers subissent des retards préjudiciables</t>
  </si>
  <si>
    <t>Fiche approbations métiers</t>
  </si>
  <si>
    <t>Documenter systématiquement les sources d'expertise</t>
  </si>
  <si>
    <t>Créer un comité d'experts pour validation des décisions</t>
  </si>
  <si>
    <t>Décisions sans expertise appropriée</t>
  </si>
  <si>
    <t>La validation par les experts n'est pas systématiquement effectuée</t>
  </si>
  <si>
    <t>Plan validation experts</t>
  </si>
  <si>
    <t>Des experts valident-ils les informations avant leur utilisation ?</t>
  </si>
  <si>
    <t>Les informations sont vérifiées par des personnes qualifiées avant leur diffusion dans le cadre du contrôle interne</t>
  </si>
  <si>
    <t>Vérifier que des processus formels de validation des informations
 sont mis en place pour garantir leur exactitude, leur fiabilité et leur
 cohérence avant leur utilisation dans les autres composantes du
 contrôle interne</t>
  </si>
  <si>
    <t>Communication interne</t>
  </si>
  <si>
    <t>Organiser des points d'échange inter-services hebdomadaires</t>
  </si>
  <si>
    <t>Centraliser les canaux de communication</t>
  </si>
  <si>
    <t>Communication interne défaillante</t>
  </si>
  <si>
    <t>Les notifications importantes ne parviennent pas aux destinataires concernés</t>
  </si>
  <si>
    <t>Document notifications importantes</t>
  </si>
  <si>
    <t>Définir des SLA stricts pour la réponse aux incidents</t>
  </si>
  <si>
    <t>Automatiser le traitement des alertes</t>
  </si>
  <si>
    <t>Retards dans le traitement des alertes</t>
  </si>
  <si>
    <t>Les alertes système ne sont pas traitées dans les délais requis</t>
  </si>
  <si>
    <t>Registre alertes système</t>
  </si>
  <si>
    <t>Un système d'alerte signale-t-il les actualisations importantes ?</t>
  </si>
  <si>
    <t>Restreindre l'accès selon le principe du besoin de connaître</t>
  </si>
  <si>
    <t>Implémenter des solutions de chiffrement des données</t>
  </si>
  <si>
    <t>Divulgation d'informations confidentielles</t>
  </si>
  <si>
    <t>Le rapport des données sensibles présente des failles de confidentialité</t>
  </si>
  <si>
    <t>Rapport données sensibles</t>
  </si>
  <si>
    <t>Former tous les employés aux bonnes pratiques cybersécurité</t>
  </si>
  <si>
    <t>Vulnérabilité aux cyberattaques</t>
  </si>
  <si>
    <t>Les accès prioritaires ne sont pas correctement gérés, exposant le système à des intrusions</t>
  </si>
  <si>
    <t>Liste accès prioritaires</t>
  </si>
  <si>
    <t>Les décideurs bénéficient-ils d'un accès prioritaire aux informations sensibles ?</t>
  </si>
  <si>
    <t>Mettre en place une politique de gestion des connaissances</t>
  </si>
  <si>
    <t>Structurer un référentiel documentaire unique</t>
  </si>
  <si>
    <t>Accès désorganisés aux informations</t>
  </si>
  <si>
    <t>Accès aux données irrégulier</t>
  </si>
  <si>
    <t>Calendrier accès données</t>
  </si>
  <si>
    <t>Développer une plateforme collaborative centralisée</t>
  </si>
  <si>
    <t>Créer des comités transversaux réguliers</t>
  </si>
  <si>
    <t>Collaboration entravée entre services</t>
  </si>
  <si>
    <t>Partage d'informations restreint</t>
  </si>
  <si>
    <t>Pièce partage information</t>
  </si>
  <si>
    <t>Le partage d'information permet-il un accès immédiat aux données utiles ?</t>
  </si>
  <si>
    <t>Former les rédacteurs à l'analyse des besoins métiers</t>
  </si>
  <si>
    <t>Implémenter un processus de collecte des besoins utilisateurs</t>
  </si>
  <si>
    <t>Rapports inadaptés aux besoins</t>
  </si>
  <si>
    <t>Modèles de rapports obsolètes</t>
  </si>
  <si>
    <t>Fiche modèles rapports</t>
  </si>
  <si>
    <t>Mettre en place des contrôles qualité automatisés pour les rapports</t>
  </si>
  <si>
    <t>Standardiser les modèles et formats de reporting</t>
  </si>
  <si>
    <t>Incohérence dans les rapports</t>
  </si>
  <si>
    <t>Présentations non standardisées</t>
  </si>
  <si>
    <t>Plan standardisation présentations</t>
  </si>
  <si>
    <t>L'uniformisation des présentations facilite-t-elle leur interprétation ?</t>
  </si>
  <si>
    <t>Mettre en place un système de mentorat technique</t>
  </si>
  <si>
    <t>Former les équipes aux gestes techniques de base</t>
  </si>
  <si>
    <t>Pannes techniques répétées</t>
  </si>
  <si>
    <t>Interfaces techniques défectueuses</t>
  </si>
  <si>
    <t>Document interfaces données</t>
  </si>
  <si>
    <t>Analyser les tendances des pannes récurrentes</t>
  </si>
  <si>
    <t>Documenter toutes les pannes et solutions</t>
  </si>
  <si>
    <t>Fuites de données sensibles</t>
  </si>
  <si>
    <t>Accès non sécurisés</t>
  </si>
  <si>
    <t>Registre accès sécurisés</t>
  </si>
  <si>
    <t>Les données clés sont-elles consultables via des interfaces sécurisées ?</t>
  </si>
  <si>
    <t>S’assurer que les informations nécessaires au bon fonctionnement
 des autres composantes du contrôle interne sont accessibles en
 temps utile et sous un format compréhensible pour les
 responsables concernés</t>
  </si>
  <si>
    <t>Maintenir un stock de pièces critiques</t>
  </si>
  <si>
    <t>Automatiser la détection des anomalies techniques</t>
  </si>
  <si>
    <t>Données inexploitables</t>
  </si>
  <si>
    <t>Données peu fiables</t>
  </si>
  <si>
    <t>Rapport fiabilité données</t>
  </si>
  <si>
    <t>Former le personnel aux bonnes pratiques techniques</t>
  </si>
  <si>
    <t>Mettre en place un plan de maintenance préventive</t>
  </si>
  <si>
    <t>Contrôles inefficaces et coûteux</t>
  </si>
  <si>
    <t>Outils de contrôle inadéquats</t>
  </si>
  <si>
    <t>Liste outils contrôle</t>
  </si>
  <si>
    <t>La fiabilité des informations est-elle contrôlée par des outils dédiés ?</t>
  </si>
  <si>
    <t>Des outils de contrôle de la qualité des informations sont utilisés pour garantir leur fiabilité</t>
  </si>
  <si>
    <t>Chiffrer les données sensibles</t>
  </si>
  <si>
    <t>Renforcer les contrôles d'accès aux données</t>
  </si>
  <si>
    <t>Utilisation d'informations obsolètes</t>
  </si>
  <si>
    <t>Mises à jour retardées</t>
  </si>
  <si>
    <t>Calendrier mises à jour</t>
  </si>
  <si>
    <t>Implémenter des outils d'ETL (Extract, Transform, Load)</t>
  </si>
  <si>
    <t>Standardiser les formats de données</t>
  </si>
  <si>
    <t>Confusion dans l'exécution des tâches</t>
  </si>
  <si>
    <t>Pièce responsables données</t>
  </si>
  <si>
    <t>Chaque jeu de données a-t-il un gestionnaire attitré pour les mises à jour ?</t>
  </si>
  <si>
    <t>Optimiser le rapport coût/efficacité des contrôles</t>
  </si>
  <si>
    <t>Réviser l'efficacité des contrôles existants</t>
  </si>
  <si>
    <t>Qualité des données constamment dégradée</t>
  </si>
  <si>
    <t>Non-conformité des données persistante</t>
  </si>
  <si>
    <t>Fiche conformité données</t>
  </si>
  <si>
    <t>Mettre en place des alertes sur documents obsolètes</t>
  </si>
  <si>
    <t>Automatiser les mises à jour d'information</t>
  </si>
  <si>
    <t>Problèmes récurrents non résolus</t>
  </si>
  <si>
    <t>registres de correction inefficaces</t>
  </si>
  <si>
    <t>Plan registres rectificatives</t>
  </si>
  <si>
    <t>Des registres rectificatives maintiennent-elles la conformité des données ?</t>
  </si>
  <si>
    <t>Organiser des ateliers de clarification</t>
  </si>
  <si>
    <t>Clarifier les procédures opérationnelles</t>
  </si>
  <si>
    <t>Analyses incomplètes et biaisées</t>
  </si>
  <si>
    <t>Informations manquantes dans les rapports</t>
  </si>
  <si>
    <t>Document exhaustivité rapports</t>
  </si>
  <si>
    <t>Mettre en place des contrôles de cohérence</t>
  </si>
  <si>
    <t>Automatiser le nettoyage des données</t>
  </si>
  <si>
    <t>Décisions basées sur données non fiables</t>
  </si>
  <si>
    <t>Sources de données non certifiées</t>
  </si>
  <si>
    <t>Registre sources données</t>
  </si>
  <si>
    <t>Les rapports s'appuient-ils sur des informations exhaustives et actuelles ?</t>
  </si>
  <si>
    <t>Implémenter des solutions définitives</t>
  </si>
  <si>
    <t>Analyser les causes profondes des récidives</t>
  </si>
  <si>
    <t>Historique des corrections perdu</t>
  </si>
  <si>
    <t>Corrections d'erreurs non documentées</t>
  </si>
  <si>
    <t>Rapport erreurs corrigées</t>
  </si>
  <si>
    <t>Former aux techniques d'analyse avancées</t>
  </si>
  <si>
    <t>Standardiser les méthodes d'analyse</t>
  </si>
  <si>
    <t>Erreurs non détectées s'accumulent</t>
  </si>
  <si>
    <t>Validations automatisées absentes</t>
  </si>
  <si>
    <t>Liste validations systématiques</t>
  </si>
  <si>
    <t>Une validation systématique assure-t-elle la justesse des données diffusées ?</t>
  </si>
  <si>
    <t>Un processus de validation est mis en place pour vérifier l’exactitude des informations générées avant leur diffusion</t>
  </si>
  <si>
    <t>Vérifier que les informations générées sont complètes, précises et à
 jour, de manière à refléter fidèlement la situation de l’organisation et
 ses performances en matière de contrôle interne</t>
  </si>
  <si>
    <t>Vérifier systématiquement la qualité des données</t>
  </si>
  <si>
    <t>Perturbation des processus clés</t>
  </si>
  <si>
    <t>Ajustements non planifiés</t>
  </si>
  <si>
    <t>Calendrier ajustements filtres</t>
  </si>
  <si>
    <t>Créer une base de connaissances des problèmes résolus</t>
  </si>
  <si>
    <t>Sauvegarder l'historique des actions correctives</t>
  </si>
  <si>
    <t>Analyses et rapports biaisés</t>
  </si>
  <si>
    <t>Paramétrage des filtres erroné</t>
  </si>
  <si>
    <t>Pièce paramètres filtres</t>
  </si>
  <si>
    <t>Des filtres garantissent-ils l'adéquation des informations aux attentes ?</t>
  </si>
  <si>
    <t>Automatiser la documentation des anomalies</t>
  </si>
  <si>
    <t>Implémenter des systèmes de détection d'erreurs</t>
  </si>
  <si>
    <t>Retard dans les prises de décision</t>
  </si>
  <si>
    <t>Disponibilité des données aléatoire</t>
  </si>
  <si>
    <t>Fiche disponibilité données</t>
  </si>
  <si>
    <t>Mettre en place des indicateurs de surveillance</t>
  </si>
  <si>
    <t>Cartographier les processus critiques</t>
  </si>
  <si>
    <t>Blocage des opérations urgentes</t>
  </si>
  <si>
    <t>Accès urgent impossible</t>
  </si>
  <si>
    <t>Plan accès immédiat</t>
  </si>
  <si>
    <t>Les données sont-elles disponibles immédiatement pour optimiser les processus ?</t>
  </si>
  <si>
    <t>Former aux biais cognitifs dans l'analyse</t>
  </si>
  <si>
    <t>Standardiser les modèles d'analyse</t>
  </si>
  <si>
    <t>Audits impossibles à réaliser</t>
  </si>
  <si>
    <t>Traçabilité des données insuffisante</t>
  </si>
  <si>
    <t>Document traçabilité données</t>
  </si>
  <si>
    <t>Limiter le nombre d'approbations nécessaires</t>
  </si>
  <si>
    <t>Optimiser les circuits décisionnels</t>
  </si>
  <si>
    <t>Données perdues ou incomplètes</t>
  </si>
  <si>
    <t>registres de collecte non suivies</t>
  </si>
  <si>
    <t>Registre registres collecte</t>
  </si>
  <si>
    <t>La collecte d'informations suit-elle une registre claire et traçable ?</t>
  </si>
  <si>
    <t>Identifier des solutions de secours pré-approuvées</t>
  </si>
  <si>
    <t>Élaborer des plans de continuité d'activité</t>
  </si>
  <si>
    <t>Aggravation des dysfonctionnements</t>
  </si>
  <si>
    <t>Anomalies non corrigées systématiquement</t>
  </si>
  <si>
    <t>Rapport anomalies détectées</t>
  </si>
  <si>
    <t>Automatiser la collecte des preuves</t>
  </si>
  <si>
    <t>Préparer des dossiers d'audit permanents</t>
  </si>
  <si>
    <t>Défauts atteignant les clients</t>
  </si>
  <si>
    <t>Vérifications qualité incomplètes</t>
  </si>
  <si>
    <t>Liste vérifications qualité</t>
  </si>
  <si>
    <t>La qualité des données recueillies fait-elle l'objet de vérifications ?</t>
  </si>
  <si>
    <t>Standardiser les formats de données critiques</t>
  </si>
  <si>
    <t>Mettre en place des sauvegardes automatiques</t>
  </si>
  <si>
    <t>Erreurs passant inaperçues</t>
  </si>
  <si>
    <t>Contrôles des données irréguliers</t>
  </si>
  <si>
    <t>Calendrier contrôles données</t>
  </si>
  <si>
    <t>Analyser systématiquement les retours clients</t>
  </si>
  <si>
    <t>Renforcer les contrôles finaux produits</t>
  </si>
  <si>
    <t>Échec des solutions techniques</t>
  </si>
  <si>
    <t>Solution technique inadaptée au problème</t>
  </si>
  <si>
    <t>Pièce solution informatique</t>
  </si>
  <si>
    <t>Des solutions informatiques permettent-elles de regrouper les données de contrôle ?</t>
  </si>
  <si>
    <t>S’assurer que des mécanismes sont en place pour collecter des
 informations fiables et pertinentes sur les activités de l’organisation,
 en particulier celles liées au contrôle interne</t>
  </si>
  <si>
    <t>Implémenter des systèmes de double vérification</t>
  </si>
  <si>
    <t>Automatiser les contrôles qualité intermédiaires</t>
  </si>
  <si>
    <t>Exclusion de certains collaborateurs</t>
  </si>
  <si>
    <t>Accessibilité non adaptée aux besoins</t>
  </si>
  <si>
    <t>Fiche accessibilité personnalisée</t>
  </si>
  <si>
    <t>Mettre en place des environnements de test réalistes</t>
  </si>
  <si>
    <t>Tester rigoureusement les solutions avant déploiement</t>
  </si>
  <si>
    <t>Évolution professionnelle entravée</t>
  </si>
  <si>
    <t>Parcours de formation inapproprié</t>
  </si>
  <si>
    <t>Plan parcours formation</t>
  </si>
  <si>
    <t>L'accès aux formations est-il universel et personnalisé selon les postes ?</t>
  </si>
  <si>
    <t>Diversifier les canaux de communication interne</t>
  </si>
  <si>
    <t>Implémenter des programmes d'inclusion</t>
  </si>
  <si>
    <t>Enseignement d'informations dépassées</t>
  </si>
  <si>
    <t>Contenus de formation non révisés</t>
  </si>
  <si>
    <t>Document mises à jour pédagogiques</t>
  </si>
  <si>
    <t>Créer des parcours de développement individualisés</t>
  </si>
  <si>
    <t>Mettre à jour annuellement les programmes</t>
  </si>
  <si>
    <t>Transmission erronée des connaissances</t>
  </si>
  <si>
    <t>Formateurs non qualifiés</t>
  </si>
  <si>
    <t>Registre qualifications formateurs</t>
  </si>
  <si>
    <t>Les formateurs possèdent-ils les qualifications nécessaires et sont-ils tenus informés ?</t>
  </si>
  <si>
    <t>Valider le contenu par des experts métiers</t>
  </si>
  <si>
    <t>Standardiser les supports de formation</t>
  </si>
  <si>
    <t>Retour sur investissement inconnu</t>
  </si>
  <si>
    <t>Impact des compétences non quantifié</t>
  </si>
  <si>
    <t>Rapport impact compétences</t>
  </si>
  <si>
    <t>Lier les formations aux objectifs métiers</t>
  </si>
  <si>
    <t>Développer des tableaux de bord ROI formation</t>
  </si>
  <si>
    <t>Impact des formations non évalué</t>
  </si>
  <si>
    <t>Évaluation post-formation absente</t>
  </si>
  <si>
    <t>Liste évaluations post-formation</t>
  </si>
  <si>
    <t>Existe-t-il une méthode pour évaluer l'impact des formations sur les compétences ?</t>
  </si>
  <si>
    <t>Recueillir des feedbacks terrain post-formation</t>
  </si>
  <si>
    <t>Évaluer l'impact des formations via des KPI</t>
  </si>
  <si>
    <t>Processus inefficaces et contre-productifs</t>
  </si>
  <si>
    <t>Référentiels métiers périmés</t>
  </si>
  <si>
    <t>Liste des référentiels métiers</t>
  </si>
  <si>
    <t>Mesurer l'efficience de chaque processus</t>
  </si>
  <si>
    <t>Réaliser des cartographies des processus</t>
  </si>
  <si>
    <t>Non-conformité aux standards qualité</t>
  </si>
  <si>
    <t>Politique qualité obsolète</t>
  </si>
  <si>
    <t>Document de politique qualité</t>
  </si>
  <si>
    <t>La périodicité des formations est-elle clairement établie et respectée, avec adaptation des contenus ?</t>
  </si>
  <si>
    <t>Automatiser les contrôles qualité critiques</t>
  </si>
  <si>
    <t>Benchmarker régulièrement les standards qualité</t>
  </si>
  <si>
    <t>Mauvaise assimilation des connaissances</t>
  </si>
  <si>
    <t>Supports pédagogiques dépassés</t>
  </si>
  <si>
    <t>inventaire des contenus pédagogiques</t>
  </si>
  <si>
    <t>Diversifier les méthodes pédagogiques</t>
  </si>
  <si>
    <t>Évaluer l'acquisition des connaissances</t>
  </si>
  <si>
    <t>Savoir-faire devenus obsolètes</t>
  </si>
  <si>
    <t>Périodicité des formations non respectée</t>
  </si>
  <si>
    <t>Charte de périodicité des formations</t>
  </si>
  <si>
    <t>Des programmes de formation existent-ils ?</t>
  </si>
  <si>
    <t>Des programmes de formation sont définis pour assurer la compétence des collaborateurs en matière de contrôle interne</t>
  </si>
  <si>
    <t>S’assurer que des formations régulières sont proposées aux
 collaborateurs pour garantir leur compréhension et leur capacité à
 mettre en œuvre correctement les règles et registres de contrôle</t>
  </si>
  <si>
    <t>Organiser des sessions de mise à niveau trimestrielles</t>
  </si>
  <si>
    <t>Mettre à jour le référentiel de compétences</t>
  </si>
  <si>
    <t>Inadéquation entre compétences et besoins</t>
  </si>
  <si>
    <t>Développement des compétences incohérent</t>
  </si>
  <si>
    <t>Plan de développement des compétences</t>
  </si>
  <si>
    <t>Adapter les plans de formation aux besoins réels</t>
  </si>
  <si>
    <t>Réaliser des audits de compétences annuels</t>
  </si>
  <si>
    <t>Incapacité à prouver les compétences</t>
  </si>
  <si>
    <t>Enregistrement des formations absent</t>
  </si>
  <si>
    <t>Registre des formations</t>
  </si>
  <si>
    <t>La direction est-elle informée des impacts ?</t>
  </si>
  <si>
    <t>La direction est informée des actions correctives prises et de leur impact sur l’efficacité des contrôles</t>
  </si>
  <si>
    <t>Maintenir un registre des compétences à jour</t>
  </si>
  <si>
    <t>Certifier les compétences via des tests pratiques</t>
  </si>
  <si>
    <t>Planification inefficace des actions</t>
  </si>
  <si>
    <t>Données stratégiques inexactes</t>
  </si>
  <si>
    <t>Manuel d’information stratégique</t>
  </si>
  <si>
    <t>Allouer des marges de sécurité réalistes</t>
  </si>
  <si>
    <t>Utiliser des méthodes de planification éprouvées (GANTT, PERT)</t>
  </si>
  <si>
    <t>Prises de décision inadaptées</t>
  </si>
  <si>
    <t>Reporting directionnel incomplet</t>
  </si>
  <si>
    <t>Fiche de reporting directionnel</t>
  </si>
  <si>
    <t>Les contrôles sont-ils révisés après écarts ?</t>
  </si>
  <si>
    <t>Des processus de révision des contrôles sont activés pour s’assurer que les ajustements sont apportés en fonction des écarts identifiés</t>
  </si>
  <si>
    <t>Implémenter des outils d'aide à la décision</t>
  </si>
  <si>
    <t>Former aux techniques de prise de décision</t>
  </si>
  <si>
    <t>Impossibilité de reproduire les corrections</t>
  </si>
  <si>
    <t>Ajustements mal documentés</t>
  </si>
  <si>
    <t>Registre des ajustements</t>
  </si>
  <si>
    <t>Créer une base de connaissances des résolutions</t>
  </si>
  <si>
    <t>Automatiser la documentation des corrections</t>
  </si>
  <si>
    <t>Détection trop tardive des anomalies</t>
  </si>
  <si>
    <t>Contrôles non actualisés</t>
  </si>
  <si>
    <t>Plan de révision des contrôles</t>
  </si>
  <si>
    <t>L'efficacité des corrections est-elles évaluée ?</t>
  </si>
  <si>
    <t>Les actions correctives sont suivies et évaluées pour vérifier leur efficacité</t>
  </si>
  <si>
    <t>Mesurer l'efficacité via des indicateurs dédiés</t>
  </si>
  <si>
    <t>Imposer des contrôles post-correction systématiques</t>
  </si>
  <si>
    <t>Efficacité des corrections non vérifiée</t>
  </si>
  <si>
    <t>Défaut de suivi post-correction</t>
  </si>
  <si>
    <t>Rapport efficacité</t>
  </si>
  <si>
    <t>Organiser des simulations régulières</t>
  </si>
  <si>
    <t>Développer des scénarios préventifs pour risques connus</t>
  </si>
  <si>
    <t>Incidents qui auraient pu être évités</t>
  </si>
  <si>
    <t>Négligence des actions préventives</t>
  </si>
  <si>
    <t>Liste des actions CAPA</t>
  </si>
  <si>
    <t>Des actions correctives sont-elles définies ?</t>
  </si>
  <si>
    <t>Des actions correctives sont systématiquement définies pour chaque écart observé, avec des délais précis pour leur mise en œuvre</t>
  </si>
  <si>
    <t>Automatiser le signalement des écarts</t>
  </si>
  <si>
    <t>Établir des tolérances qualité clairement définies</t>
  </si>
  <si>
    <t>Acceptation d'écarts inacceptables</t>
  </si>
  <si>
    <t>Tolérance excessive aux écarts</t>
  </si>
  <si>
    <t>Charte de traitement des écarts</t>
  </si>
  <si>
    <t>Implémenter un référentiel de solutions validées</t>
  </si>
  <si>
    <t>Analyser systématiquement les causes d'échec</t>
  </si>
  <si>
    <t>Solutions inefficaces réappliquées</t>
  </si>
  <si>
    <t>Méthodes correctives inopérantes</t>
  </si>
  <si>
    <t>Document de registre corrective</t>
  </si>
  <si>
    <t>Un processus documenté de correction existe-t-il ?</t>
  </si>
  <si>
    <t>Un processus documenté est en place pour identifier, analyser et corriger les écarts dans les registres de contrôle</t>
  </si>
  <si>
    <t>Vérifier que des actions correctives sont prises lorsque des écarts
 sont identifiés dans l’application des règles et registres de
 contrôle, avec des processus de mise à jour ou de renforcement des
 contrôles si nécessaire</t>
  </si>
  <si>
    <t>Définir des jalons intermédiaires contraignants</t>
  </si>
  <si>
    <t>Mettre en place un système de suivi de projet avec alertes</t>
  </si>
  <si>
    <t>Retards chroniques dans les projets</t>
  </si>
  <si>
    <t>Non-respect des échéances</t>
  </si>
  <si>
    <t>Inventaire des échéances</t>
  </si>
  <si>
    <t>Publier un organigramme des responsabilités actualisé</t>
  </si>
  <si>
    <t>Élaborer des fiches de poste détaillées</t>
  </si>
  <si>
    <t>registres d'action floues</t>
  </si>
  <si>
    <t>Manuel de gestion des actions</t>
  </si>
  <si>
    <t>Des actions sont-elles prises avec échéances claires ?</t>
  </si>
  <si>
    <t>Des actions sont prises pour résoudre les problèmes identifiés lors des audits, avec des échéances claires pour la mise en œuvre des corrections</t>
  </si>
  <si>
    <t>Vérifier systématiquement la compréhension des consignes</t>
  </si>
  <si>
    <t>Standardiser les canaux et supports de transmission</t>
  </si>
  <si>
    <t>Mauvaise transmission des consignes</t>
  </si>
  <si>
    <t>Transmission managériale défaillante</t>
  </si>
  <si>
    <t>Fiche de diffusion managériale</t>
  </si>
  <si>
    <t>Diversifier les sources d'information stratégiques</t>
  </si>
  <si>
    <t>Imposer la validation croisée des informations avant décision</t>
  </si>
  <si>
    <t>Décisions basées sur des informations incomplètes</t>
  </si>
  <si>
    <t>Communication partielle des résultats</t>
  </si>
  <si>
    <t>Plan de communication des résultats</t>
  </si>
  <si>
    <t>Les résultats des audits sont-ils communiqués ?</t>
  </si>
  <si>
    <t>Les résultats des audits sont documentés et communiqués aux parties prenantes concernées</t>
  </si>
  <si>
    <t>Affecter des responsables clairement identifiés pour chaque action</t>
  </si>
  <si>
    <t>Développer des plans d'action SMART (Spécifiques, Mesurables, Atteignables, Réalistes, Temporels)</t>
  </si>
  <si>
    <t>Absence de plans d'action clairs</t>
  </si>
  <si>
    <t>Absence de conclusions formalisées</t>
  </si>
  <si>
    <t>Registre des conclusions d’audit</t>
  </si>
  <si>
    <t>Mettre en place un programme de bug bounty</t>
  </si>
  <si>
    <t>Réaliser des audits de sécurité approfondis trimestriels</t>
  </si>
  <si>
    <t>Failles majeures non identifiées</t>
  </si>
  <si>
    <t>Omission des audits critiques</t>
  </si>
  <si>
    <t>Liste des audits internes</t>
  </si>
  <si>
    <t>Des audits internes sont-ils réalisés ?</t>
  </si>
  <si>
    <t>Des audits internes sont réalisés à intervalles réguliers pour évaluer la conformité des registres de contrôle</t>
  </si>
  <si>
    <t>Créer des référentiels de données historiques normalisés</t>
  </si>
  <si>
    <t>Standardiser les formats et méthodes de collecte de données</t>
  </si>
  <si>
    <t>Données non comparables entre périodes</t>
  </si>
  <si>
    <t>Analyse des données non standardisée</t>
  </si>
  <si>
    <t>Charte d’analyse des données</t>
  </si>
  <si>
    <t>Configurer des seuils d'alerte adaptatifs pour les indicateurs clés</t>
  </si>
  <si>
    <t>Implémenter des systèmes de détection précoce avec alertes automatiques</t>
  </si>
  <si>
    <t>Problèmes détectés trop tard</t>
  </si>
  <si>
    <t>Examen superficiel des rapports</t>
  </si>
  <si>
    <t>Document d’examen des rapports</t>
  </si>
  <si>
    <t>Des rapports de suivi sont-ils examinés ?</t>
  </si>
  <si>
    <t>Des rapports de suivi sont générés périodiquement et examinés par la direction pour évaluer l’efficacité des contrôles</t>
  </si>
  <si>
    <t>Développer des tableaux de bord stratégiques</t>
  </si>
  <si>
    <t>Automatiser la collecte des données décisionnelles</t>
  </si>
  <si>
    <t>Décisions sans analyse des indicateurs clés</t>
  </si>
  <si>
    <t>Indicateurs clés non analysés</t>
  </si>
  <si>
    <t>Rapport des indicateurs clés</t>
  </si>
  <si>
    <t>Former les décideurs à l'utilisation des indicateurs</t>
  </si>
  <si>
    <t>Imposer l'analyse des KPI avant décision</t>
  </si>
  <si>
    <t>Perte de visibilité sur les opérations</t>
  </si>
  <si>
    <t>Suivi opérationnel défaillant</t>
  </si>
  <si>
    <t>Plan de suivi opérationnel</t>
  </si>
  <si>
    <t>Des mécanismes de suivi réguliers existent-ils ?</t>
  </si>
  <si>
    <t>Des mécanismes de suivi réguliers sont définis et suivis par un responsable ou un comité dédié</t>
  </si>
  <si>
    <t>S’assurer que des mécanismes de suivi sont en place pour garantir
 le respect des règles et registres de contrôle, avec des rapports
 réguliers sur leur mise en œuvre et des audits pour vérifier leur
 efficacité</t>
  </si>
  <si>
    <t>Utilisation d’informations de qualité</t>
  </si>
  <si>
    <t>Information et Communication</t>
  </si>
  <si>
    <t>Centraliser les indicateurs clés</t>
  </si>
  <si>
    <t>Déployer des outils de monitoring opérationnel</t>
  </si>
  <si>
    <t>Application de procédures périmées</t>
  </si>
  <si>
    <t>Modifications non communiquées</t>
  </si>
  <si>
    <t>Liste des modifications</t>
  </si>
  <si>
    <t>Automatiser les rappels procéduraux</t>
  </si>
  <si>
    <t>Auditer l'application des procédures</t>
  </si>
  <si>
    <t>Base documentaire non fiable</t>
  </si>
  <si>
    <t>Mises à jour non enregistrées</t>
  </si>
  <si>
    <t>Registre des mises à jour</t>
  </si>
  <si>
    <t>Les règles sont-elles mises à jour continuellement ?</t>
  </si>
  <si>
    <t>Mise à jour continue des règles pour répondre aux nouvelles menaces et aux évolutions technologiques</t>
  </si>
  <si>
    <t>Sauvegarder régulièrement la base documentaire</t>
  </si>
  <si>
    <t>Implémenter des contrôles d'intégrité des données</t>
  </si>
  <si>
    <t>Utilisation de versions obsolètes de documents</t>
  </si>
  <si>
    <t>Versionnage incohérent</t>
  </si>
  <si>
    <t>Manuel de versionnage</t>
  </si>
  <si>
    <t>Automatiser les mises à jour des versions</t>
  </si>
  <si>
    <t>Mettre en place un système de gestion documentaire</t>
  </si>
  <si>
    <t>Incohérences entre les processus</t>
  </si>
  <si>
    <t>Révisions des règles non standardisées</t>
  </si>
  <si>
    <t>Fiche de révision des règles</t>
  </si>
  <si>
    <t>Les règles sont-elles révisées périodiquement ?</t>
  </si>
  <si>
    <t>Révision périodique des règles par les responsables pour garantir qu’elles sont toujours pertinentes</t>
  </si>
  <si>
    <t>Documenter toutes les dérogations</t>
  </si>
  <si>
    <t>Auditer régulièrement la cohérence des processus</t>
  </si>
  <si>
    <t>Décisions sans approbation officielle</t>
  </si>
  <si>
    <t>Validation formelle absente</t>
  </si>
  <si>
    <t>Plan de validation formelle</t>
  </si>
  <si>
    <t>Lier les approbations aux workflows</t>
  </si>
  <si>
    <t>Digitaliser les processus d'approbation</t>
  </si>
  <si>
    <t>Validations manquantes sur documents importants</t>
  </si>
  <si>
    <t>registre d'approbation non suivie</t>
  </si>
  <si>
    <t>Document de registre d’approbation</t>
  </si>
  <si>
    <t>Un processus d'approbation formel existe-t-il ?</t>
  </si>
  <si>
    <t>Existence d’un processus d’approbation formel pour toute mise à jour des règles par les responsables des contrôles</t>
  </si>
  <si>
    <t>Configurer des alertes pour les validations manquantes</t>
  </si>
  <si>
    <t>Implémenter un système de validation électronique</t>
  </si>
  <si>
    <t>Décisions mal comprises ou contestées</t>
  </si>
  <si>
    <t>Décisions collaboratives non formalisées</t>
  </si>
  <si>
    <t>Registre des décisions collaboratives</t>
  </si>
  <si>
    <t>Organiser des séances de questions-réponses</t>
  </si>
  <si>
    <t>Clarifier les décisions par écrit</t>
  </si>
  <si>
    <t>Perte de temps en réunions inefficaces</t>
  </si>
  <si>
    <t>Réunions techniques non productives</t>
  </si>
  <si>
    <t>Liste des réunions techniques</t>
  </si>
  <si>
    <t>La collaboration avec les équipes techniques existe-t-elle ?</t>
  </si>
  <si>
    <t>Collaboration avec les équipes techniques pour adapter les règles de contrôle aux besoins spécifiques des systèmes d’information</t>
  </si>
  <si>
    <t>Imposer des comptes-rendus d'action</t>
  </si>
  <si>
    <t>Standardiser les procédures de réunion</t>
  </si>
  <si>
    <t>Baisse de motivation des employés</t>
  </si>
  <si>
    <t>Contributions non reconnues</t>
  </si>
  <si>
    <t>Liste des contributions actives</t>
  </si>
  <si>
    <t>Développer des programmes de reconnaissance</t>
  </si>
  <si>
    <t>Mettre en place des enquêtes de satisfaction</t>
  </si>
  <si>
    <t>Impossibilité de suivre les participants aux revues qualité</t>
  </si>
  <si>
    <t>Participation aux revues non tracée</t>
  </si>
  <si>
    <t>PV de participation aux revues</t>
  </si>
  <si>
    <t>Les responsables participent-ils activement ?</t>
  </si>
  <si>
    <t>Participation active des responsables des contrôles à l’élaboration et à la mise à jour des règles de contrôle</t>
  </si>
  <si>
    <t>Vérifier que les responsables des contrôles sont impliqués dans la
 définition et la mise à jour des règles et des registres, afin de
 garantir que celles-ci répondent aux besoins spécifiques des
 systèmes d'information et aux exigences de contrôle</t>
  </si>
  <si>
    <t>Automatiser les invitations et présences</t>
  </si>
  <si>
    <t>Digitaliser le suivi des participants</t>
  </si>
  <si>
    <t>Difficulté à démontrer la conformité aux auditeurs</t>
  </si>
  <si>
    <t>Non-conformités mal documentées</t>
  </si>
  <si>
    <t>Compte-rendu des non-conformités</t>
  </si>
  <si>
    <t>Standardiser les preuves de conformité</t>
  </si>
  <si>
    <t>Risques importants non couverts par les audits</t>
  </si>
  <si>
    <t>Plan d'audit non aligné aux risques</t>
  </si>
  <si>
    <t>Plan d'audit de conformité</t>
  </si>
  <si>
    <t>Des audits de conformité sont-ils réalisés ?</t>
  </si>
  <si>
    <t>Audit de conformité pour s’assurer que les règles de contrôle sont bien appliquées et respectées</t>
  </si>
  <si>
    <t>Former les auditeurs aux risques spécifiques</t>
  </si>
  <si>
    <t>Adapter le plan d'audit aux risques émergents</t>
  </si>
  <si>
    <t>Écarts non rapportés systématiquement</t>
  </si>
  <si>
    <t>Rapport des écarts constatés</t>
  </si>
  <si>
    <t>Affecter des responsables de résolution</t>
  </si>
  <si>
    <t>Mettre en place un système de gestion des problèmes</t>
  </si>
  <si>
    <t>Points critiques oubliés lors des vérifications</t>
  </si>
  <si>
    <t>Checklist non exhaustive</t>
  </si>
  <si>
    <t>Checklist de vérification du respect</t>
  </si>
  <si>
    <t>Le respect des règles est-il vérifié ?</t>
  </si>
  <si>
    <t>Mise en œuvre de mécanismes de contrôle pour vérifier le respect des règles établies</t>
  </si>
  <si>
    <t>Automatiser les rappels pour les points critiques</t>
  </si>
  <si>
    <t>Développer des checklists exhaustives</t>
  </si>
  <si>
    <t>Impossibilité de prouver la connaissance des règles par le personnel</t>
  </si>
  <si>
    <t>Attestations de lecture non collectées</t>
  </si>
  <si>
    <t>Attestations de lecture des règles</t>
  </si>
  <si>
    <t>Digitaliser les formations obligatoires</t>
  </si>
  <si>
    <t>Tester régulièrement les connaissances du personnel</t>
  </si>
  <si>
    <t>Incohérence dans l'application des processus</t>
  </si>
  <si>
    <t>Diffusion inégale des règles</t>
  </si>
  <si>
    <t>Guide de diffusion des règles (supports/formats)</t>
  </si>
  <si>
    <t>Les règles sont-elles clairement communiquées ?</t>
  </si>
  <si>
    <t>Communication claire des règles aux parties prenantes pour garantir leur application uniforme</t>
  </si>
  <si>
    <t>Documenter toutes les exceptions</t>
  </si>
  <si>
    <t>Harmoniser les processus entre services</t>
  </si>
  <si>
    <t>Augmentation des erreurs critiques</t>
  </si>
  <si>
    <t>Versions non approuvées utilisées</t>
  </si>
  <si>
    <t>Registre des versions approuvées</t>
  </si>
  <si>
    <t>Implémenter des contrôles qualité automatisés</t>
  </si>
  <si>
    <t>Analyser les causes racines des erreurs</t>
  </si>
  <si>
    <t>Pratiques non alignées avec les standards</t>
  </si>
  <si>
    <t>Révisions des règles retardées</t>
  </si>
  <si>
    <t>Calendrier des révisions des règles</t>
  </si>
  <si>
    <t>Les règles sont-elles révisées régulièrement ?</t>
  </si>
  <si>
    <t>Révision des règles de contrôle en fonction de l’évolution des risques et des menaces</t>
  </si>
  <si>
    <t>Mettre en place un plan d'alignement progressif</t>
  </si>
  <si>
    <t>Benchmarker les pratiques avec les standards</t>
  </si>
  <si>
    <t>Fausse perception de la conformité</t>
  </si>
  <si>
    <t>Matrice de conformité inexacte</t>
  </si>
  <si>
    <t>Matrice de conformité processus/règles</t>
  </si>
  <si>
    <t>Confronter les croyances aux données réelles</t>
  </si>
  <si>
    <t>Auditer les écarts de perception</t>
  </si>
  <si>
    <t>Augmentation des risques opérationnels</t>
  </si>
  <si>
    <t>Non-respect des règles documenté</t>
  </si>
  <si>
    <t>Procès-verbal d'application des règles</t>
  </si>
  <si>
    <t>Les règles sont-elles appliquées aux processus ?</t>
  </si>
  <si>
    <t>Application des règles aux processus spécifiques pour chaque activité opérationnelle liée à la sécurité</t>
  </si>
  <si>
    <t>S’assurer que des règles de contrôle claires et bien définies sont
 mises en place pour chaque domaine critique, et qu’elles couvrent
 toutes les activités pertinentes pour assurer la conformité et la
 gestion des risques</t>
  </si>
  <si>
    <t>Mettre à jour les indicateurs de risque</t>
  </si>
  <si>
    <t>Réévaluer régulièrement l'appétence au risque</t>
  </si>
  <si>
    <t>Correctifs inefficaces ou incomplets</t>
  </si>
  <si>
    <t>Clôture prématurée d'actions</t>
  </si>
  <si>
    <t>Liste des actions clôturées</t>
  </si>
  <si>
    <t>Mesurer l'efficacité des correctifs</t>
  </si>
  <si>
    <t>Implémenter des contrôles post-correction</t>
  </si>
  <si>
    <t>Retard dans la résolution des problèmes</t>
  </si>
  <si>
    <t>Avancement des correctifs non suivi</t>
  </si>
  <si>
    <t>Tableau de suivi des correctifs (avancement/responsables)</t>
  </si>
  <si>
    <t>Les actions correctives sont-elles suivies ?</t>
  </si>
  <si>
    <t>Suivi des actions correctives suite aux audits pour s’assurer de la mise en œuvre effective des améliorations suggérées</t>
  </si>
  <si>
    <t>Définir des échéances contraignantes</t>
  </si>
  <si>
    <t>Standardiser les processus de résolution</t>
  </si>
  <si>
    <t>Décisions basées sur des informations obsolètes</t>
  </si>
  <si>
    <t>Annexes techniques non actualisées</t>
  </si>
  <si>
    <t>Annexes techniques des audits</t>
  </si>
  <si>
    <t>Imposer des revues trimestrielles des informations</t>
  </si>
  <si>
    <t>Automatiser les mises à jour des données stratégiques</t>
  </si>
  <si>
    <t>Vue incomplète des risques</t>
  </si>
  <si>
    <t>Rapport d'audit incomplet</t>
  </si>
  <si>
    <t>Document de rapport d'audit (version détaillée)</t>
  </si>
  <si>
    <t>Des rapports d'audit détaillés sont-ils produits ?</t>
  </si>
  <si>
    <t>Rapport d’audit détaillant les failles, les risques, ainsi que les recommandations pour des actions correctives</t>
  </si>
  <si>
    <t>Développer une cartographie des risques dynamique</t>
  </si>
  <si>
    <t>Efficacité réduite des plans d'action</t>
  </si>
  <si>
    <t>Mise en œuvre partielle des préconisations</t>
  </si>
  <si>
    <t>Plan de mise en œuvre des préconisations</t>
  </si>
  <si>
    <t>Renforcer les mécanismes de suivi des actions</t>
  </si>
  <si>
    <t>Persistance des non-conformités</t>
  </si>
  <si>
    <t>Suivi ineffectif des recommandations</t>
  </si>
  <si>
    <t>Registre des recommandations (suivi/statut)</t>
  </si>
  <si>
    <t>Les recommandations des audits sont-elles prises en compte ?</t>
  </si>
  <si>
    <t>Prise en compte des recommandations des audits pour améliorer les contrôles généraux</t>
  </si>
  <si>
    <t>Lier la mise en œuvre aux objectifs individuels</t>
  </si>
  <si>
    <t>Créer un système de suivi des recommandations</t>
  </si>
  <si>
    <t>Recommandations non prises en compte</t>
  </si>
  <si>
    <t>Suivi des audits défaillant</t>
  </si>
  <si>
    <t>Rapport d'audit périodique</t>
  </si>
  <si>
    <t>Mettre en place des alertes précoces</t>
  </si>
  <si>
    <t>Automatiser la détection des faiblesses</t>
  </si>
  <si>
    <t>Retard dans l'identifiacation des faiblesses</t>
  </si>
  <si>
    <t>Calendrier d'audit non respecté</t>
  </si>
  <si>
    <t>Calendrier des audits programmés (fréquence/périmètre)</t>
  </si>
  <si>
    <t>Des audits réguliers sont-ils réalisés ?</t>
  </si>
  <si>
    <t>Réalisation d’audits réguliers et documentés pour identifier les lacunes dans les contrôles de sécurité</t>
  </si>
  <si>
    <t>Allouer les ressources selon une analyse de risque</t>
  </si>
  <si>
    <t>Optimiser la planification des audits</t>
  </si>
  <si>
    <t>Mauvaise allocation des ressources d'audit</t>
  </si>
  <si>
    <t>Critères de sélection inadaptés</t>
  </si>
  <si>
    <t>Document des critères de sélection</t>
  </si>
  <si>
    <t>Standardiser les méthodologies d'évaluation</t>
  </si>
  <si>
    <t>Qualité dégradée des évaluations</t>
  </si>
  <si>
    <t>Qualifications des auditeurs non vérifiées</t>
  </si>
  <si>
    <t>Liste des auditeurs certifiés (diplômes/expérience)</t>
  </si>
  <si>
    <t>Des auditeurs qualifiés sont-ils sélectionnés ?</t>
  </si>
  <si>
    <t>Sélection d’auditeurs qualifiés, internes ou externes, pour effectuer des audits sur la sécurité des systèmes d’information</t>
  </si>
  <si>
    <t>S’assurer que des tests d’audit sont régulièrement réalisés pour
 vérifier l’efficacité des contrôles généraux informatiques et leur
 conformité aux normes et réglementations applicables</t>
  </si>
  <si>
    <t>Implémenter des workflows électroniques</t>
  </si>
  <si>
    <t>Formaliser les processus de validation</t>
  </si>
  <si>
    <t>Absence de preuve des validations</t>
  </si>
  <si>
    <t>PV de validation manquants</t>
  </si>
  <si>
    <t>PV des comités de validation</t>
  </si>
  <si>
    <t>Sauvegarder systématiquement les éléments de décision</t>
  </si>
  <si>
    <t>Digitaliser l'ensemble du processus décisionnel</t>
  </si>
  <si>
    <t>Historique décisionnel incomplet</t>
  </si>
  <si>
    <t>Journal des décisions incomplet</t>
  </si>
  <si>
    <t>Journal des décisions (dates/motivations)</t>
  </si>
  <si>
    <t>La traçabilité des décisions est-elle assurée ?</t>
  </si>
  <si>
    <t>Traçabilité des décisions concernant l’adaptation ou l’évolution des contrôles grâce à des rapports de suivi</t>
  </si>
  <si>
    <t>Définir des SLA pour chaque étape décisionnelle</t>
  </si>
  <si>
    <t>Cartographier et optimiser les processus décisionnels</t>
  </si>
  <si>
    <t>Retards dans les processus décisionnels</t>
  </si>
  <si>
    <t>Supports d'accès inefficaces</t>
  </si>
  <si>
    <t>Supports d'accès (guides/plateforme)</t>
  </si>
  <si>
    <t>Mettre en place un système de gestion des identités</t>
  </si>
  <si>
    <t>Implémenter des contrôles d'accès stricts</t>
  </si>
  <si>
    <t>Expositions à des accès non autorisés</t>
  </si>
  <si>
    <t>Politique d'accès non appliquée</t>
  </si>
  <si>
    <t>Document de politique d'accès (droits/registres)</t>
  </si>
  <si>
    <t>L'accès à la documentation est-il facilité ?</t>
  </si>
  <si>
    <t>Accès facilité à la documentation pour les parties prenantes afin d’assurer la transparence des processus</t>
  </si>
  <si>
    <t>Former le personnel aux bonnes pratiques documentaires</t>
  </si>
  <si>
    <t>Standardiser les modèles de documents</t>
  </si>
  <si>
    <t>Confusion dans l'utilisation des documents</t>
  </si>
  <si>
    <t>Statut documentaire non clair</t>
  </si>
  <si>
    <t>Liste des documents produits avec statut</t>
  </si>
  <si>
    <t>Utiliser des technologies blockchain pour l'archivage</t>
  </si>
  <si>
    <t>Digitaliser les preuves de conformité</t>
  </si>
  <si>
    <t>Impossibilité de prouver la conformité</t>
  </si>
  <si>
    <t>Preuves d'actions manquantes</t>
  </si>
  <si>
    <t>Registre des actions documentées (fiches complètes/preuves)</t>
  </si>
  <si>
    <t>Les actions sont-elles documentées complètement ?</t>
  </si>
  <si>
    <t>Documentation complète des actions entreprises pour chaque mise en œuvre et réévaluation des contrôles</t>
  </si>
  <si>
    <t>Mettre en place une politique de gestion documentaire stricte</t>
  </si>
  <si>
    <t>Centraliser les documents dans un système sécurisé</t>
  </si>
  <si>
    <t>Difficultés d'accès aux documents essentiels</t>
  </si>
  <si>
    <t>Gestion archivistique défaillante</t>
  </si>
  <si>
    <t>Liste des documents produits et archivés</t>
  </si>
  <si>
    <t>Automatiser les rapports d'avancement</t>
  </si>
  <si>
    <t>Créer des tableaux de bord de progression en temps réel</t>
  </si>
  <si>
    <t>Vision incomplète des progrès réalisés</t>
  </si>
  <si>
    <t>Synthèse des actions incomplète</t>
  </si>
  <si>
    <t>Rapport de synthèse des actions documentées</t>
  </si>
  <si>
    <t>Les registres sont-elles mises à jour régulièrement ?</t>
  </si>
  <si>
    <t>es registres sont mises à jour régulièrement pour refléter les évolutions technologiques et les changements dans les exigences réglementaires</t>
  </si>
  <si>
    <t>Organiser des ateliers d'harmonisation inter-services</t>
  </si>
  <si>
    <t>Développer des guides procéduraux détaillés</t>
  </si>
  <si>
    <t>Incohérences dans l'exécution des processus</t>
  </si>
  <si>
    <t>Utilisation de versions non validées</t>
  </si>
  <si>
    <t>Registre des versions validées</t>
  </si>
  <si>
    <t>Automatiser les mises à jour des processus</t>
  </si>
  <si>
    <t>Auditer trimestriellement les procédures en vigueur</t>
  </si>
  <si>
    <t>Application de procédures obsolètes</t>
  </si>
  <si>
    <t>Retard dans les révisions documentaires</t>
  </si>
  <si>
    <t>Calendrier des révisions programmées</t>
  </si>
  <si>
    <t>Des documents formels décrivant les registres existent-ils ?</t>
  </si>
  <si>
    <t>Existence de documents formels décrivant les registres de mise en œuvre, de gestion et de réévaluation des contrôles</t>
  </si>
  <si>
    <t>Vérifier que des registres documentées sont en place pour la
 mise en œuvre, la gestion et la réévaluation des contrôles généraux
 informatiques, garantissant la cohérence et la traçabilité des actions
 entreprises</t>
  </si>
  <si>
    <t>Nommer des responsables conformité par domaine</t>
  </si>
  <si>
    <t>Mettre en place une veille réglementaire proactive</t>
  </si>
  <si>
    <t>Exposition à des sanctions réglementaires</t>
  </si>
  <si>
    <t>Inventaire normatif incomplet</t>
  </si>
  <si>
    <t>Inventaire des normes en vigueur</t>
  </si>
  <si>
    <t>Former les décideurs à l'analyse critique des données</t>
  </si>
  <si>
    <t>Implémenter des contrôles de qualité des données</t>
  </si>
  <si>
    <t>Prise de décision basée sur des données erronées</t>
  </si>
  <si>
    <t>registres opérationnelles non mises à jour</t>
  </si>
  <si>
    <t>Document des registres opérationnelles consolidées</t>
  </si>
  <si>
    <t>Une collaboration avec des experts externes existe-t-elle ?</t>
  </si>
  <si>
    <t>Collaboration avec des experts externes pour assurer un niveau élevé de compétence et de préparation face aux nouvelles menaces</t>
  </si>
  <si>
    <t>Standardiser les processus de due diligence</t>
  </si>
  <si>
    <t>Élaborer une cartographie des risques fournisseurs</t>
  </si>
  <si>
    <t>Risques accrus liés à la gestion des fournisseurs</t>
  </si>
  <si>
    <t>Suivi incomplet des prestations externes</t>
  </si>
  <si>
    <t>Registre des prestations externes</t>
  </si>
  <si>
    <t>Développer des programmes de transfert de compétences</t>
  </si>
  <si>
    <t>Analyser systématiquement les coûts cachés</t>
  </si>
  <si>
    <t>Coûts supplémentaires et perte de savoir-faire interne</t>
  </si>
  <si>
    <t>Dépendance excessive aux experts externes</t>
  </si>
  <si>
    <t>Contrat cadre avec les experts externes</t>
  </si>
  <si>
    <t>Des évaluations régulières des compétences existent-elles ?</t>
  </si>
  <si>
    <t>Mise en place d’évaluations régulières des compétences des responsables des contrôles pour identifier les besoins de formation</t>
  </si>
  <si>
    <t>Benchmarker avec les meilleures pratiques du secteur</t>
  </si>
  <si>
    <t>Implémenter des diagnostics organisationnels réguliers</t>
  </si>
  <si>
    <t>Faiblesses organisationnelles non détectées</t>
  </si>
  <si>
    <t>Évaluation annuelle superficielle</t>
  </si>
  <si>
    <t>Rapport des évaluations individuelles annuelles</t>
  </si>
  <si>
    <t>Mettre en place un plan de formation adaptatif</t>
  </si>
  <si>
    <t>Réaliser un audit complet des compétences disponibles</t>
  </si>
  <si>
    <t>Inadéquation entre compétences disponibles et besoins</t>
  </si>
  <si>
    <t>Référentiel des compétences non actualisé</t>
  </si>
  <si>
    <t>Document référentiel des compétences requises</t>
  </si>
  <si>
    <t>Les responsables participent-ils à des forums ?</t>
  </si>
  <si>
    <t>Participation des responsables à des forums de cybersécurité ou à des formations spécialisées</t>
  </si>
  <si>
    <t>Impliquer les opérationnels dans les comités stratégiques</t>
  </si>
  <si>
    <t>Aligner la stratégie avec une analyse annuelle des besoins métiers</t>
  </si>
  <si>
    <t>Décisions stratégiques mal alignées avec les besoins</t>
  </si>
  <si>
    <t>Composition inadaptée des comités</t>
  </si>
  <si>
    <t>Liste des comités techniques pertinents</t>
  </si>
  <si>
    <t>Automatiser le suivi des preuves de conformité</t>
  </si>
  <si>
    <t>Créer un référentiel documentaire unique pour toutes les exigences</t>
  </si>
  <si>
    <t>Difficulté à démontrer la conformité aux exigences</t>
  </si>
  <si>
    <t>Traçabilité insuffisante des participations</t>
  </si>
  <si>
    <t>Registre de présence aux événements sectoriels</t>
  </si>
  <si>
    <t>La formation est-elle continue ?</t>
  </si>
  <si>
    <t>Formation continue pour rester à jour avec les évolutions des menaces informatiques et des meilleures pratiques</t>
  </si>
  <si>
    <t>Tester mensuellement les plans de continuité d'activité</t>
  </si>
  <si>
    <t>Créer des simulateurs de scénarios critiques</t>
  </si>
  <si>
    <t>Retards dans le développement des compétences nécessaires</t>
  </si>
  <si>
    <t>Non-respect du planning de formation</t>
  </si>
  <si>
    <t>Calendrier des sessions (dates/formateurs)</t>
  </si>
  <si>
    <t>Implémenter des contrôles automatiques de conformité</t>
  </si>
  <si>
    <t>Digitaliser les processus de documentation réglementaire</t>
  </si>
  <si>
    <t>Lacunes dans les compétences critiques du personnel</t>
  </si>
  <si>
    <t>Couverture inadéquate des formations</t>
  </si>
  <si>
    <t>Plan de formation annuel (thèmes/publics)</t>
  </si>
  <si>
    <t>Existe-t-il des programmes de formation ?</t>
  </si>
  <si>
    <t>Existence de programmes de formation pour les responsables des contrôles, incluant la sécurité des systèmes d’information</t>
  </si>
  <si>
    <t>S’assurer que les responsables de la mise en œuvre des contrôles
 généraux informatiques sont qualifiés et formés pour gérer les
 risques informatiques et maintenir les contrôles à jour</t>
  </si>
  <si>
    <t>Accélérer les programmes de formation ciblés</t>
  </si>
  <si>
    <t>Identifier les compétences critiques manquantes</t>
  </si>
  <si>
    <t>Erreurs dans l'exécution des processus opérationnels</t>
  </si>
  <si>
    <t>Documentation technique inexacte</t>
  </si>
  <si>
    <t>Liste des mécanismes disponibles (mode d'emploi)</t>
  </si>
  <si>
    <t>Mettre en place des plans de développement individualisés</t>
  </si>
  <si>
    <t>Évaluer les compétences stratégiques du personnel</t>
  </si>
  <si>
    <t>Non-conformité aux exigences réglementaires de documentation</t>
  </si>
  <si>
    <t>Non-application des registres</t>
  </si>
  <si>
    <t>Document de registre de réajustement</t>
  </si>
  <si>
    <t>Des mécanismes de réajustement existent-ils ?</t>
  </si>
  <si>
    <t>Mise en place de mécanismes de réajustement des contrôles en fonction des résultats du suivi continu</t>
  </si>
  <si>
    <t>Former régulièrement sur les processus critiques</t>
  </si>
  <si>
    <t>Développer des procédures opérationnelles détaillées</t>
  </si>
  <si>
    <t>Impossibilité de vérifier l'efficacité des corrections</t>
  </si>
  <si>
    <t>Traçage incomplet des corrections</t>
  </si>
  <si>
    <t>Registre des écarts et corrections</t>
  </si>
  <si>
    <t>Auditer régulièrement la complétude des dossiers</t>
  </si>
  <si>
    <t>Standardiser les exigences de documentation</t>
  </si>
  <si>
    <t>Évaluations inexactes des risques et performances</t>
  </si>
  <si>
    <t>Critères d'évaluation obsolètes</t>
  </si>
  <si>
    <t>Supports d'évaluation (grilles/checklists)</t>
  </si>
  <si>
    <t>La conformité est-elle évaluée continuellement ?</t>
  </si>
  <si>
    <t>Évaluation continue de la conformité des contrôles avec les exigences réglementaires et normatives</t>
  </si>
  <si>
    <t>Documenter systématiquement les preuves de correction</t>
  </si>
  <si>
    <t>Mettre en place des indicateurs de vérification</t>
  </si>
  <si>
    <t>Causes racines non traitées entraînant des problèmes persistants</t>
  </si>
  <si>
    <t>Analyse RCA insuffisante</t>
  </si>
  <si>
    <t>Rapport d'analyse root cause des incidents majeurs</t>
  </si>
  <si>
    <t>Confronter les évaluations à la réalité opérationnelle</t>
  </si>
  <si>
    <t>Diversifier les méthodes d'évaluation des risques</t>
  </si>
  <si>
    <t>Incidents récurrents par manque de résolution complète</t>
  </si>
  <si>
    <t>Déclaration incomplète des incidents</t>
  </si>
  <si>
    <t>Document de fiches standardisées d'incidents</t>
  </si>
  <si>
    <t>Les incidents de sécurité sont-ils analysés ?</t>
  </si>
  <si>
    <t>Analyse des incidents de sécurité pour tester la réactivité et l’efficacité des contrôles mis en place</t>
  </si>
  <si>
    <t>Implémenter des correctifs définitifs et vérifiables</t>
  </si>
  <si>
    <t>Analyser systématiquement les causes racines</t>
  </si>
  <si>
    <t>Suivi historique des indicateurs de sécurité impossible</t>
  </si>
  <si>
    <t>Le registre des KPI sécurité ne permet pas un suivi historique fiable</t>
  </si>
  <si>
    <t>Registre des KPI sécurité (historique des données)</t>
  </si>
  <si>
    <t>Sauvegarder sécurisé les données historiques</t>
  </si>
  <si>
    <t>Développer des outils de suivi historique des indicateurs</t>
  </si>
  <si>
    <t>Manquements aux obligations réglementaires</t>
  </si>
  <si>
    <t>Le calendrier de reporting ne respecte pas les fréquences réglementaires</t>
  </si>
  <si>
    <t>Calendrier des reporting (périodicité/destinataires)</t>
  </si>
  <si>
    <t>Des rapports de performance sont-ils mis en place ?</t>
  </si>
  <si>
    <t>Mise en place de rapports de performance réguliers pour évaluer l’efficacité des contrôles de manière continue</t>
  </si>
  <si>
    <t>Automatiser les rappels pour les échéances réglementaires</t>
  </si>
  <si>
    <t>Créer une matrice des obligations réglementaires</t>
  </si>
  <si>
    <t>Écarts par rapport aux standards techniques</t>
  </si>
  <si>
    <t>La liste des configurations techniques contient des écarts par rapport aux standards</t>
  </si>
  <si>
    <t>Liste des configurations techniques</t>
  </si>
  <si>
    <t>Mettre en place un plan de correction des écarts</t>
  </si>
  <si>
    <t>Réaliser des audits techniques approfondis</t>
  </si>
  <si>
    <t>Couverture de surveillance insuffisante</t>
  </si>
  <si>
    <t>L'inventaire des systèmes de surveillance présente des lacunes</t>
  </si>
  <si>
    <t>Inventaire des systèmes de surveillance (outils/localisation)</t>
  </si>
  <si>
    <t>Des systèmes de surveillance automatisée sont-ils utilisés ?</t>
  </si>
  <si>
    <t>Utilisation de systèmes de surveillance automatisée pour contrôler l’efficacité des contrôles en temps réel</t>
  </si>
  <si>
    <t>Vérifier que des mécanismes de suivi sont en place pour surveiller la
 mise en œuvre des contrôles généraux informatiques et évaluer leur
 efficacité en continu</t>
  </si>
  <si>
    <t>Automatiser la détection des écarts de couverture</t>
  </si>
  <si>
    <t>Élargir la couverture des systèmes de surveillance</t>
  </si>
  <si>
    <t>Projections de risques inexactes</t>
  </si>
  <si>
    <t>La matrice d'évolution des risques repose sur des projections erronées</t>
  </si>
  <si>
    <t>Matrice d'évolution des risques (historique/projections)</t>
  </si>
  <si>
    <t>Valider les hypothèses avec des experts indépendants</t>
  </si>
  <si>
    <t>Croiser les projections avec des données externes</t>
  </si>
  <si>
    <t>Tendances et signaux faibles non détectés</t>
  </si>
  <si>
    <t>L'analyse trimestrielle des tendances manque de profondeur</t>
  </si>
  <si>
    <t>Document d'analyse trimestrielle des tendances</t>
  </si>
  <si>
    <t>L'analyse des tendances est-elle intégrée ?</t>
  </si>
  <si>
    <t>Intégration de l’analyse des tendances en cybersécurité pour anticiper les risques futurs</t>
  </si>
  <si>
    <t>Former à la détection des signaux faibles</t>
  </si>
  <si>
    <t>Implémenter des outils d'analyse des tendances</t>
  </si>
  <si>
    <t>Améliorations non implémentées faute de recommandations claires</t>
  </si>
  <si>
    <t>Le rapport d'audit ne propose pas de recommandations actionnables</t>
  </si>
  <si>
    <t>Rapport d'audit (vulnérabilités/recommandations)</t>
  </si>
  <si>
    <t>Affecter des responsables et échéances claires</t>
  </si>
  <si>
    <t>Formaliser des plans d'action d'amélioration précis</t>
  </si>
  <si>
    <t>Périmètre de sécurité non entièrement audité</t>
  </si>
  <si>
    <t>Le plan d'audit sécurité ne couvre pas l'ensemble du périmètre critique</t>
  </si>
  <si>
    <t>Plan d'audit sécurité (périmètre/méthodologie)</t>
  </si>
  <si>
    <t>Des audits de sécurité sont-ils réalisés ?</t>
  </si>
  <si>
    <t>Réalisation d’audits de sécurité pour identifier les écarts dans les contrôles existants face aux évolutions de l’environnement technologique</t>
  </si>
  <si>
    <t>Combler les lacunes de couverture identifiées</t>
  </si>
  <si>
    <t>Effectuer des audits complets du périmètre de sécurité</t>
  </si>
  <si>
    <t>Changements techniques non tracés</t>
  </si>
  <si>
    <t>La liste des modifications techniques est incomplète</t>
  </si>
  <si>
    <t>Liste des modifications techniques apportées</t>
  </si>
  <si>
    <t>Sauvegarder systématiquement l'historique des changements</t>
  </si>
  <si>
    <t>Utiliser des outils de gestion de configuration</t>
  </si>
  <si>
    <t>Historique des modifications incomplet</t>
  </si>
  <si>
    <t>Le registre des mises à jour ne trace pas toutes les modifications apportées</t>
  </si>
  <si>
    <t>Registre des mises à jour des contrôles (versions/dates/responsables)</t>
  </si>
  <si>
    <t>Les contrôles sont-ils mis à jour continuellement ?</t>
  </si>
  <si>
    <t>Mise à jour continue des contrôles pour répondre aux nouvelles menaces identifiées</t>
  </si>
  <si>
    <t>Développer des scénarios prévisionnels réguliers</t>
  </si>
  <si>
    <t>Former aux techniques d'anticipation et prospective</t>
  </si>
  <si>
    <t>Capacité d'anticipation insuffisante</t>
  </si>
  <si>
    <t>La liste des évolutions n'anticipe pas suffisamment les besoins futurs</t>
  </si>
  <si>
    <t>Liste des évolutions</t>
  </si>
  <si>
    <t>Implémenter un système de gestion du cycle de vie</t>
  </si>
  <si>
    <t>Créer un registre central des équipements critiques</t>
  </si>
  <si>
    <t>Équipements critiques non gérés</t>
  </si>
  <si>
    <t>L'inventaire technologique omet certains équipements critiques</t>
  </si>
  <si>
    <t>Inventaire technologique</t>
  </si>
  <si>
    <t>Les évolutions technologiques sont-elles surveillées ?</t>
  </si>
  <si>
    <t>Surveillance des évolutions technologiques pour adapter les contrôles en conséquence</t>
  </si>
  <si>
    <t>Réaliser des tests d'efficacité sur échantillons</t>
  </si>
  <si>
    <t>Développer des métriques d'efficacité des contrôles</t>
  </si>
  <si>
    <t>Évaluation incomplète de l'efficacité des contrôles</t>
  </si>
  <si>
    <t>Le rapport d'évaluation fournit une analyse incomplète des contrôles</t>
  </si>
  <si>
    <t>Rapport d'évaluation</t>
  </si>
  <si>
    <t>Automatiser les rappels pour les révisions périodiques</t>
  </si>
  <si>
    <t>Planifier un calendrier contraignant de révisions</t>
  </si>
  <si>
    <t>Révisions non effectuées à temps</t>
  </si>
  <si>
    <t>Le calendrier de révision n'est pas respecté selon la périodicité requise</t>
  </si>
  <si>
    <t>Calendrier de révision</t>
  </si>
  <si>
    <t>Un processus de réévaluation périodique existe-t-il ?</t>
  </si>
  <si>
    <t>Mise en place d’un processus de réévaluation périodique des contrôles (annuelle, semestrielle)</t>
  </si>
  <si>
    <t>S’assurer que les contrôles généraux informatiques sont
 régulièrement réévalués pour tenir compte des évolutions
 technologiques, des nouvelles menaces et des changements dans
 l’infrastructure de l’organisation</t>
  </si>
  <si>
    <t>Imposer des revues post-incident systématiques</t>
  </si>
  <si>
    <t>Standardiser les procédures de documentation d'incidents</t>
  </si>
  <si>
    <t>Incidents non suivis ou documentés</t>
  </si>
  <si>
    <t>Le registre des incidents présente des omissions dans le suivi</t>
  </si>
  <si>
    <t>Registre des incidents</t>
  </si>
  <si>
    <t>Automatiser le reporting des indicateurs clés</t>
  </si>
  <si>
    <t>Définir des KPI sécurité pertinents et mesurables</t>
  </si>
  <si>
    <t>Surveillance inefficace des indicateurs clés</t>
  </si>
  <si>
    <t>Le document de monitoring surveille des indicateurs non pertinents</t>
  </si>
  <si>
    <t>Document de monitoring</t>
  </si>
  <si>
    <t>Une surveillance continue est-elle en place ?</t>
  </si>
  <si>
    <t>Surveillance continue des systèmes pour détecter des anomalies à tous les niveaux de l’infrastructure</t>
  </si>
  <si>
    <t>Mener des audits de sécurité complets</t>
  </si>
  <si>
    <t>Failles de sécurité non identifiées</t>
  </si>
  <si>
    <t>Le rapport d'intrusion ne détecte pas toutes les vulnérabilités existantes</t>
  </si>
  <si>
    <t>Rapport d'intrusion</t>
  </si>
  <si>
    <t>Automatiser les tests sur les cas d'usage essentiels</t>
  </si>
  <si>
    <t>Développer des scénarios de test couvrant tous les cas critiques</t>
  </si>
  <si>
    <t>Cas d'usage critiques non testés</t>
  </si>
  <si>
    <t>Le plan de tests néglige certains cas d'usage importants</t>
  </si>
  <si>
    <t>Plan de tests</t>
  </si>
  <si>
    <t>Des tests de pénétration sont-ils effectués ?</t>
  </si>
  <si>
    <t>Tests de pénétration effectués régulièrement pour valider l’efficacité des contrôles à différents niveaux</t>
  </si>
  <si>
    <t>Cartographier les zones à risque ignorées</t>
  </si>
  <si>
    <t>Effectuer des évaluations de risque exhaustives</t>
  </si>
  <si>
    <t>Zones de risque non évaluées</t>
  </si>
  <si>
    <t>La matrice de couverture laisse des zones de risque non évaluées</t>
  </si>
  <si>
    <t>Matrice de couverture</t>
  </si>
  <si>
    <t>Affecter des responsables de correction nominatifs</t>
  </si>
  <si>
    <t>Maintenir un registre des incohérences avec suivi de résolution</t>
  </si>
  <si>
    <t>Incohérences persistantes non corrigées</t>
  </si>
  <si>
    <t>Le rapport de cohérence ne relève pas certaines incohérences majeures</t>
  </si>
  <si>
    <t>Rapport de cohérence</t>
  </si>
  <si>
    <t>Des contrôles cohérents sont-ils mis en œuvre ?</t>
  </si>
  <si>
    <t>Mise en œuvre de contrôles cohérents à travers toutes les couches, garantissant une protection globale</t>
  </si>
  <si>
    <t>Prioriser les ressources selon l'impact opérationnel</t>
  </si>
  <si>
    <t>Implémenter un système de remontée des besoins opérationnels</t>
  </si>
  <si>
    <t>Besoins opérationnels essentiels ignorés</t>
  </si>
  <si>
    <t>Le registre des exigences ne capture pas tous les besoins essentiels</t>
  </si>
  <si>
    <t>Registre des exigences</t>
  </si>
  <si>
    <t>Réaliser des audits de conformité trimestriels</t>
  </si>
  <si>
    <t>Établir un plan de mise en conformité progressive</t>
  </si>
  <si>
    <t>Non-conformité aux standards actuels</t>
  </si>
  <si>
    <t>Le document des normes s'appuie sur des référentiels périmés</t>
  </si>
  <si>
    <t>Document des normes</t>
  </si>
  <si>
    <t>Les exigences de sécurité sont-elles documentées ?</t>
  </si>
  <si>
    <t>Documentation des exigences de sécurité spécifiques à chaque niveau</t>
  </si>
  <si>
    <t>Combler les lacunes de protection identifiées</t>
  </si>
  <si>
    <t>Réaliser des analyses de couverture des menaces</t>
  </si>
  <si>
    <t>Exposition à des menaces non couvertes</t>
  </si>
  <si>
    <t>La liste des protections ne couvre pas l'ensemble des menaces identifiées</t>
  </si>
  <si>
    <t>Liste des protections</t>
  </si>
  <si>
    <t>Mettre en place un système de tagging des actifs</t>
  </si>
  <si>
    <t>Créer un inventaire centralisé des composants critiques</t>
  </si>
  <si>
    <t>Composants critiques non inventoriés</t>
  </si>
  <si>
    <t>L'inventaire des couches présente des omissions dans le recensement des composants</t>
  </si>
  <si>
    <t>Inventaire des couches</t>
  </si>
  <si>
    <t>Existe-t-il des contrôles distincts par couche ?</t>
  </si>
  <si>
    <t>Existence de contrôles distincts adaptés à chaque couche de l’infrastructure</t>
  </si>
  <si>
    <t>Vérifier que les contrôles généraux informatiques sont conçus pour
 être efficaces à tous les niveaux de l’infrastructure informatique,
 incluant les réseaux, les bases de données, les applications et les
 dispositifs matériels</t>
  </si>
  <si>
    <t>Former les évaluateurs aux contextes métiers</t>
  </si>
  <si>
    <t>Adapter les grilles d'évaluation aux spécificités opérationnelles</t>
  </si>
  <si>
    <t>Évaluations inadaptées au contexte opérationnel</t>
  </si>
  <si>
    <t>Les supports d'évaluation utilisent des outils inadaptés au contexte opérationnel</t>
  </si>
  <si>
    <t>Supports d'évaluation</t>
  </si>
  <si>
    <t>Comparer les procédures documentées avec les pratiques réelles</t>
  </si>
  <si>
    <t>Organiser des audits surprises sur le terrain</t>
  </si>
  <si>
    <t>Écart entre procédures documentées et pratiques réelles</t>
  </si>
  <si>
    <t>Le document processuel décrit des flux qui ne correspondent pas aux pratiques réelles</t>
  </si>
  <si>
    <t>Document processuel</t>
  </si>
  <si>
    <t>Les processus de sélection/évaluation sont-ils documentés ?</t>
  </si>
  <si>
    <t>Documentation des processus permettant de sélectionner, implémenter et évaluer les contrôles pour garantir leur efficacité continue</t>
  </si>
  <si>
    <t>Diversifier les sources et méthodes d'analyse</t>
  </si>
  <si>
    <t>Introduire des contre-analyses systématiques</t>
  </si>
  <si>
    <t>Analyses biaisées induisant des décisions erronées</t>
  </si>
  <si>
    <t>Le rapport des résultats contient des analyses partielles ou des interprétations erronées</t>
  </si>
  <si>
    <t>Rapport des résultats</t>
  </si>
  <si>
    <t>Effectuer des analyses de couverture des contrôles</t>
  </si>
  <si>
    <t>Réaliser des tests d'intrusion et scans de vulnérabilité</t>
  </si>
  <si>
    <t>Vulnérabilités résiduelles non détectées</t>
  </si>
  <si>
    <t>Le calendrier des tests omet certains scénarios critiques, laissant des vulnérabilités non détectées</t>
  </si>
  <si>
    <t>Calendrier des tests</t>
  </si>
  <si>
    <t>Des tests réguliers sont-ils réalisés ?</t>
  </si>
  <si>
    <t>Réalisation de tests réguliers pour vérifier l’efficacité des contrôles dans la détection et la prévention des menaces</t>
  </si>
  <si>
    <t>Utiliser des outils de versioning pour tous les déploiements</t>
  </si>
  <si>
    <t>Mettre en place un système de gestion des changements</t>
  </si>
  <si>
    <t>Traçabilité incomplète des déploiements</t>
  </si>
  <si>
    <t>Le registre des déploiements présente des lacunes dans l'enregistrement des mises en production</t>
  </si>
  <si>
    <t>Registre des déploiements</t>
  </si>
  <si>
    <t>Développer des checklists qualité pour chaque implémentation</t>
  </si>
  <si>
    <t>Instaurer des phases de test obligatoires avant déploiement</t>
  </si>
  <si>
    <t>Mise en œuvre précipitée et de mauvaise qualité</t>
  </si>
  <si>
    <t>Le plan d'implémentation pourrait fixer des délais trop courts, compromettant la qualité de la mise en œuvre</t>
  </si>
  <si>
    <t>Plan d'implémentation</t>
  </si>
  <si>
    <t>Des contrôles spécifiques sont-ils implémentés ?</t>
  </si>
  <si>
    <t>Implémentation de contrôles pour des menaces spécifiques telles que les attaques par phishing, les ransomwares et les accès non autorisés</t>
  </si>
  <si>
    <t>Auditer régulièrement l'application des contrôles</t>
  </si>
  <si>
    <t>Harmoniser les procédures de contrôle entre services</t>
  </si>
  <si>
    <t>Application incohérente des contrôles</t>
  </si>
  <si>
    <t>Les registres de contrôle pourraient ne pas être appliquées de manière uniforme</t>
  </si>
  <si>
    <t>Liste des contrôles</t>
  </si>
  <si>
    <t>Affecter des responsables dédiés pour chaque point critique</t>
  </si>
  <si>
    <t>Cartographier les points de contrôle critiques</t>
  </si>
  <si>
    <t>Points de contrôle critiques ignorés</t>
  </si>
  <si>
    <t>La liste des contrôles omet des points de vigilance essentiels</t>
  </si>
  <si>
    <t>Document de sélection</t>
  </si>
  <si>
    <t>Les contrôles sont-ils sélectionnés selon l'analyse des risques ?</t>
  </si>
  <si>
    <t>Sélection de contrôles basés sur les résultats de l’analyse des risques, prenant en compte l’impact et la probabilité des menaces</t>
  </si>
  <si>
    <t>Introduire des mécanismes de contrôle aléatoire</t>
  </si>
  <si>
    <t>Établir des critères de sélection objectifs et mesurables</t>
  </si>
  <si>
    <t>Sélection biaisée ou inéquitable</t>
  </si>
  <si>
    <t>Le document de sélection applique des critères non objectifs</t>
  </si>
  <si>
    <t>Matrice des risques</t>
  </si>
  <si>
    <t>Confronter les évaluations à des scénarios réalistes</t>
  </si>
  <si>
    <t>Mettre à jour trimestriellement la matrice des menaces</t>
  </si>
  <si>
    <t>Évaluation incorrecte des menaces</t>
  </si>
  <si>
    <t>La matrice des risques présente une évaluation inexacte des menaces</t>
  </si>
  <si>
    <t>Rapport d'analyse</t>
  </si>
  <si>
    <t>Une analyse des risques identifiant les menaces est-elle réalisée ?</t>
  </si>
  <si>
    <t>Réalisation d’une analyse des risques identifiant les menaces internes et externes pertinentes</t>
  </si>
  <si>
    <t>S’assurer que l’organisation sélectionne des contrôles généraux
 informatiques appropriés pour protéger les systèmes d'information
 contre les menaces internes et externes</t>
  </si>
  <si>
    <t>Mise en œuvre des politiques et registres</t>
  </si>
  <si>
    <t>Instaurer des validations croisées obligatoires</t>
  </si>
  <si>
    <t>Standardiser les guides d'interprétation</t>
  </si>
  <si>
    <t>Interprétations fausses menant à de mauvaises actions</t>
  </si>
  <si>
    <t>Le rapport d'analyse contient des interprétations erronées des données</t>
  </si>
  <si>
    <t>Registre des alertes</t>
  </si>
  <si>
    <t>Définir des SLA stricts pour la résolution</t>
  </si>
  <si>
    <t>Créer un système de ticketing avec escalade automatique</t>
  </si>
  <si>
    <t>Anomalies non traitées en temps opportun</t>
  </si>
  <si>
    <t>Le registre des alertes ne capture pas toutes les anomalies détectées</t>
  </si>
  <si>
    <t>Document de registre</t>
  </si>
  <si>
    <t>Existe-t-il un processus de remontée d'informations critiques ?</t>
  </si>
  <si>
    <t>Présence d’un processus de remontée des informations critiques à la direction pour action immédiate en cas d’anomalie majeure</t>
  </si>
  <si>
    <t>Imposer la documentation systématique des décisions</t>
  </si>
  <si>
    <t>Utiliser des outils de workflow avec traçabilité intégrée</t>
  </si>
  <si>
    <t>Arbitrages non documentés et non justifiés</t>
  </si>
  <si>
    <t>La pièce décisionnelle ne documente pas suffisamment les arbitrages effectués</t>
  </si>
  <si>
    <t>Pièce décisionnelle</t>
  </si>
  <si>
    <t>Réaliser des revues de risques opérationnels mensuelles</t>
  </si>
  <si>
    <t>Implémenter des indicateurs de gravité objectifs</t>
  </si>
  <si>
    <t>Problèmes opérationnels sous-estimés</t>
  </si>
  <si>
    <t>Le rapport d'intégration minimise les difficultés rencontrées lors des mises en œuvre</t>
  </si>
  <si>
    <t>Rapport d'intégration</t>
  </si>
  <si>
    <t>Les résultats des contrôles sont-ils intégrés aux décisions ?</t>
  </si>
  <si>
    <t>Intégration des résultats des contrôles dans les processus de décision stratégiques</t>
  </si>
  <si>
    <t>Désigner des responsables conformité par domaine</t>
  </si>
  <si>
    <t>Mettre en place une veille réglementaire automatisée</t>
  </si>
  <si>
    <t>Non-conformité aux exigences actuelles</t>
  </si>
  <si>
    <t>La liste des standards s'appuie sur des normes périmées</t>
  </si>
  <si>
    <t>Liste des standards</t>
  </si>
  <si>
    <t>Former les auditeurs aux dernières techniques de contrôle</t>
  </si>
  <si>
    <t>Adopter des frameworks d'analyse reconnus (COSO, ISO)</t>
  </si>
  <si>
    <t>Analyses et contrôles inefficaces</t>
  </si>
  <si>
    <t>Le document méthodologique propose des approches inadaptées au contexte</t>
  </si>
  <si>
    <t>Document méthodologique</t>
  </si>
  <si>
    <t>Une méthodologie standardisée est-elle présente ?</t>
  </si>
  <si>
    <t>Présence d’une méthodologie standardisée pour l’analyse et l’interprétation des résultats des contrôles</t>
  </si>
  <si>
    <t>Automatiser les rapports d'activité quotidiens</t>
  </si>
  <si>
    <t>Déployer des tableaux de bord unifiés en temps réel</t>
  </si>
  <si>
    <t>Manque de visibilité sur les activités</t>
  </si>
  <si>
    <t>Le registre des activités présente des omissions dans le suivi opérationnel</t>
  </si>
  <si>
    <t>Registre des activités</t>
  </si>
  <si>
    <t>Configurer des alertes automatiques sur les seuils critiques</t>
  </si>
  <si>
    <t>Implémenter des systèmes de surveillance en temps réel avec IA</t>
  </si>
  <si>
    <t>Détection tardive des anomalies</t>
  </si>
  <si>
    <t>Le calendrier des rapports établit une périodicité ne correspondant pas aux besoins</t>
  </si>
  <si>
    <t>Calendrier des rapports</t>
  </si>
  <si>
    <t>Les rapports sur les activités de contrôle sont-ils fréquents et réguliers ?</t>
  </si>
  <si>
    <t>Fréquence et régularité des rapports sur les activités de contrôle et leur efficacité</t>
  </si>
  <si>
    <t>Déployer des systèmes de détection avancés</t>
  </si>
  <si>
    <t>Exposition à des pertes ou vols de données</t>
  </si>
  <si>
    <t>La liste des actifs ne recense pas la totalité du patrimoine informationnel</t>
  </si>
  <si>
    <t>Liste des actifs</t>
  </si>
  <si>
    <t>Former à la gestion des preuves digitales</t>
  </si>
  <si>
    <t>Classifier rigoureusement les documents</t>
  </si>
  <si>
    <t>Lacunes dans la gestion des preuves</t>
  </si>
  <si>
    <t>L'inventaire documentaire omet certains documents essentiels</t>
  </si>
  <si>
    <t>Inventaire documentaire</t>
  </si>
  <si>
    <t>Existe-t-il un système formalisé de documentation ?</t>
  </si>
  <si>
    <t>Existence d’un système formalisé de documentation des résultats des contrôles, accessible aux parties prenantes concernées</t>
  </si>
  <si>
    <t>Vérifier que les résultats des activités de contrôle sont documentés
 et partagés avec la direction, permettant une évaluation régulière et
 un ajustement des stratégies de gestion des risques</t>
  </si>
  <si>
    <t>Récompenser les améliorations validées</t>
  </si>
  <si>
    <t>Mettre en place un système de suggestions</t>
  </si>
  <si>
    <t>Perte d'opportunités d'optimisation</t>
  </si>
  <si>
    <t>Le registre des améliorations n'est pas tenu à jour de manière exhaustive</t>
  </si>
  <si>
    <t>Registre des améliorations</t>
  </si>
  <si>
    <t>Introduire des tests surprise</t>
  </si>
  <si>
    <t>Réviser annuellement les procédures</t>
  </si>
  <si>
    <t>Inefficacité des contrôles et des procédures</t>
  </si>
  <si>
    <t>Le document de processus décrit des flux qui divergent des pratiques terrain</t>
  </si>
  <si>
    <t>Document de processus</t>
  </si>
  <si>
    <t>Un processus d'amélioration continue est-il intégré ?</t>
  </si>
  <si>
    <t>Un processus d’amélioration continue est intégré pour affiner la communication et l’exploitation des évaluations des risques</t>
  </si>
  <si>
    <t>Lier les KPI aux objectifs stratégiques</t>
  </si>
  <si>
    <t>Organiser des ateliers d'alignement</t>
  </si>
  <si>
    <t>Désalignement sur les décisions prises</t>
  </si>
  <si>
    <t>La pièce de réunion ne retranscrit pas fidèlement l'ensemble des discussions et décisions</t>
  </si>
  <si>
    <t>Pièce de réunion</t>
  </si>
  <si>
    <t>Diversifier les sources d'information</t>
  </si>
  <si>
    <t>Confronter les analyses aux réalités terrain</t>
  </si>
  <si>
    <t>Orientation stratégique biaisée</t>
  </si>
  <si>
    <t>Les supports de présentation offrent une vision partiale ou trompeuse des résultats</t>
  </si>
  <si>
    <t>Supports de présentation</t>
  </si>
  <si>
    <t>La direction reçoit-elle des présentations régulières ?</t>
  </si>
  <si>
    <t>La direction et le Conseil d’Administration reçoivent des présentations régulières sur l’état des risques et les mesures mises en place</t>
  </si>
  <si>
    <t>Établir une politique stricte de gestion</t>
  </si>
  <si>
    <t>Certifier les sources utilisées</t>
  </si>
  <si>
    <t>Informations peu fiables utilisées pour les analyses</t>
  </si>
  <si>
    <t>La liste des sources inclut des références non vérifiées ou obsolètes</t>
  </si>
  <si>
    <t>Liste des sources</t>
  </si>
  <si>
    <t>Quantifier les seuils de vulnérabilité</t>
  </si>
  <si>
    <t>Cartographier les interconnexions critiques</t>
  </si>
  <si>
    <t>Mauvaise compréhension des dépendances et vulnérabilités</t>
  </si>
  <si>
    <t>Le document d'architecture fournit une description incomplète des systèmes et de leurs interactions</t>
  </si>
  <si>
    <t>Document d'architecture</t>
  </si>
  <si>
    <t>Un tableau de bord des risques est-il mis en place ?</t>
  </si>
  <si>
    <t>Un tableau de bord des risques est mis en place pour suivre en temps réel les tendances et les niveaux de risque</t>
  </si>
  <si>
    <t>Réduire les délais de remontée</t>
  </si>
  <si>
    <t>Automatiser les alertes sur indicateurs clés</t>
  </si>
  <si>
    <t>Retards dans la détection des problèmes</t>
  </si>
  <si>
    <t>Le calendrier de reporting fixe des échéances inadaptées aux besoins opérationnels réels</t>
  </si>
  <si>
    <t>Calendrier de reporting</t>
  </si>
  <si>
    <t>Formaliser les processus décisionnels</t>
  </si>
  <si>
    <t>Instaurer des comités pluridisciplinaires</t>
  </si>
  <si>
    <t>Prise de décision erronée</t>
  </si>
  <si>
    <t>Les supports de reporting transmettent des données inexactes ou des analyses partielles</t>
  </si>
  <si>
    <t>Supports de reporting</t>
  </si>
  <si>
    <t>Des rapports de gestion sont-ils générés périodiquement ?</t>
  </si>
  <si>
    <t>Des rapports de gestion des risques sont générés périodiquement et envoyés aux parties prenantes concernées</t>
  </si>
  <si>
    <t>Vérifier la compréhension des consignes</t>
  </si>
  <si>
    <t>Clarifier les processus opérationnels</t>
  </si>
  <si>
    <t>Mauvaises interprétations et erreurs d'exécution</t>
  </si>
  <si>
    <t>Le document de registre contient des instructions ambiguës ou ne reflétant pas les pratiques actuelles</t>
  </si>
  <si>
    <t>Former aux bonnes pratiques analytiques</t>
  </si>
  <si>
    <t>Standardiser les modèles de rapport</t>
  </si>
  <si>
    <t>Reporting inexact et analyses biaisées</t>
  </si>
  <si>
    <t>Le registre central comporte des erreurs de consolidation qui faussent les données enregistrées</t>
  </si>
  <si>
    <t>Registre central</t>
  </si>
  <si>
    <t>Les évaluations sont-elles consignées dans un registre centralisé ?</t>
  </si>
  <si>
    <t>Les évaluations des risques sont systématiquement consignées dans un registre centralisé</t>
  </si>
  <si>
    <t>S’assurer que les responsabilités des différentes parties prenantes
 concernant les activités de contrôle sont clairement définies et que
 les ressources nécessaires sont allouées pour leur mise en œuvre</t>
  </si>
  <si>
    <t>Utiliser des technologies d'archivage sécurisé</t>
  </si>
  <si>
    <t>Sauvegarder les éléments de décision</t>
  </si>
  <si>
    <t>Impossibilité de reconstituer les choix stratégiques</t>
  </si>
  <si>
    <t>La pièce de traçabilité ne contient pas tous les éléments nécessaires pour reconstituer le processus décisionnel</t>
  </si>
  <si>
    <t>Pièce de traçabilité</t>
  </si>
  <si>
    <t>Former aux exigences réglementaires</t>
  </si>
  <si>
    <t>Constituer des dossiers probants permanents</t>
  </si>
  <si>
    <t>Difficultés en cas d'audit ou de litige</t>
  </si>
  <si>
    <t>Le registre documentaire présente des lacunes dans l'archivage systématique des documents justificatifs</t>
  </si>
  <si>
    <t>Registre documentaire</t>
  </si>
  <si>
    <t>Une documentation complète des actions est-elle conservée ?</t>
  </si>
  <si>
    <t>Une documentation complète sur les actions entreprises est conservée pour assurer la traçabilité et faciliter les futures mises à jour</t>
  </si>
  <si>
    <t>Établir des échéances contraignantes</t>
  </si>
  <si>
    <t>Corrections inefficaces ou retardées</t>
  </si>
  <si>
    <t>Le plan d'action pourrait omettre certaines mesures correctives essentielles ou mal prioriser les actions à mener</t>
  </si>
  <si>
    <t>Plan d'action</t>
  </si>
  <si>
    <t>Imposer des revues post-incident formalisées</t>
  </si>
  <si>
    <t>Le document d'ajustement pourrait proposer des mesures inadaptées</t>
  </si>
  <si>
    <t>Document d'ajustement</t>
  </si>
  <si>
    <t>Les actions correctives sont-elles adaptées aux résultats des tests ?</t>
  </si>
  <si>
    <t>Les actions correctives sont adaptées en fonction des résultats des tests et de l’évolution des risques</t>
  </si>
  <si>
    <t>Exiger des analyses alternatives comparées</t>
  </si>
  <si>
    <t>Instaurer un délai de réflexion minimum</t>
  </si>
  <si>
    <t>Décisions basées sur des informations fausses</t>
  </si>
  <si>
    <t>Le rapport d'audit pourrait contenir des conclusions erronées</t>
  </si>
  <si>
    <t>Rapport d'audit</t>
  </si>
  <si>
    <t>Renforcer les signalements remontants</t>
  </si>
  <si>
    <t>Déployer des outils d'analyse prédictive</t>
  </si>
  <si>
    <t>Risques majeurs non détectés</t>
  </si>
  <si>
    <t>Le calendrier des audits risque de ne pas couvrir tous les domaines critiques</t>
  </si>
  <si>
    <t>Calendrier des audits</t>
  </si>
  <si>
    <t>Des tests et audits sont-ils réalisés régulièrement ?</t>
  </si>
  <si>
    <t>Des tests et audits sont réalisés régulièrement pour évaluer l’efficacité des actions de gestion des risques</t>
  </si>
  <si>
    <t>Mettre en place un référentiel RACI détaillé</t>
  </si>
  <si>
    <t>Organiser des ateliers de clarification semestriels</t>
  </si>
  <si>
    <t>Confusion dans les rôles et actions</t>
  </si>
  <si>
    <t>Le document des responsabilités pourrait comporter des ambiguïtés</t>
  </si>
  <si>
    <t>Document des responsabilités</t>
  </si>
  <si>
    <t>Formaliser des fiches de mission précises</t>
  </si>
  <si>
    <t>Désignation imprécise des acteurs</t>
  </si>
  <si>
    <t>La pièce de désignation pourrait mal identifier les responsables</t>
  </si>
  <si>
    <t>Pièce de désignation</t>
  </si>
  <si>
    <t>Un responsable est-il désigné pour chaque plan de gestion ?</t>
  </si>
  <si>
    <t>Un responsable est désigné pour le suivi de chaque plan de gestion des risques</t>
  </si>
  <si>
    <t>Intégrer les corrections aux objectifs individuels</t>
  </si>
  <si>
    <t>Implémenter un système de ticketing avec échéances</t>
  </si>
  <si>
    <t>Corrections non suivies ou oubliées</t>
  </si>
  <si>
    <t>Le registre des corrections pourrait ne pas être tenu à jour</t>
  </si>
  <si>
    <t>Registre des corrections</t>
  </si>
  <si>
    <t>Mettre à jour le dispositif de contrôle annuellement</t>
  </si>
  <si>
    <t>Auditer trimestriellement l'efficacité des contrôles</t>
  </si>
  <si>
    <t>Contrôles inefficaces maintenus</t>
  </si>
  <si>
    <t>Le document des contrôles pourrait décrire des processus inefficaces</t>
  </si>
  <si>
    <t>Document des contrôles</t>
  </si>
  <si>
    <t>Des contrôles préventifs et correctifs sont-ils instaurés ?</t>
  </si>
  <si>
    <t>Des contrôles préventifs et correctifs sont instaurés pour réduire l’exposition aux risques identifiés</t>
  </si>
  <si>
    <t>Vérifier que les activités de contrôle sont adaptées à l’évolution des
 risques, avec des ajustements réguliers pour garantir qu'elles restent
 efficaces face à des risques changeants</t>
  </si>
  <si>
    <t>Affecter des responsables de suivi nominatifs</t>
  </si>
  <si>
    <t>Digitaliser le circuit de décision avec traçabilité</t>
  </si>
  <si>
    <t>Suivi défaillant des décisions</t>
  </si>
  <si>
    <t>Le registre des décisions pourrait présenter des lacunes dans le suivi</t>
  </si>
  <si>
    <t>Registre des décisions</t>
  </si>
  <si>
    <t>Documenter les processus de validation</t>
  </si>
  <si>
    <t>Imposer des validations croisées indépendantes</t>
  </si>
  <si>
    <t>Validations partiales ou incomplètes</t>
  </si>
  <si>
    <t>La pièce de validation pourrait ne pas refléter l'ensemble des avis</t>
  </si>
  <si>
    <t>Pièce de validation (PV)</t>
  </si>
  <si>
    <t>Un comité de validation examine-t-il les évaluations avant communication ?</t>
  </si>
  <si>
    <t>Un comité de validation examine les évaluations et s’assure de leur pertinence avant communication aux instances dirigeantes</t>
  </si>
  <si>
    <t>Vérifier les échantillons et méthodologies statistiques</t>
  </si>
  <si>
    <t>Automatiser les contrôles d'intégrité des données</t>
  </si>
  <si>
    <t>Données quantitatives non fiables</t>
  </si>
  <si>
    <t>Le document méthodologique quantitatif pourrait utiliser des données erronées</t>
  </si>
  <si>
    <t>Document méthodologique quantitatif</t>
  </si>
  <si>
    <t>Combiner approches qualitatives et quantitatives</t>
  </si>
  <si>
    <t>Analyses qualitatives biaisées</t>
  </si>
  <si>
    <t>Le document méthodologique qualitatif pourrait présenter des biais</t>
  </si>
  <si>
    <t>Document méthodologique qualitatif</t>
  </si>
  <si>
    <t>L'évaluation inclut-elle des analyses qualitatives et quantitatives ?</t>
  </si>
  <si>
    <t>L’évaluation des risques inclut des analyses qualitatives et quantitatives pour une meilleure précision</t>
  </si>
  <si>
    <t>Pré-positionner des ressources clés identifiées</t>
  </si>
  <si>
    <t>Élaborer des plans d'action détaillés par scénario</t>
  </si>
  <si>
    <t>Préparations insuffisantes face aux impacts</t>
  </si>
  <si>
    <t>Le rapport d'impact pourrait sous-estimer les conséquences</t>
  </si>
  <si>
    <t>Rapport d'impact</t>
  </si>
  <si>
    <t>Tester annuellement tous les scénarios majeurs</t>
  </si>
  <si>
    <t>Développer des scénarios avec simulations terrain</t>
  </si>
  <si>
    <t>Scénarios de crise incomplets</t>
  </si>
  <si>
    <t>Le registre des scénarios pourrait omettre des cas critiques</t>
  </si>
  <si>
    <t>Registre des scénarios</t>
  </si>
  <si>
    <t>Des scénarios sont-ils élaborés pour tester l'impact des risques élevés ?</t>
  </si>
  <si>
    <t>Des scénarios sont élaborés pour tester l’impact des risques élevés sur les opérations de l’organisation</t>
  </si>
  <si>
    <t>Affecter des ressources dédiées aux risques critiques</t>
  </si>
  <si>
    <t>Utiliser une matrice impact/urgence actualisée</t>
  </si>
  <si>
    <t>Priorités mal définies dans les traitements</t>
  </si>
  <si>
    <t>La liste hiérarchisée pourrait reposer sur une mauvaise appréciation des priorités</t>
  </si>
  <si>
    <t>Liste hiérarchisée</t>
  </si>
  <si>
    <t>Intégrer des analyses prospectives régulières</t>
  </si>
  <si>
    <t>Actualiser la cartographie des risques mensuellement</t>
  </si>
  <si>
    <t>Vision obsolète de l'exposition aux risques</t>
  </si>
  <si>
    <t>La matrice des risques pourrait ne pas être actualisée régulièrement</t>
  </si>
  <si>
    <t>Matrice des risques (document)</t>
  </si>
  <si>
    <t>Une matrice des risques est-elle utilisée pour visualiser les risques critiques ?</t>
  </si>
  <si>
    <t>Une matrice des risques est utilisée pour visualiser les risques critiques en fonction de leur probabilité et de leur impact</t>
  </si>
  <si>
    <t>Imposer l'archivage des éléments probants</t>
  </si>
  <si>
    <t>Documenter systématiquement les méthodologies appliquées</t>
  </si>
  <si>
    <t>Difficulté à justifier les notations</t>
  </si>
  <si>
    <t>La pièce justificative de notation pourrait manquer de preuves tangibles</t>
  </si>
  <si>
    <t>Pièce justificative de notation</t>
  </si>
  <si>
    <t>Standardiser les grilles d'analyse avec critères objectifs</t>
  </si>
  <si>
    <t>Évaluations subjectives et contestables</t>
  </si>
  <si>
    <t>Le document de la grille d'évaluation pourrait comporter des critères subjectifs</t>
  </si>
  <si>
    <t>Document de la grille d'évaluation</t>
  </si>
  <si>
    <t>Une grille d'évaluation des risques avec notation formelle (échelle -) est-elle définie ?</t>
  </si>
  <si>
    <t>Une grille d’évaluation des risques est définie, avec une notation formelle de la probabilité et de l’impact (ex échelle de à )</t>
  </si>
  <si>
    <t>S’assurer que les activités de contrôle sont intégrées dans les
 processus opérationnels de l’organisation, de manière à garantir que
 les risques sont gérés de manière continue et proactive</t>
  </si>
  <si>
    <t>Benchmarker avec des sources externes reconnues</t>
  </si>
  <si>
    <t>Introduire des mécanismes de vérification croisée</t>
  </si>
  <si>
    <t>Indicateurs économiques trompeurs</t>
  </si>
  <si>
    <t>La liste des indicateurs économiques pourrait inclure des métriques non pertinentes</t>
  </si>
  <si>
    <t>Liste des indicateurs économiques</t>
  </si>
  <si>
    <t>Mettre en place un comité de validation trimestriel des informations</t>
  </si>
  <si>
    <t>Définir des axes de veille prioritaires alignés sur la stratégie</t>
  </si>
  <si>
    <t>Veille stratégique non pertinente</t>
  </si>
  <si>
    <t>Le rapport de veille marché pourrait être basé sur des informations obsolètes</t>
  </si>
  <si>
    <t>Rapport de veille marché</t>
  </si>
  <si>
    <t>Une analyse des tendances du marché est-elle intégrée ?</t>
  </si>
  <si>
    <t>Une analyse des tendances et des évolutions du marché est intégrée pour anticiper les risques émergents</t>
  </si>
  <si>
    <t>Établir un journal des modifications obligatoire</t>
  </si>
  <si>
    <t>Implémenter un outil de suivi avec versionning intégré</t>
  </si>
  <si>
    <t>Difficulté à retracer l'évolution des risques</t>
  </si>
  <si>
    <t>Le registre historique pourrait présenter des lacunes dans l'archivage</t>
  </si>
  <si>
    <t>Registre historique</t>
  </si>
  <si>
    <t>Utiliser des méthodes statistiques pour neutraliser les biais</t>
  </si>
  <si>
    <t>Développer des référentiels comparatifs internes</t>
  </si>
  <si>
    <t>Comparaisons faussées entre situations</t>
  </si>
  <si>
    <t>Le document d'analyse comparative pourrait utiliser des critères inadaptés</t>
  </si>
  <si>
    <t>Document d'analyse comparative</t>
  </si>
  <si>
    <t>Les résultats sont-ils comparés aux périodes précédentes ?</t>
  </si>
  <si>
    <t>Les résultats des évaluations des risques sont comparés aux périodes précédentes pour mesurer l’évolution des menaces et opportunités</t>
  </si>
  <si>
    <t>Mener systématiquement des revues post-incident</t>
  </si>
  <si>
    <t>Standardiser le format d'enregistrement des incidents</t>
  </si>
  <si>
    <t>Historique d'incidents non exploitable</t>
  </si>
  <si>
    <t>Le journal des alertes et incidents pourrait ne pas être tenu à jour</t>
  </si>
  <si>
    <t>journal des alertes et incidents</t>
  </si>
  <si>
    <t>Automatiser la génération de rapports d'évolution</t>
  </si>
  <si>
    <t>Intégrer des indicateurs risques aux tableaux de bord DG</t>
  </si>
  <si>
    <t>Surveillance inefficace des risques</t>
  </si>
  <si>
    <t>La registre de surveillance pourrait être insuffisamment détaillée</t>
  </si>
  <si>
    <t>registre de surveillance</t>
  </si>
  <si>
    <t>Un mécanisme de surveillance est-il en place ?</t>
  </si>
  <si>
    <t>Un mécanisme de surveillance est en place pour détecter l’émergence de nouveaux risques en temps réel</t>
  </si>
  <si>
    <t>Exiger des analyses chiffrées et documentées</t>
  </si>
  <si>
    <t>Former aux méthodes d'analyse approfondie ( pourquoi, etc)</t>
  </si>
  <si>
    <t>Analyses superficielles sans valeur ajoutée</t>
  </si>
  <si>
    <t>Le rapport de revue des risques pourrait contenir des analyses superficielles</t>
  </si>
  <si>
    <t>Rapport de revue des risques</t>
  </si>
  <si>
    <t>Configurer des alertes automatiques sur les KRI</t>
  </si>
  <si>
    <t>Déployer des outils de monitoring en temps réel</t>
  </si>
  <si>
    <t>Le calendrier des revues périodiques risque de ne pas être respecté</t>
  </si>
  <si>
    <t>Calendrier des revues périodiques</t>
  </si>
  <si>
    <t>Des revues périodiques des risques sont-elles réalisées ?</t>
  </si>
  <si>
    <t>Des revues périodiques des risques sont réalisées (ex trimestriellement ou annuellement)</t>
  </si>
  <si>
    <t>Organiser des tests surprises sur les points critiques</t>
  </si>
  <si>
    <t>Concentrer les contrôles sur les risques résiduels élevés</t>
  </si>
  <si>
    <t>Contrôles incomplets sur des aspects critiques</t>
  </si>
  <si>
    <t>La checklist d'évaluation pourrait omettre des points critiques</t>
  </si>
  <si>
    <t>Checklist d'évaluation</t>
  </si>
  <si>
    <t>Faire valider les évaluations par des experts indépendants</t>
  </si>
  <si>
    <t>Automatiser les processus d'évaluation des risques clés</t>
  </si>
  <si>
    <t>Évaluations non systématiques</t>
  </si>
  <si>
    <t>La registre d'évaluation continue pourrait ne pas être suivie rigoureusement</t>
  </si>
  <si>
    <t>registre d'évaluation continue</t>
  </si>
  <si>
    <t>Un processus formalisé d'évaluation continue existe-t-il ?</t>
  </si>
  <si>
    <t>Un processus formalisé d’évaluation continue des risques est documenté et appliqué</t>
  </si>
  <si>
    <t>Vérifier que des mécanismes de suivi sont mis en place pour évaluer
 l’efficacité des activités de contrôle dans la réduction des risques à
 des niveaux acceptables</t>
  </si>
  <si>
    <t>Introduire des mécanismes de pondération transparents</t>
  </si>
  <si>
    <t>Appliquer une grille multicritère objective de priorisation</t>
  </si>
  <si>
    <t>Priorisations biaisées des actions</t>
  </si>
  <si>
    <t>La synthèse des retours parties prenantes risque d'être biaisée</t>
  </si>
  <si>
    <t>Synthèse des retours parties prenantes</t>
  </si>
  <si>
    <t>Planifier des revues formelles avec chaque catégorie d'acteurs</t>
  </si>
  <si>
    <t>Cartographier précisément l'écosystème des parties prenantes</t>
  </si>
  <si>
    <t>Consultation des parties prenantes incomplète</t>
  </si>
  <si>
    <t>Le registre des consultations pourrait être incomplet</t>
  </si>
  <si>
    <t>Registre des consultations</t>
  </si>
  <si>
    <t>Les parties prenantes sont-elles consultées ?</t>
  </si>
  <si>
    <t>Les parties prenantes (direction, équipes opérationnelles, audit interne) sont consultées pour identifier les risques spécifiques à leur domaine</t>
  </si>
  <si>
    <t>Attribuer systématiquement des responsables pour chaque action</t>
  </si>
  <si>
    <t>Maintenir un registre dynamique des améliorations prioritaires</t>
  </si>
  <si>
    <t>Points d'amélioration non adressés</t>
  </si>
  <si>
    <t>Le compte-rendu des ateliers pourrait omettre des points essentiels</t>
  </si>
  <si>
    <t>Compte-rendu des ateliers</t>
  </si>
  <si>
    <t>Fournir des supports structurés en amont des réunions</t>
  </si>
  <si>
    <t>Former les animateurs aux techniques d'ateliers efficaces</t>
  </si>
  <si>
    <t>Ateliers inefficaces et temps perdu</t>
  </si>
  <si>
    <t>Le planning des ateliers risque d'être irréaliste ou mal dimensionné</t>
  </si>
  <si>
    <t>Planning des ateliers</t>
  </si>
  <si>
    <t>Des ateliers sont-ils organisés périodiquement ?</t>
  </si>
  <si>
    <t>Des ateliers ou comités de gestion des risques sont organisés périodiquement pour identifier de nouveaux risques</t>
  </si>
  <si>
    <t>Réaliser des audits trimestriels de couverture des risques</t>
  </si>
  <si>
    <t>Établir une matrice RACI claire pour toutes les actions</t>
  </si>
  <si>
    <t>Chevauchements ou lacunes dans les actions</t>
  </si>
  <si>
    <t>L'organigramme des responsabilités pourrait comporter des ambiguïtés</t>
  </si>
  <si>
    <t>Organigramme des responsabilités</t>
  </si>
  <si>
    <t>Organiser des formations obligatoires pour les managers</t>
  </si>
  <si>
    <t>Intégrer la gestion des risques aux objectifs individuels</t>
  </si>
  <si>
    <t>Responsables peu engagés dans la gestion des risques</t>
  </si>
  <si>
    <t>La fiche de poste des responsables pourrait mal définir les rôles et responsabilités</t>
  </si>
  <si>
    <t>Fiche de poste des responsables</t>
  </si>
  <si>
    <t>Les responsables des risques sont-ils clairement définis ?</t>
  </si>
  <si>
    <t>Les responsables des risques sont clairement définis et impliqués dans le processus d’identification</t>
  </si>
  <si>
    <t>Implémenter des systèmes d'audit trail inaltérables</t>
  </si>
  <si>
    <t>Digitaliser et centraliser tous les documents décisionnels</t>
  </si>
  <si>
    <t>Historique incomplet et traçabilité compromise</t>
  </si>
  <si>
    <t>L'historique des mises à jour pourrait présenter des omissions importantes</t>
  </si>
  <si>
    <t>Historique des mises à jour</t>
  </si>
  <si>
    <t>Croiser systématiquement les sources de données pour validation</t>
  </si>
  <si>
    <t>Automatiser les contrôles de qualité des données critiques</t>
  </si>
  <si>
    <t>Prise de décision sur des données erronées</t>
  </si>
  <si>
    <t>La version actualisée de la cartographie pourrait contenir des erreurs</t>
  </si>
  <si>
    <t>Version actualisée de la cartographie</t>
  </si>
  <si>
    <t>La cartographie des risques est-elle régulièrement mise à jour ?</t>
  </si>
  <si>
    <t>Une cartographie des risques est régulièrement mise à jour et couvre les aspects stratégiques, opérationnels et financiers</t>
  </si>
  <si>
    <t>Benchmarker régulièrement les méthodes d'évaluation sectorielles</t>
  </si>
  <si>
    <t>Créer un référentiel interne normalisé basé sur les standards</t>
  </si>
  <si>
    <t>Références inadéquates pour l'évaluation</t>
  </si>
  <si>
    <t>Le référentiel des risques types risque d'être incomplet ou obsolète</t>
  </si>
  <si>
    <t>Référentiel des risques types</t>
  </si>
  <si>
    <t>Impliquer des experts externes pour identifier les risques émergents</t>
  </si>
  <si>
    <t>Mener des analyses prospectives et scénarios extrêmes</t>
  </si>
  <si>
    <t>Risques majeurs non identifiés en amont</t>
  </si>
  <si>
    <t>Le manuel méthodologique pourrait présenter des lacunes dans l'identification des risques</t>
  </si>
  <si>
    <t>Manuel méthodologique d'identification</t>
  </si>
  <si>
    <t>Une méthodologie documentée d'identification existe-t-elle ?</t>
  </si>
  <si>
    <t>L’organisation dispose d’une méthodologie documentée et appliquée pour l’identification des risques</t>
  </si>
  <si>
    <t>S’assurer que l’organisation sélectionne des activités de contrôle
 adaptées aux risques identifiés, en prenant en compte la nature,
 l’ampleur et la criticité des risques</t>
  </si>
  <si>
    <t>Développement des activités de contrôle sur les technologies</t>
  </si>
  <si>
    <t>Instaurer un cycle de revue et validation des améliorations</t>
  </si>
  <si>
    <t>Créer un registre des besoins d'amélioration</t>
  </si>
  <si>
    <t>Améliorations non implémentées malgré les besoins</t>
  </si>
  <si>
    <t>Le registre des améliorations pourrait ne pas être tenu à jour régulièrement</t>
  </si>
  <si>
    <t>Registre des améliorations apportées</t>
  </si>
  <si>
    <t>Introduire des mécanismes d'amélioration continue</t>
  </si>
  <si>
    <t>Réaliser des revues trimestrielles des processus</t>
  </si>
  <si>
    <t>Stagnation des processus et perte d'efficacité</t>
  </si>
  <si>
    <t>La registre d'amélioration continue risque d'être mal appliquée ou ignorée</t>
  </si>
  <si>
    <t>registre d'amélioration continue</t>
  </si>
  <si>
    <t>Documenter les procédures de mise en œuvre</t>
  </si>
  <si>
    <t>Mettre en place un comité de coordination transverse</t>
  </si>
  <si>
    <t>Incohérences dans la mise en œuvre des décisions</t>
  </si>
  <si>
    <t>Le PV de réunion de la direction pourrait ne pas refléter fidèlement les échanges et décisions</t>
  </si>
  <si>
    <t>PV de réunion de la direction</t>
  </si>
  <si>
    <t>Diversifier les sources d'information stratégique</t>
  </si>
  <si>
    <t>Valider systématiquement les données avant décision</t>
  </si>
  <si>
    <t>Décisions stratégiques basées sur des informations erronées</t>
  </si>
  <si>
    <t>Le support de présentation à la direction risque de contenir des informations trompeuses ou partiales</t>
  </si>
  <si>
    <t>Support de présentation à la direction</t>
  </si>
  <si>
    <t>Croiser les indicateurs avec des données qualitatives</t>
  </si>
  <si>
    <t>Auditer régulièrement les sources de données</t>
  </si>
  <si>
    <t>Indicateurs de gestion trompeurs</t>
  </si>
  <si>
    <t>Les données sources du tableau de bord pourraient être incomplètes ou non fiables</t>
  </si>
  <si>
    <t>Données sources du tableau de bord</t>
  </si>
  <si>
    <t>Automatiser la collecte des données de performance</t>
  </si>
  <si>
    <t>Développer des tableaux de bord unifiés</t>
  </si>
  <si>
    <t>Mauvaise visibilité sur les performances</t>
  </si>
  <si>
    <t>L'architecture du tableau de bord pourrait être mal conçue</t>
  </si>
  <si>
    <t>Architecture du tableau de bord</t>
  </si>
  <si>
    <t>Définir des seuils d'alerte précoces</t>
  </si>
  <si>
    <t>Implémenter des outils de monitoring en temps réel</t>
  </si>
  <si>
    <t>Détection tardive des problèmes</t>
  </si>
  <si>
    <t>La fréquence de reporting peut être inadaptée aux besoins</t>
  </si>
  <si>
    <t>Calendrier de reporting périodique</t>
  </si>
  <si>
    <t>Créer des référentiels communs de données</t>
  </si>
  <si>
    <t>Adopter des modèles de rapport uniformes</t>
  </si>
  <si>
    <t>Difficulté à comparer les rapports</t>
  </si>
  <si>
    <t>Les modèles de rapport pourraient manquer de standardisation</t>
  </si>
  <si>
    <t>Modèle de rapport de gestion</t>
  </si>
  <si>
    <t>Centraliser l'archivage des documents importants</t>
  </si>
  <si>
    <t>Standardiser les formats de reporting</t>
  </si>
  <si>
    <t>Perte d'informations importantes</t>
  </si>
  <si>
    <t>La gestion des registres risque d'être désorganisée</t>
  </si>
  <si>
    <t>registre de gestion du registre</t>
  </si>
  <si>
    <t>Automatiser les sauvegardes critiques</t>
  </si>
  <si>
    <t>Mettre en place une architecture redondante pour les données</t>
  </si>
  <si>
    <t>Données critiques non accessibles</t>
  </si>
  <si>
    <t>Le registre central peut avoir des problèmes de centralisation</t>
  </si>
  <si>
    <t>Registre central des évaluations</t>
  </si>
  <si>
    <t>S’assurer que les résultats de l’évaluation des risques sont
 documentés et communiqués aux parties prenantes pertinentes, y
 compris à la direction, pour garantir une gestion proactive des
 risques</t>
  </si>
  <si>
    <t>Utiliser des outils de traçabilité des décisions</t>
  </si>
  <si>
    <t>Documenter systématiquement les processus décisionnels</t>
  </si>
  <si>
    <t>Impossibilité de prouver les décisions</t>
  </si>
  <si>
    <t>La traçabilité des décisions peut manquer de preuves tangibles</t>
  </si>
  <si>
    <t>Preuve de traçabilité des décisions</t>
  </si>
  <si>
    <t>Former spécifiquement aux exigences des auditeurs</t>
  </si>
  <si>
    <t>Préparer des dossiers d'audit en continu</t>
  </si>
  <si>
    <t>Difficultés lors des audits</t>
  </si>
  <si>
    <t>La documentation des actions peut être incomplète</t>
  </si>
  <si>
    <t>Registre documentaire des actions</t>
  </si>
  <si>
    <t>Affecter des responsables dédiés aux problèmes récurrents</t>
  </si>
  <si>
    <t>Cartographier les processus problématiques</t>
  </si>
  <si>
    <t>Problèmes opérationnels persistants</t>
  </si>
  <si>
    <t>Les ajustements pourraient ne pas répondre aux besoins réels</t>
  </si>
  <si>
    <t>Plan d'actions correctives ajusté</t>
  </si>
  <si>
    <t>Exiger une analyse cause-racine avant toute correction</t>
  </si>
  <si>
    <t>Créer une base de données des solutions éprouvées</t>
  </si>
  <si>
    <t>Mesures correctives inappropriées</t>
  </si>
  <si>
    <t>L'analyse des résultats de test peut être mal interprétée</t>
  </si>
  <si>
    <t>Rapport d'analyse des résultats des tests</t>
  </si>
  <si>
    <t>Instaurer des checkpoints de validation intermédiaires</t>
  </si>
  <si>
    <t>Clarifier les rôles et responsabilités pour chaque mission</t>
  </si>
  <si>
    <t>Missions mal exécutées ou incomplètes</t>
  </si>
  <si>
    <t>Les fiches de mission pourraient avoir un périmètre trop vague</t>
  </si>
  <si>
    <t>Fiche de mission des responsables</t>
  </si>
  <si>
    <t>Définir des SLA clairs pour le traitement des incidents</t>
  </si>
  <si>
    <t>Mettre en place un système de suivi des incidents avec alertes automatiques</t>
  </si>
  <si>
    <t>Retards dans le traitement des incidents</t>
  </si>
  <si>
    <t>La désignation des responsables peut manquer de clarté</t>
  </si>
  <si>
    <t>Désignation écrite des responsables</t>
  </si>
  <si>
    <t>Mettre en œuvre des plans d’action correctifs pérennes</t>
  </si>
  <si>
    <t>Analyser les causes racines des problèmes récurrents</t>
  </si>
  <si>
    <t>Le suivi des actions correctives risque d'être irrégulier</t>
  </si>
  <si>
    <t>Registre des actions correctives</t>
  </si>
  <si>
    <t>Renforcer les procédures de contrôle qualité en continu</t>
  </si>
  <si>
    <t>Automatiser la détection des anomalies via des outils de monitoring</t>
  </si>
  <si>
    <t>Anomalies détectées trop tardivement</t>
  </si>
  <si>
    <t>Les contrôles préventifs pourraient être mal positionnés dans les processus</t>
  </si>
  <si>
    <t>registre des contrôles préventifs</t>
  </si>
  <si>
    <t>Mettre en place des revues intermédiaires pour ajustements</t>
  </si>
  <si>
    <t>Clarifier les exigences avec les parties prenantes en amont</t>
  </si>
  <si>
    <t>Livrables ne répondant pas aux attentes</t>
  </si>
  <si>
    <t>Le cahier des charges peut contenir des spécifications imprécises</t>
  </si>
  <si>
    <t>Cahier des charges des mesures d'atténuation</t>
  </si>
  <si>
    <t>Adopter une approche de défense en profondeur (multi-couches)</t>
  </si>
  <si>
    <t>Identifier et renforcer les protections sur les risques critiques</t>
  </si>
  <si>
    <t>Protection insuffisante contre les risques majeurs</t>
  </si>
  <si>
    <t>Les plans d'atténuation pourraient proposer des mesures insuffisantes</t>
  </si>
  <si>
    <t>Plans d'atténuation par risque</t>
  </si>
  <si>
    <t>Des plans d'atténuation sont-ils définis pour chaque risque critique ?</t>
  </si>
  <si>
    <t>Des plans d’atténuation des risques sont formellement définis et mis en œuvre pour chaque risque critique</t>
  </si>
  <si>
    <t>Vérifier que l'organisation met en place des actions de gestion des
 risques pour atténuer ou minimiser les risques significatifs identifiés</t>
  </si>
  <si>
    <t>Supprimer ou remplacer les mesures obsolètes</t>
  </si>
  <si>
    <t>Auditer régulièrement l’efficacité des contrôles en place</t>
  </si>
  <si>
    <t>Le registre des validations peut présenter des lacunes dans le suivi</t>
  </si>
  <si>
    <t>Registre des validations</t>
  </si>
  <si>
    <t>Favoriser la transparence dans la prise de décision</t>
  </si>
  <si>
    <t>Établir un processus de résolution des désaccords clair</t>
  </si>
  <si>
    <t>Conflits sur les décisions prises</t>
  </si>
  <si>
    <t>Les PV de réunion pourraient ne pas retranscrire fidèlement les décisions</t>
  </si>
  <si>
    <t>PV de réunion du comité de validation</t>
  </si>
  <si>
    <t>Croiser les données avec d’autres indicateurs pour validation</t>
  </si>
  <si>
    <t>Vérifier les sources et méthodes de calcul utilisées</t>
  </si>
  <si>
    <t>Conclusions chiffrées non fiables</t>
  </si>
  <si>
    <t>L'analyse quantitative pourrait utiliser des données incomplètes ou inexactes</t>
  </si>
  <si>
    <t>Analyse quantitative des risques</t>
  </si>
  <si>
    <t>Faire valider les estimations par des experts externes</t>
  </si>
  <si>
    <t>S’appuyer sur des données historiques et statistiques</t>
  </si>
  <si>
    <t>Évaluation inexacte de la probabilité des risques</t>
  </si>
  <si>
    <t>L'analyse qualitative peut être influencée par des biais d'évaluation</t>
  </si>
  <si>
    <t>Analyse qualitative des risques</t>
  </si>
  <si>
    <t>Intégrer des retours d’expérience après chaque incident</t>
  </si>
  <si>
    <t>Tester et mettre à jour régulièrement les plans de réponse</t>
  </si>
  <si>
    <t>Plans de réponse inadaptés aux situations réelles</t>
  </si>
  <si>
    <t>Le rapport d'impact risque de sous-estimer les conséquences réelles</t>
  </si>
  <si>
    <t>Rapport d'impact des scénarios</t>
  </si>
  <si>
    <t>Mettre en place une veille proactive sur les menaces émergentes</t>
  </si>
  <si>
    <t>Organiser des exercices de crise réguliers (simulations, jeux de rôle)</t>
  </si>
  <si>
    <t>Incidents non anticipés et non préparés</t>
  </si>
  <si>
    <t>Les scénarios de test pourraient omettre des situations critiques importantes</t>
  </si>
  <si>
    <t>Scénarios de test documentés</t>
  </si>
  <si>
    <t>Impliquer les parties prenantes dans l’évaluation</t>
  </si>
  <si>
    <t>Utiliser une méthodologie standardisée (ISO , NIST)</t>
  </si>
  <si>
    <t>Priorisation incorrecte des risques à traiter</t>
  </si>
  <si>
    <t>Le classement par criticité peut être biaisé par une mauvaise appréciation des impacts</t>
  </si>
  <si>
    <t>Classement des risques par criticité</t>
  </si>
  <si>
    <t>Réaliser des audits d’efficacité pour vérifier la couverture des risques critiques</t>
  </si>
  <si>
    <t>Prioriser les risques avec une matrice coût/bénéfice</t>
  </si>
  <si>
    <t>Mauvaise allocation des ressources de sécurité</t>
  </si>
  <si>
    <t>La matrice des risques pourrait ne pas être actualisée régulièrement, donnant une vision erronée</t>
  </si>
  <si>
    <t>Matrice des risques actualisée</t>
  </si>
  <si>
    <t>Désigner un responsable conformité pour surveiller les évolutions réglementaires</t>
  </si>
  <si>
    <t>Former les équipes sur les exigences légales et réaliser des audits de conformité</t>
  </si>
  <si>
    <t>Amendes ou sanctions réglementaires</t>
  </si>
  <si>
    <t>Le manuel de registre risque de devenir obsolète et non conforme aux réglementations</t>
  </si>
  <si>
    <t>Manuel de registre d'évaluation</t>
  </si>
  <si>
    <t>Utiliser des outils d’aide à la décision (analyse multicritère, simulations)</t>
  </si>
  <si>
    <t>Mettre en place un comité de revue des décisions</t>
  </si>
  <si>
    <t>Décisions erronées sur la gestion des risques</t>
  </si>
  <si>
    <t>La grille d'évaluation peut comporter des critères subjectifs faussant l'analyse des risques</t>
  </si>
  <si>
    <t>Grille d'évaluation des risques (avec échelle de notation)</t>
  </si>
  <si>
    <t>S’assurer que les risques identifiés sont évalués en fonction de leur
 probabilité d'occurrence et de leur impact potentiel sur
 l'organisation</t>
  </si>
  <si>
    <t>Mettre en place un plan de gestion de crise pour anticiper les impacts financiers négatifs et les crises.</t>
  </si>
  <si>
    <t>Exposition accrue aux crises et aux pertes financières</t>
  </si>
  <si>
    <t>Incapacité à anticiper les évolutions du marché et leurs impacts sur les risque</t>
  </si>
  <si>
    <t>Rapports d’analyse des tendances et évolutions du marché</t>
  </si>
  <si>
    <t>Mauvaise adaptation aux changements économiques et concurrentiels.</t>
  </si>
  <si>
    <t>Absence de suivi des tendances de marché affectant les risques.</t>
  </si>
  <si>
    <t>Analyse des tendances et évolutions du marché pour anticiper les risques émergents</t>
  </si>
  <si>
    <t>Une analyse des tendances et des évolutions du marché est-elle intégrée pour anticiper les risques émergents?</t>
  </si>
  <si>
    <t>Une analyse des tendances et des évolutions du marché est intégrée pour anticiper les risques émergents.</t>
  </si>
  <si>
    <t>Utiliser des outils d’analyse des tendances pour évaluer les risques émergents dans un environnement concurrentiel.</t>
  </si>
  <si>
    <t>Manque de visibilité sur l’évolution des risques et des tendances.</t>
  </si>
  <si>
    <t>Inexistance du rapport d'evolution des risques</t>
  </si>
  <si>
    <t>Rapports d’évolution des risques sur plusieurs périodes</t>
  </si>
  <si>
    <t>Renforcer la capacité d’adaptation aux changements économiques en assurant une réévaluation régulière des risques.</t>
  </si>
  <si>
    <t>Décisions basées sur des données dépassées, augmentant les incertitudes.</t>
  </si>
  <si>
    <t>Risque d’obsolescence des évaluations des risques comparées aux périodes précédentes</t>
  </si>
  <si>
    <t>Comparaison des résultats des évaluations des risques avec les périodes précédentes</t>
  </si>
  <si>
    <t>Les résultats des évaluations des risques sont-ils comparés aux périodes précédentes pour mesurer l’évolution des menaces et opportunités?</t>
  </si>
  <si>
    <t>Les résultats des évaluations des risques sont comparés aux périodes précédentes pour mesurer l’évolution des menaces et opportunités.</t>
  </si>
  <si>
    <t>Mettre en place une veille continue pour détecter les nouveaux risques et ajuster les stratégies en conséquence.</t>
  </si>
  <si>
    <t>Vulnérabilité accrue face aux nouveaux défis et menaces.</t>
  </si>
  <si>
    <t>Inefficacité dans la surveillance des risques émergents.</t>
  </si>
  <si>
    <t>Rapports de détection des nouveaux risques</t>
  </si>
  <si>
    <t>Revoir régulièrement la stratégie de mitigation des risques pour s’assurer qu’elle reflète les réalités actuelles.</t>
  </si>
  <si>
    <t>Augmentation des impacts négatifs avant la mise en place de solutions.</t>
  </si>
  <si>
    <t>Risque de détection tardive des nouveaux risques.</t>
  </si>
  <si>
    <t>Mécanisme de surveillance des nouveaux risques en temps réel</t>
  </si>
  <si>
    <t>PAS</t>
  </si>
  <si>
    <t>Un mécanisme de surveillance est-il en place pour détecter l’émergence de nouveaux risques en temps réel?</t>
  </si>
  <si>
    <t>Un mécanisme de surveillance est en place pour détecter l’émergence de nouveaux risques en temps réel.</t>
  </si>
  <si>
    <t>Assurer un suivi des résultats des actions mises en place pour garantir leur efficacité dans la gestion des risques</t>
  </si>
  <si>
    <t>Décalage entre les mesures de gestion et la réalité des risques actuels.</t>
  </si>
  <si>
    <t>Retard dans la mise à jour des résultats des revues des risques.</t>
  </si>
  <si>
    <t>Rapports de résultats des revues périodiques des risques</t>
  </si>
  <si>
    <t>Mettre en place un système de contrôle de la qualité des données utilisées pour prendre des décisions stratégiques.</t>
  </si>
  <si>
    <t>Incapacité à mesurer l’efficacité des mesures mises en place.</t>
  </si>
  <si>
    <t>Difficulté à suivre les résultats des revues des risques.</t>
  </si>
  <si>
    <t>Comptes rendus des revues périodiques des risques</t>
  </si>
  <si>
    <t>Des revues périodiques des risques sont-elles réalisées (ex. trimestriellement ou annuellement)?</t>
  </si>
  <si>
    <t>Des revues périodiques des risques sont réalisées (ex. trimestriellement ou annuellement).</t>
  </si>
  <si>
    <t>Adopter des processus d’analyse rigoureux pour garantir que les mesures de gestion des risques soient adéquates.</t>
  </si>
  <si>
    <t>Perte de traçabilité et difficulté à justifier les décisions prises.</t>
  </si>
  <si>
    <t>Manque de documentation sur l’évaluation des risques.</t>
  </si>
  <si>
    <t>Documentation de l’application du processus d’évaluation continue des risques</t>
  </si>
  <si>
    <t>Risques sous-estimés ou exagérés, faussant la stratégie de mitigation.</t>
  </si>
  <si>
    <t>Évaluation des risques inadéquate ou mal appliquée.</t>
  </si>
  <si>
    <t>Processus formalisé d’évaluation continue des risques</t>
  </si>
  <si>
    <t>Un processus formalisé d’évaluation continue des risques est-il documenté et appliqué?</t>
  </si>
  <si>
    <t>Un processus formalisé d’évaluation continue des risques est documenté et appliqué.</t>
  </si>
  <si>
    <t>Vérifier que l’évaluation des risques est effectuée de manière
 continue, avec des processus de mise à jour réguliers pour prendre
 en compte les nouvelles menaces ou opportunités</t>
  </si>
  <si>
    <t>Manque de précision dans l’identification et l’évaluation des risques.</t>
  </si>
  <si>
    <t>Sous-utilisation ou utilisation inefficace des outils d’analyse des risques.</t>
  </si>
  <si>
    <t>Rapports sur l’utilisation des outils d’analyse des risques</t>
  </si>
  <si>
    <t>Résultats faussés menant à une mauvaise gestion des risques.</t>
  </si>
  <si>
    <t>Mauvaise application des outils d’analyse des risques.</t>
  </si>
  <si>
    <t>Outils d’analyse des risques utilisés pour affiner l’évaluation</t>
  </si>
  <si>
    <t>Les outils d’analyse des risques sont-ils utilisés pour affiner l’évaluation?</t>
  </si>
  <si>
    <t>Les outils d’analyse des risques (ex. matrice des risques, SWOT, analyses scénarios) sont utilisés pour affiner l’évaluation</t>
  </si>
  <si>
    <t>Prise de décisions erronées basées sur des données non fiables.</t>
  </si>
  <si>
    <t>Risque de mauvaises informations issues des consultations des parties prenantes.</t>
  </si>
  <si>
    <t>Rapports de consultations des parties prenantes sur les risques spécifiques</t>
  </si>
  <si>
    <t>Décisions biaisées et inadéquation des mesures de gestion des risques.</t>
  </si>
  <si>
    <t>Non-prise en compte des avis des parties prenantes.</t>
  </si>
  <si>
    <t>Consultations des parties prenantes pour identifier les risques spécifiques</t>
  </si>
  <si>
    <t>Les parties prenantes sont-elles consultées pour identifier les risques spécifiques à leur domaine?</t>
  </si>
  <si>
    <t>Les parties prenantes (direction, équipes opérationnelles, audit interne) sont consultées pour identifier les risques spécifiques à leur domaine.</t>
  </si>
  <si>
    <t>Risques sous-estimés ou ignorés, augmentant l’exposition de l’organisation.</t>
  </si>
  <si>
    <t>Non-implication des responsables des risques dans le processus.</t>
  </si>
  <si>
    <t>Comptes rendus des réunions sur l’implication des responsables des risques</t>
  </si>
  <si>
    <t>Manque de clarté sur les actions à entreprendre en cas de problème.</t>
  </si>
  <si>
    <t>Mauvaise gestion des responsabilités liées à l’identification des risques.</t>
  </si>
  <si>
    <t>Liste des responsables des risques et leur rôle dans l’identification des risques</t>
  </si>
  <si>
    <t>Les responsables des risques sont-ils clairement définis et impliqués dans le processus d’identification?</t>
  </si>
  <si>
    <t>Les responsables des risques sont clairement définis et impliqués dans le processus d’identification.</t>
  </si>
  <si>
    <t>Incapacité à anticiper de nouveaux risques et vulnérabilités.</t>
  </si>
  <si>
    <t>Manque d’adaptation de la cartographie des risques aux évolutions.</t>
  </si>
  <si>
    <t>Rapports sur l’évolution de la cartographie des risques</t>
  </si>
  <si>
    <t>Effectuer des analyses approfondies pour identifier et gérer les risques sous-estimés ou ignorés.</t>
  </si>
  <si>
    <t>Difficulté à prioriser et à gérer efficacement les risques.</t>
  </si>
  <si>
    <t>Cartographie des risques obsolète ou incomplète.</t>
  </si>
  <si>
    <t>Cartographie des risques régulièrement mise à jour</t>
  </si>
  <si>
    <t>Une cartographie des risques est-elle régulièrement mise à jour et couvre les aspects stratégiques, opérationnels et financiers?</t>
  </si>
  <si>
    <t>Une cartographie des risques est régulièrement mise à jour et couvre les aspects stratégiques, opérationnels et financiers.</t>
  </si>
  <si>
    <t>Mettre en place des plans d’action clairs pour réagir efficacement en cas de problème.</t>
  </si>
  <si>
    <t>Risques non détectés ou mal évalués, entraînant des décisions inappropriées.</t>
  </si>
  <si>
    <t>Mauvaise mise en œuvre de la méthodologie d’identification des risques.</t>
  </si>
  <si>
    <t>Procédure de mise en œuvre de la méthodologie d’identification des risques</t>
  </si>
  <si>
    <t>Évaluer régulièrement les risques afin de pouvoir anticiper ceux qui pourraient affecter l’organisation à l’avenir.</t>
  </si>
  <si>
    <t>Mauvaise gestion des risques</t>
  </si>
  <si>
    <t>Méthodologie mal documentée, risque de mauvaise identification des risques.</t>
  </si>
  <si>
    <t>Méthodologie documentée pour l’identification des risques</t>
  </si>
  <si>
    <t>L’organisation dispose-t-elle d’une méthodologie documentée et appliquée pour l’identification des risques?</t>
  </si>
  <si>
    <t>L’organisation dispose d’une méthodologie documentée et appliquée pour l’identification des risques.</t>
  </si>
  <si>
    <t>S’assurer que l’organisation identifie et évalue les risques potentiels
 qui pourraient affecter la réalisation de ses objectifs stratégiques,
 opérationnels et financiers</t>
  </si>
  <si>
    <t>Sélection et développement des activités de
 contrôle</t>
  </si>
  <si>
    <t>Activités de Contrôle</t>
  </si>
  <si>
    <t>Mettre en place un système de priorisation des risques pour gérer efficacement les menaces.</t>
  </si>
  <si>
    <t>Risque de non-alignement avec les objectifs du Conseil</t>
  </si>
  <si>
    <t>Adaptation insuffisante des contrôles internes après les décisions du Consei</t>
  </si>
  <si>
    <t>Rapports d’audit sur l’adaptation des contrôles internes suite aux décisions du Conseil</t>
  </si>
  <si>
    <t>Effectuer des évaluations régulières des risques pour détecter les menaces émergentes et ajuster les stratégies en conséquence.</t>
  </si>
  <si>
    <t>Non-conformité avec les décisions du Conseil.</t>
  </si>
  <si>
    <t>Rapports d’audits indépendants sur la conformité des mesures aux décisions du Conseil</t>
  </si>
  <si>
    <t>Des audits indépendants sont-ils réalisés pour s’assurer de la conformité des mesures prises aux décisions du Conseil?</t>
  </si>
  <si>
    <t>Des audits indépendants sont réalisés pour s’assurer de la conformité des mesures prises aux décisions du Conseil</t>
  </si>
  <si>
    <t>Mettre en place une approche intégrée de gestion des risques pour assurer une vision globale des enjeux.</t>
  </si>
  <si>
    <t>Manque de transparence sur les actions mises en place</t>
  </si>
  <si>
    <t>Absence de suivi des recommandations dans les actions.</t>
  </si>
  <si>
    <t>Suivi des recommandations du Conseil dans les plans d’action</t>
  </si>
  <si>
    <t>Aligner les actions avec les objectifs du Conseil pour garantir la cohérence stratégique.</t>
  </si>
  <si>
    <t>Difficulté à appliquer les recommandations du Conseil</t>
  </si>
  <si>
    <t>Risque d’oubli des recommandations dans les plans d’action.</t>
  </si>
  <si>
    <t>Plans d’action intégrant les recommandations du Conseil</t>
  </si>
  <si>
    <t>Les recommandations du Conseil sont-elles intégrées dans les plans d’action correctifs et suivies par les équipes concernées?</t>
  </si>
  <si>
    <t>Les recommandations du Conseil sont intégrées dans les plans d’action correctifs et suivies par les équipes concernées.</t>
  </si>
  <si>
    <t>Mettre en place un système de reporting transparent pour rendre compte des actions entreprises.</t>
  </si>
  <si>
    <t>Impact négatif sur la performance organisationnelle</t>
  </si>
  <si>
    <t>Retard dans le respect des délais de reporting des changements.</t>
  </si>
  <si>
    <t>Rapports de respect du calendrier de reporting des changements</t>
  </si>
  <si>
    <t>Assurer un suivi structuré des recommandations du Conseil pour garantir leur mise en œuvre effective.</t>
  </si>
  <si>
    <t>Diminution de la qualité de la prise de décision</t>
  </si>
  <si>
    <t>Non-respect du calendrier de reporting des changements.</t>
  </si>
  <si>
    <t>Calendrier de reporting des changements significatifs</t>
  </si>
  <si>
    <t>Un calendrier de reporting des changements significatifs est-il défini et respecté?</t>
  </si>
  <si>
    <t>Un calendrier de reporting des changements significatifs est défini et respecté.</t>
  </si>
  <si>
    <t>Utiliser des outils de mesure de performance pour évaluer l’impact des décisions sur l’organisation.</t>
  </si>
  <si>
    <t>Absence d’action corrective ou de mise en œuvre des décisions</t>
  </si>
  <si>
    <t>Manque de suivi sur les décisions du Conseil.</t>
  </si>
  <si>
    <t>Suivi des décisions du Conseil concernant le contrôle interne</t>
  </si>
  <si>
    <t>Améliorer la qualité des processus décisionnels grâce à l’analyse rigoureuse des informations disponibles.</t>
  </si>
  <si>
    <t>Incohérence dans les actions</t>
  </si>
  <si>
    <t>Incohérence dans les décisions du Conseil sur le contrôle interne.</t>
  </si>
  <si>
    <t>Comptes rendus des décisions du Conseil sur l’adaptation du système de contrôle interne</t>
  </si>
  <si>
    <t>Les décisions du Conseil concernant l’adaptation du système de contrôle interne sont-elles documentées et suivies?</t>
  </si>
  <si>
    <t>Les décisions du Conseil concernant l’adaptation du système de contrôle interne sont documentées et suivies.</t>
  </si>
  <si>
    <t>Instaurer des processus de suivi des décisions pour garantir leur mise en œuvre rapide et efficace.</t>
  </si>
  <si>
    <t>Détérioration de la gouvernance.</t>
  </si>
  <si>
    <t>Mauvaise communication des changements critiques au Conseil.</t>
  </si>
  <si>
    <t>Compte-rendu des présentations des changements critiques au Conseil</t>
  </si>
  <si>
    <t>S’assurer de la cohérence des actions et des décisions pour éviter les incohérences dans les projets.</t>
  </si>
  <si>
    <t>Risque de ne pas informer correctement les parties prenantes</t>
  </si>
  <si>
    <t>Omission de présenter les changements critiques aux parties prenantes.</t>
  </si>
  <si>
    <t>Rapports sur les changements critiques présentés au Conseil ou au comité de gouvernance</t>
  </si>
  <si>
    <t>Les changements critiques font-ils l’objet d’une présentation formelle au Conseil ou au comité de gouvernance?</t>
  </si>
  <si>
    <t>Les changements critiques font l’objet d’une présentation formelle au Conseil ou au comité de gouvernance.</t>
  </si>
  <si>
    <t>Vérifier que le Conseil ou un comité de gouvernance est informé des
 changements significatifs affectant le contrôle interne et qu’il valide
 les mesures prises pour adapter le système en conséquence</t>
  </si>
  <si>
    <t>Renforcer la gouvernance en améliorant la transparence et l’efficacité des processus décisionnels.</t>
  </si>
  <si>
    <t>Confusion pouvant mener à des actions correctives inefficaces ou non pertinentes.</t>
  </si>
  <si>
    <t>Risque de confusion sur les actions correctives et décisions.</t>
  </si>
  <si>
    <t>Registre des décisions et actions correctives associées</t>
  </si>
  <si>
    <t>Mettre en place une communication claire et régulière avec toutes les parties prenantes pour assurer une information complète.</t>
  </si>
  <si>
    <t>Difficulté à prendre des décisions éclairées en raison d’un accès limité à l’information.</t>
  </si>
  <si>
    <t>Difficulté à accéder à la documentation sur les actions correctives.</t>
  </si>
  <si>
    <t>Documentation centralisée des changements et des actions correctives</t>
  </si>
  <si>
    <t>Une documentation centralisée des changements et des actions correctives est-elle maintenue pour assurer la traçabilité des décisions?</t>
  </si>
  <si>
    <t>Une documentation centralisée des changements et des actions correctives est maintenue pour assurer la traçabilité des décisions.</t>
  </si>
  <si>
    <t>Clarifier les processus d’action corrective pour éviter toute confusion et assurer leur pertinence.</t>
  </si>
  <si>
    <t>Retards dans la mise en œuvre des décisions</t>
  </si>
  <si>
    <t>Mauvaise organisation des réunions de revue des changements.</t>
  </si>
  <si>
    <t>Planification des réunions de revue des changements avec la direction</t>
  </si>
  <si>
    <t>Centraliser l’accès à l’information stratégique pour permettre une prise de décision éclairée et rapide.</t>
  </si>
  <si>
    <t>Incapacité à justifier les décisions prises lors des réunions.</t>
  </si>
  <si>
    <t>Perte de détails sur les décisions prises lors des réunions.</t>
  </si>
  <si>
    <t>Comptes rendus des réunions de revue des changements avec la direction</t>
  </si>
  <si>
    <t>Des réunions de revue des changements avec la direction sont-elles organisées périodiquement?</t>
  </si>
  <si>
    <t>Des réunions de revue des changements avec la direction sont organisées périodiquement.</t>
  </si>
  <si>
    <t>Mettre en place des mécanismes de suivi des décisions pour s’assurer de leur mise en œuvre en temps voulu</t>
  </si>
  <si>
    <t>Mauvaise interprétation des données, risquant des décisions erronées.</t>
  </si>
  <si>
    <t>Risque d’incompréhension des évolutions des indicateurs.</t>
  </si>
  <si>
    <t>Rapports d’évolution des indicateurs de suivi des changements</t>
  </si>
  <si>
    <t>Assurer une documentation complète des décisions prises lors des réunions pour garantir leur justification.</t>
  </si>
  <si>
    <t>Difficulté à mesurer l’impact des changements et à réagir rapidement.</t>
  </si>
  <si>
    <t>Manque de suivi des changements.</t>
  </si>
  <si>
    <t>Indicateurs de suivi des changements définis et suivis</t>
  </si>
  <si>
    <t>Les indicateurs de suivi des changements sont-ils définis et suivis?</t>
  </si>
  <si>
    <t>Les indicateurs de suivi des changements (ex : nombre de processus impactés, délais de mise en conformité) sont définis et suivis.</t>
  </si>
  <si>
    <t>Mettre en place des processus de validation des données pour éviter les erreurs d’interprétation et garantir des décisions éclairées.</t>
  </si>
  <si>
    <t>Incapacité à suivre l’impact des modifications, réduisant l’efficacité des contrôles internes</t>
  </si>
  <si>
    <t>Absence de recensement des améliorations proposées et des mesures correctives associées</t>
  </si>
  <si>
    <t>Liste des améliorations proposées et mesures correctives associées</t>
  </si>
  <si>
    <t>Utiliser des outils d’analyse avancés pour mesurer l’impact des changements en temps réel et permettre une réaction rapide.</t>
  </si>
  <si>
    <t>Non-renforcement des contrôles, exposant l’organisation à des fraudes et risques non anticipés</t>
  </si>
  <si>
    <t>Non-prise en compte des recommandations spécifiques pour renforcer les contrôles</t>
  </si>
  <si>
    <t>Recommandations spécifiques pour renforcer le contrôle interne</t>
  </si>
  <si>
    <t>Les rapports incluent-ils des recommandations spécifiques pour renforcer le système de contrôle interne?</t>
  </si>
  <si>
    <t>Les rapports incluent des recommandations spécifiques pour renforcer le système de contrôle interne.</t>
  </si>
  <si>
    <t>Mettre en place un système de suivi de l’impact des modifications pour garantir une gestion efficace des contrôles internes.</t>
  </si>
  <si>
    <t>Manque de réactivité dans l’adaptation des contrôles, créant des faiblesses à long terme</t>
  </si>
  <si>
    <t>Manque de visibilité sur l’évolution et l’efficacité des contrôles internes</t>
  </si>
  <si>
    <t>Tableau de bord des évolutions des contrôles internes</t>
  </si>
  <si>
    <t>Renforcer les contrôles internes pour mieux anticiper et prévenir les fraudes et autres risques non détectés.</t>
  </si>
  <si>
    <t>Risque accru de défaillance des contrôles internes, affectant la gestion des risques</t>
  </si>
  <si>
    <t>Absence de suivi des changements et de leur impact sur le contrôle interne</t>
  </si>
  <si>
    <t>Rapports de suivi des changements et de leur impact</t>
  </si>
  <si>
    <t>Un reporting régulier sur les changements et leur impact sur les contrôles internes est-il adressé à la direction?</t>
  </si>
  <si>
    <t>Un reporting régulier sur les changements et leur impact sur les contrôles internes est adressé à la direction.</t>
  </si>
  <si>
    <t>S’assurer que les changements et leur impact sur le système de
 contrôle interne sont régulièrement suivis et que des rapports
 détaillés sont fournis à la direction pour assurer une prise de
 décision informée</t>
  </si>
  <si>
    <t>Adapter rapidement les contrôles pour répondre aux nouveaux défis et garantir leur efficacité à long terme.</t>
  </si>
  <si>
    <t>Incapacité à suivre et valider les actions correctives, entraînant des non-conformités persistantes</t>
  </si>
  <si>
    <t>Validation des actions correctives réalisée sans cadre formel</t>
  </si>
  <si>
    <t>Procédure de validation formelle des actions correctives</t>
  </si>
  <si>
    <t>Assurer un suivi rigoureux des contrôles internes pour réduire les risques de défaillance dans la gestion des risques.</t>
  </si>
  <si>
    <t>Perte de transparence sur les résultats des actions, réduisant la confiance des parties prenantes</t>
  </si>
  <si>
    <t>Non-communication des résultats des plans d’action aux parties prenantes</t>
  </si>
  <si>
    <t>Communication des résultats des plans d’action aux parties prenantes</t>
  </si>
  <si>
    <t>Les résultats des plans d’action sont-ils communiqués aux parties prenantes et font-ils l’objet d’une validation formelle?</t>
  </si>
  <si>
    <t>Les résultats des plans d’action sont communiqués aux parties prenantes et font l’objet d’une validation formelle</t>
  </si>
  <si>
    <t>Mettre en place un suivi pour valider et garantir la mise en œuvre des actions correctives de manière continue.</t>
  </si>
  <si>
    <t>Non-prise en compte des exigences nouvelles, mettant en péril la conformité de l’organisation</t>
  </si>
  <si>
    <t>Absence de revues de conformité documentées avec les nouvelles exigences</t>
  </si>
  <si>
    <t>Comptes rendus des revues de conformité avec les nouvelles exigences</t>
  </si>
  <si>
    <t>Rendre les résultats des actions correctives transparents pour renforcer la confiance des parties prenantes.</t>
  </si>
  <si>
    <t>Manque de visibilité sur l’alignement des contrôles, augmentant le risque d’erreurs ou de fraudes</t>
  </si>
  <si>
    <t>Manque de suivi sur l’alignement des contrôles avec les exigences en vigueur</t>
  </si>
  <si>
    <t>Processus de revue périodique des contrôles internes</t>
  </si>
  <si>
    <t>Un processus de revue périodique est-il en place pour s’assurer de l’alignement des contrôles internes avec les nouvelles exigences?</t>
  </si>
  <si>
    <t>Un processus de revue périodique est en place pour s’assurer de l’alignement des contrôles internes avec les nouvelles exigences.</t>
  </si>
  <si>
    <t>Évaluer les nouvelles exigences et les intégrer dans les contrôles internes pour garantir la conformité.</t>
  </si>
  <si>
    <t>Risque d’inefficacité dans la gestion des contrôles internes, augmentant l’exposition aux risques</t>
  </si>
  <si>
    <t>Évaluation périodique des contrôles internes non réalisée ou incomplète</t>
  </si>
  <si>
    <t>Rapports périodiques sur l’état d’alignement des contrôles</t>
  </si>
  <si>
    <t>S’assurer que tous les contrôles soient alignés avec les objectifs organisationnels pour réduire les risques d’erreurs ou de fraudes.</t>
  </si>
  <si>
    <t>Retard ou inefficacité dans le suivi des mises à jour, laissant des failles de contrôle</t>
  </si>
  <si>
    <t>Absence de suivi structuré des mises à jour des contrôles internes</t>
  </si>
  <si>
    <t>Tableau de bord des mises à jour des contrôles internes</t>
  </si>
  <si>
    <t>Un tableau de bord de suivi des mises à jour des contrôles internes est-il maintenu et régulièrement mis à jour?</t>
  </si>
  <si>
    <t>Un tableau de bord de suivi des mises à jour des contrôles internes est maintenu et régulièrement mis à jour</t>
  </si>
  <si>
    <t>Assurer une révision continue des contrôles internes pour prévenir l’exposition à des risques supplémentaires.</t>
  </si>
  <si>
    <t>Défaillance dans la gestion des responsabilités, rendant l’action corrective difficile</t>
  </si>
  <si>
    <t>Plan d’action insuffisamment détaillé ou sans attribution claire des responsabilités</t>
  </si>
  <si>
    <t>Plan d’action détaillé avec échéances et responsabilités définies</t>
  </si>
  <si>
    <t>Mettre en place un suivi régulier des mises à jour pour combler rapidement les failles de contrôle.</t>
  </si>
  <si>
    <t>Non-conformité réglementaire, exposant l’entreprise à des sanctions</t>
  </si>
  <si>
    <t>Non-respect des délais de mise en conformité réglementaire</t>
  </si>
  <si>
    <t>Tableau de suivi des délais de mise en conformité</t>
  </si>
  <si>
    <t>Des délais de mise en conformité sont-ils définis et suivis pour chaque plan d’action?</t>
  </si>
  <si>
    <t>Des délais de mise en conformité sont définis et suivis pour chaque plan d’action.</t>
  </si>
  <si>
    <t>Clarifier les responsabilités de gestion pour assurer une gestion efficace des actions correctives.</t>
  </si>
  <si>
    <t>Risque de ne pas traiter correctement les processus affectés, exposant l’organisation à des risques</t>
  </si>
  <si>
    <t>Manque de visibilité sur les procédures affectées par les modifications récentes</t>
  </si>
  <si>
    <t>Liste des procédures impactées par les changements récents</t>
  </si>
  <si>
    <t>Mettre en place un suivi de conformité rigoureux pour assurer le respect des exigences réglementaires et éviter les sanctions.</t>
  </si>
  <si>
    <t>Retard dans l’adaptation des procédures aux évolutions, créant des incohérences</t>
  </si>
  <si>
    <t>Procédures non mises à jour en fonction des changements identifiés</t>
  </si>
  <si>
    <t>Procédures mises à jour en fonction des changements identifiés</t>
  </si>
  <si>
    <t>Chaque changement identifié entraîne-t-il une mise à jour des procédures de contrôle interne concernées?</t>
  </si>
  <si>
    <t>Chaque changement identifié entraîne une mise à jour des procédures de contrôle interne concernées.</t>
  </si>
  <si>
    <t>Vérifier que des plans d’action sont mis en place pour ajuster le
 système de contrôle interne en fonction des changements identifiés,
 y compris des processus de mise à jour et de révision des contrôles
 existants</t>
  </si>
  <si>
    <t>Adapter rapidement les procédures aux évolutions internes et externes pour garantir la cohérence organisationnelle.</t>
  </si>
  <si>
    <t>Manque d’efficacité des actions correctives, laissant persister les vulnérabilités</t>
  </si>
  <si>
    <t>Absence de suivi des recommandations validées et de leur mise en application</t>
  </si>
  <si>
    <t>Suivi des recommandations validées et mises en application</t>
  </si>
  <si>
    <t>Mettre en place des actions correctives efficaces avec un suivi rigoureux pour réduire la persistance des vulnérabilités.</t>
  </si>
  <si>
    <t>Absence de retour sur les recommandations, entraînant une répétition des erreurs passées</t>
  </si>
  <si>
    <t>Non-recensement des recommandations des responsables du contrôle interne</t>
  </si>
  <si>
    <t>Registre des recommandations des responsables du contrôle interne</t>
  </si>
  <si>
    <t>Les recommandations des responsables du contrôle interne sont-elles documentées et suivies par la direction?</t>
  </si>
  <si>
    <t>Les recommandations des responsables du contrôle interne sont documentées et suivies par la direction.</t>
  </si>
  <si>
    <t>Assurer un suivi régulier des recommandations pour éviter que les erreurs passées ne se répètent.</t>
  </si>
  <si>
    <t>Perte de traçabilité, rendant les décisions difficiles à justifier lors des audits</t>
  </si>
  <si>
    <t>Absence de traçabilité des décisions de validation et des responsables impliqués</t>
  </si>
  <si>
    <t>Documentation des décisions de validation et des responsables impliqués</t>
  </si>
  <si>
    <t>Renforcer la traçabilité des décisions prises pour faciliter leur justification lors des audits.</t>
  </si>
  <si>
    <t>Risques accrus de non-conformité en raison de l’absence de processus de validation formalisé</t>
  </si>
  <si>
    <t>Validation des ajustements des contrôles internes sans processus formalisé</t>
  </si>
  <si>
    <t>Processus formalisé de validation des ajustements des contrôles internes</t>
  </si>
  <si>
    <t>Un processus de validation est-il mis en place pour garantir que les ajustements des contrôles internes sont appropriés?</t>
  </si>
  <si>
    <t>Un processus de validation est mis en place pour garantir que les ajustements des contrôles internes sont appropriés.</t>
  </si>
  <si>
    <t>Formaliser le processus de validation des modifications pour garantir la conformité et réduire les risques</t>
  </si>
  <si>
    <t>Risque d’absence de documentation complète, rendant le suivi et l’audit difficiles</t>
  </si>
  <si>
    <t>Absence de documentation des échanges avant la mise en œuvre des modifications</t>
  </si>
  <si>
    <t>Rapports de concertation avant mise en œuvre des changements</t>
  </si>
  <si>
    <t>Assurer une documentation complète et accessible pour faciliter le suivi et l’audit des changements.</t>
  </si>
  <si>
    <t>Manque de coordination entre les équipes, menant à des incohérences dans la gestion des risques</t>
  </si>
  <si>
    <t>Non-consultation des responsables du contrôle interne lors des changements</t>
  </si>
  <si>
    <t>Procédure de consultation des responsables du contrôle interne</t>
  </si>
  <si>
    <t>Un mécanisme de consultation est-il établi pour solliciter l’avis des responsables du contrôle interne avant toute mise en œuvre?</t>
  </si>
  <si>
    <t>Un mécanisme de consultation est établi pour solliciter l’avis des responsables du contrôle interne avant toute mise en œuvre.</t>
  </si>
  <si>
    <t>Instaurer des réunions de coordination régulières entre les équipes pour garantir une gestion cohérente des risques.</t>
  </si>
  <si>
    <t>Faiblesse dans la mise à jour des contrôles internes, créant des vulnérabilités</t>
  </si>
  <si>
    <t>Manque de réévaluation des contrôles internes face aux modifications organisationnelles</t>
  </si>
  <si>
    <t>Revue des contrôles internes en lien avec les modifications organisationnelles</t>
  </si>
  <si>
    <t>Mettre à jour régulièrement les contrôles internes pour les aligner avec les évolutions de l’environnement de l’entreprise.</t>
  </si>
  <si>
    <t>Incapacité à identifier et traiter les nouveaux risques liés aux changements majeurs</t>
  </si>
  <si>
    <t>Absence de prise en compte des changements majeurs dans les plans d’audit interne</t>
  </si>
  <si>
    <t>Plans d’audit interne intégrant les changements majeurs</t>
  </si>
  <si>
    <t>Les changements majeurs sont-ils intégrés aux plans d’audit interne et aux revues de contrôle?</t>
  </si>
  <si>
    <t>Les changements majeurs sont intégrés aux plans d’audit interne et aux revues de contrôle.</t>
  </si>
  <si>
    <t>Mettre en place une veille pour identifier rapidement les nouveaux risques associés aux changements majeurs.</t>
  </si>
  <si>
    <t>Absence d’alignement entre les évolutions réglementaires et les actions mises en place</t>
  </si>
  <si>
    <t>Absence de suivi des décisions et actions prises en matière de réglementation et d’organisation</t>
  </si>
  <si>
    <t>Comptes rendus des réunions de suivi organisationnel et réglementaire</t>
  </si>
  <si>
    <t>Veiller à ce que les modifications réglementaires soient intégrées dans le processus de changement dès leur apparition</t>
  </si>
  <si>
    <t>Manque de responsabilisation et de coordination des parties prenantes dans le suivi des changements</t>
  </si>
  <si>
    <t>Manque de traçabilité des participants aux comités de suivi des changements</t>
  </si>
  <si>
    <t>Liste des participants aux comités de suivi des changements</t>
  </si>
  <si>
    <t>Les équipes de contrôle interne participent-elles aux comités de suivi des changements organisationnels et réglementaires?</t>
  </si>
  <si>
    <t>Les équipes de contrôle interne participent aux comités de suivi des changements organisationnels et réglementaires.</t>
  </si>
  <si>
    <t>S’assurer que les responsables du contrôle interne sont impliqués
 dans l’identification et l’évaluation des changements, afin qu’ils
 puissent adapter les contrôles en conséquence</t>
  </si>
  <si>
    <t>Clarifier les responsabilités et améliorer la coordination des parties prenantes pour un suivi efficace des changements.</t>
  </si>
  <si>
    <t>Prise de décisions basée sur des évaluations incomplètes ou erronées</t>
  </si>
  <si>
    <t>Validation insuffisante des évaluations avant leur mise en œuvre</t>
  </si>
  <si>
    <t>Processus de validation des évaluations avant mise en œuvre</t>
  </si>
  <si>
    <t>S’assurer que les évaluations de risques soient complètes et précises avant toute prise de décision.</t>
  </si>
  <si>
    <t>Faible suivi des risques et absence de décisions pertinentes en matière de gestion des risques</t>
  </si>
  <si>
    <t>Absence de suivi des réunions du comité de gestion des risques et des décisions prises</t>
  </si>
  <si>
    <t>Comptes rendus des réunions du comité de gestion des risques</t>
  </si>
  <si>
    <t>Les évaluations sont-elles validées par un comité de gestion des risques avant toute mise en œuvre?</t>
  </si>
  <si>
    <t>Les évaluations sont validées par un comité de gestion des risques avant toute mise en œuvre.</t>
  </si>
  <si>
    <t>Mettre en place un suivi des risques intégré et utiliser des outils de prise de décision pour les gérer de manière proactive.</t>
  </si>
  <si>
    <t>Engagement de coûts inutiles pour des ajustements inefficaces</t>
  </si>
  <si>
    <t>Manque d’analyse des coûts et bénéfices des changements envisagés</t>
  </si>
  <si>
    <t>Analyse coûts-bénéfices des modifications envisagées</t>
  </si>
  <si>
    <t>Effectuer une analyse coûts-avantages pour éviter les coûts inutiles et les ajustements inefficaces.</t>
  </si>
  <si>
    <t>Mise en œuvre de modifications non adaptées aux besoins réels de l’organisation</t>
  </si>
  <si>
    <t>Absence d’étude de faisabilité avant l’implémentation des ajustements</t>
  </si>
  <si>
    <t>Étude de faisabilité des ajustements</t>
  </si>
  <si>
    <t>Une analyse coûts-bénéfices est-elle réalisée pour déterminer la faisabilité des ajustements nécessaires?</t>
  </si>
  <si>
    <t>Une analyse coûts-bénéfices est réalisée pour déterminer la faisabilité des ajustements nécessaires.</t>
  </si>
  <si>
    <t>Adopter une approche centrée sur les besoins réels de l’organisation pour garantir que les modifications soient pertinentes</t>
  </si>
  <si>
    <t>Dysfonctionnements et perturbations dans les processus internes</t>
  </si>
  <si>
    <t>Non-évaluation des conséquences des modifications sur les processus internes</t>
  </si>
  <si>
    <t>Documentation des tests d’impact sur les processus internes</t>
  </si>
  <si>
    <t>Assurer des tests approfondis avant toute modification pour éviter les dysfonctionnements et perturbations.</t>
  </si>
  <si>
    <t>Implémentation de modifications sans validation préalable, générant des vulnérabilités</t>
  </si>
  <si>
    <t>Absence de tests préalables pour évaluer l’impact des changements</t>
  </si>
  <si>
    <t>Rapports des simulations de changements</t>
  </si>
  <si>
    <t>Des simulations ou tests sont-ils réalisés pour anticiper les conséquences des changements sur les processus internes?</t>
  </si>
  <si>
    <t>Des simulations ou tests sont réalisés pour anticiper les conséquences des changements sur les processus internes.</t>
  </si>
  <si>
    <t>Mettre en place un processus de validation rigoureux pour toute modification avant son implémentation.</t>
  </si>
  <si>
    <t>Difficulté à prioriser et gérer efficacement les changements selon leur niveau d’urgence</t>
  </si>
  <si>
    <t>Manque de cadre structuré pour évaluer et catégoriser les changements</t>
  </si>
  <si>
    <t>Guide des catégories et niveaux de criticité des changements</t>
  </si>
  <si>
    <t>Utiliser des outils de gestion de projet pour prioriser les changements en fonction de leur urgence et de leur impact sur l’organisation.</t>
  </si>
  <si>
    <t>Absence de hiérarchisation des changements selon leur criticité et leur impact</t>
  </si>
  <si>
    <t>Absence de méthodologie de classification des changements selon leur criticité</t>
  </si>
  <si>
    <t>Méthodologie de classification des changements</t>
  </si>
  <si>
    <t>Une méthodologie de classification des changements est-elle mise en place?</t>
  </si>
  <si>
    <t>Une méthodologie de classification des changements (mineur, significatif, critique) est mise en place.</t>
  </si>
  <si>
    <t>Mettre en place un processus de hiérarchisation des changements basé sur l’impact et la criticité pour assurer une gestion efficace.</t>
  </si>
  <si>
    <t>Augmentation de l’exposition aux risques dus à des changements mal évalués</t>
  </si>
  <si>
    <t>Mauvaise identification des risques liés aux évolutions organisationnelles et technologiques</t>
  </si>
  <si>
    <t>Analyse des risques associés aux changements</t>
  </si>
  <si>
    <t>Réaliser des évaluations régulières des risques associés aux changements pour limiter l’exposition à des vulnérabilités nouvelles</t>
  </si>
  <si>
    <t>Risque de perturbation des processus internes en raison d’un manque d’anticipation</t>
  </si>
  <si>
    <t>Non-évaluation des conséquences des changements sur les processus internes</t>
  </si>
  <si>
    <t>Rapport d’évaluation des changements</t>
  </si>
  <si>
    <t>Chaque changement identifié fait-il l’objet d’une évaluation documentée avec une analyse des risques associés?</t>
  </si>
  <si>
    <t>Chaque changement identifié fait l’objet d’une évaluation documentée avec une analyse des risques associés.</t>
  </si>
  <si>
    <t>Vérifier que les changements identifiés sont évalués de manière
 formelle et structurée, avec une analyse de l’impact potentiel sur les
 contrôles internes et les risques associés</t>
  </si>
  <si>
    <t>Instaurer un processus d’anticipation des risques pour éviter la perturbation des processus internes liés à des changements mal évalués.</t>
  </si>
  <si>
    <t>Faible réactivité et inefficacité dans la correction des incidents liés aux changements</t>
  </si>
  <si>
    <t>Manque de suivi et de documentation des alertes et actions prises en réponse</t>
  </si>
  <si>
    <t>Registre des alertes et actions prises en réponse</t>
  </si>
  <si>
    <t>Créer une équipe spécialisée pour assurer une gestion rapide et efficace des incidents liés aux changements.</t>
  </si>
  <si>
    <t>Retard dans la détection et la gestion des changements critiques</t>
  </si>
  <si>
    <t>Absence de mécanisme d’alerte en cas de changement critique</t>
  </si>
  <si>
    <t>Procédure d’alerte sur les changements critiques</t>
  </si>
  <si>
    <t>Un processus d’alerte est-il mis en place pour signaler rapidement les changements critiques aux responsables concernés?</t>
  </si>
  <si>
    <t>Un processus d’alerte est mis en place pour signaler rapidement les changements critiques aux responsables concernés</t>
  </si>
  <si>
    <t>Développer un système de gestion des changements réactif afin de réduire le retard dans la détection des incidents critiques.</t>
  </si>
  <si>
    <t>Réaction tardive ou inefficace face aux évolutions ayant un effet immédiat</t>
  </si>
  <si>
    <t>Manque de réactivité face aux changements ayant un impact immédiat</t>
  </si>
  <si>
    <t>Rapports d’analyse des impacts en temps réel</t>
  </si>
  <si>
    <t>Assurer une gestion proactive des évolutions pour intégrer rapidement les changements dans la surveillance des fraudes.</t>
  </si>
  <si>
    <t>Mauvaise gestion des évolutions impactant la surveillance des fraudes</t>
  </si>
  <si>
    <t>Absence d’outils et de méthodes de surveillance des évolutions et changements</t>
  </si>
  <si>
    <t>Liste des outils et méthodologies de surveillance des changements</t>
  </si>
  <si>
    <t>Des outils et méthodologies sont-ils utilisés pour surveiller en temps réel les changements affectant l’organisation?</t>
  </si>
  <si>
    <t>Des outils et méthodologies sont utilisés pour surveiller en temps réel les changements affectant l’organisation.</t>
  </si>
  <si>
    <t>Mettre à jour régulièrement les contrôles internes pour répondre aux nouvelles obligations légales et anticiper les risques.</t>
  </si>
  <si>
    <t>Incapacité à adapter les contrôles internes aux nouvelles obligations légales</t>
  </si>
  <si>
    <t>Non-prise en compte des mises à jour réglementaires pouvant affecter le contrôle interne</t>
  </si>
  <si>
    <t>Liste des mises à jour réglementaires ayant un impact sur le contrôle interne</t>
  </si>
  <si>
    <t>Mettre en œuvre une veille réglementaire pour assurer la conformité aux exigences légales et éviter les sanctions.</t>
  </si>
  <si>
    <t>Non-respect des exigences réglementaires et exposition à des sanctions</t>
  </si>
  <si>
    <t>Manque de veille sur les évolutions réglementaires et technologiques</t>
  </si>
  <si>
    <t>Documentation de la veille réglementaire et technologique</t>
  </si>
  <si>
    <t>Une veille réglementaire et technologique est-elle mise en place pour détecter les évolutions pouvant impacter le contrôle interne?</t>
  </si>
  <si>
    <t>Une veille réglementaire et technologique est mise en place pour détecter les évolutions pouvant impacter le contrôle interne.</t>
  </si>
  <si>
    <t>Utiliser des outils d’analyse pour mesurer et ajuster les risques liés aux évolutions du système ou de l’environnement.</t>
  </si>
  <si>
    <t>Difficulté à mesurer l’impact des évolutions sur les risques existants</t>
  </si>
  <si>
    <t>Absence d’évaluation de l’impact des changements sur la gestion des risques</t>
  </si>
  <si>
    <t>Rapports d’analyse des impacts des changements sur la gestion des risques</t>
  </si>
  <si>
    <t>Implémenter une procédure de suivi post-changement pour s’assurer de la mise en œuvre des ajustements nécessaires.</t>
  </si>
  <si>
    <t>Absence de prise en compte des ajustements nécessaires après les décisions de changement</t>
  </si>
  <si>
    <t>Faible suivi des décisions prises lors des réunions de suivi des changements</t>
  </si>
  <si>
    <t>Comptes rendus des réunions de suivi des changements</t>
  </si>
  <si>
    <t>Les parties prenantes clés (direction, responsables des risques, conformité) sont-elles impliquées dans l’identification des changements?</t>
  </si>
  <si>
    <t>Les parties prenantes clés (direction, responsables des risques, conformité) sont impliquées dans l’identification des changements.</t>
  </si>
  <si>
    <t>Mettre en place des mécanismes de contrôle renforcés pour évaluer l’impact des modifications et éviter la création de nouvelles vulnérabilités.</t>
  </si>
  <si>
    <t>Manque de contrôle sur l’impact des modifications, pouvant créer de nouvelles vulnérabilités</t>
  </si>
  <si>
    <t>Manque de traçabilité des modifications et de leur impact sur le contrôle interne</t>
  </si>
  <si>
    <t>Documentation des modifications et impacts sur le contrôle interne</t>
  </si>
  <si>
    <t>Définir une approche claire et coordonnée pour l’accompagnement des changements afin d’éviter la désorganisation.</t>
  </si>
  <si>
    <t>Désorganisation et manque de cohérence dans l’accompagnement des changements</t>
  </si>
  <si>
    <t>Absence de cadre méthodologique pour le suivi des changements organisationnels</t>
  </si>
  <si>
    <t>Guide de suivi des changements organisationnels</t>
  </si>
  <si>
    <t>Un cadre formalisé de suivi des changements est-il documenté et appliqué dans l’organisation?</t>
  </si>
  <si>
    <t>Un cadre formalisé de suivi des changements est documenté et appliqué dans l’organisation.</t>
  </si>
  <si>
    <t>S’assurer que l’organisation met en place un processus structuré
 pour identifier les changements, qu’ils soient internes
 (réorganisations, nouvelles technologies, etc.) ou externes
 (évolutions réglementaires, marché, etc.), susceptibles d’affecter le
 système de contrôle interne</t>
  </si>
  <si>
    <t>Identification et analyse des changements
 significatifs</t>
  </si>
  <si>
    <t>Organiser des revues stratégiques régulières pour évaluer l’impact des décisions de la direction et accélérer leur mise en place.</t>
  </si>
  <si>
    <t>Perte d’efficacité des décisions de la direction et retard dans la mise en place des actions</t>
  </si>
  <si>
    <t>Manque de suivi des décisions prises par la direction et faible application des actions correctives</t>
  </si>
  <si>
    <t>Rapports de suivi des actions décidées par la direction</t>
  </si>
  <si>
    <t>Assurer une mise en œuvre proactive des mesures correctives, en vérifiant leur efficacité.</t>
  </si>
  <si>
    <t>Absence de suivi et de mise en œuvre des mesures correctives nécessaires</t>
  </si>
  <si>
    <t>Absence de formalisation et de suivi des plans de remédiation</t>
  </si>
  <si>
    <t>Documentation des plans de remédiation approuvés</t>
  </si>
  <si>
    <t>La direction est-elle impliquée dans l’approbation et le suivi des plans de remédiation en cas de fraude avérée?</t>
  </si>
  <si>
    <t>La direction est impliquée dans l’approbation et le suivi des plans de remédiation en cas de fraude avérée.</t>
  </si>
  <si>
    <t>Mettre en place un système agile pour ajuster les mesures de prévention aux nouvelles techniques frauduleuses.</t>
  </si>
  <si>
    <t>Difficulté à ajuster les mesures de prévention face aux nouvelles techniques frauduleuses</t>
  </si>
  <si>
    <t>Stratégies de prévention inefficaces ou inadaptées aux nouvelles menaces</t>
  </si>
  <si>
    <t>Analyse des stratégies de prévention et d’adaptation</t>
  </si>
  <si>
    <t>Créer un cadre flexible pour adapter les stratégies de lutte contre la fraude en fonction des nouvelles menaces identifiées.</t>
  </si>
  <si>
    <t>Incapacité à adapter les stratégies de lutte contre la fraude aux évolutions des menaces</t>
  </si>
  <si>
    <t>Mauvaise analyse des tendances de fraude et retard dans l’adaptation des mesures préventives</t>
  </si>
  <si>
    <t>Indicateurs de tendance sur l’évolution des fraudes</t>
  </si>
  <si>
    <t>Y a-t-il des indicateurs de tendance permettant d’anticiper l’évolution des risques de fraude et d’adapter les stratégies de prévention?</t>
  </si>
  <si>
    <t>Des indicateurs de tendance permettent d’anticiper l’évolution des risques de fraude et d’adapter les stratégies de prévention.</t>
  </si>
  <si>
    <t>Renforcer les actions correctives avec un suivi rigoureux et un mécanisme de retour d’expérience pour éviter la répétition des faiblesses.</t>
  </si>
  <si>
    <t>Faible efficacité des actions correctives et récurrence des mêmes faiblesses</t>
  </si>
  <si>
    <t>Absence d’intégration des actions correctives dans la gestion des risques</t>
  </si>
  <si>
    <t>Intégration des actions correctives dans la gestion des risques</t>
  </si>
  <si>
    <t>Analyser systématiquement les incidents passés pour identifier les causes profondes et prévenir les fraudes futures.</t>
  </si>
  <si>
    <t>Risque accru de répétition des fraudes en raison d’un manque d’analyse des incidents passés</t>
  </si>
  <si>
    <t>Manque de visibilité sur les fraudes recensées et leurs tendances</t>
  </si>
  <si>
    <t>Synthèse des incidents de fraude recensés</t>
  </si>
  <si>
    <t>Une synthèse des incidents de fraude et des actions correctives est-elle intégrée dans les bilans de gestion des risques?</t>
  </si>
  <si>
    <t>Une synthèse des incidents de fraude et des actions correctives est intégrée dans les bilans de gestion des risques.</t>
  </si>
  <si>
    <t>Implémenter un processus d’évaluation continue des contrôles pour détecter et résoudre les vulnérabilités persistantes.</t>
  </si>
  <si>
    <t>Persistance des vulnérabilités en raison de l’absence d’évaluation des contrôles</t>
  </si>
  <si>
    <t>Non-évaluation de l’efficacité des dispositifs de contrôle en place</t>
  </si>
  <si>
    <t>Rapports d’audit interne sur l’efficacité des dispositifs de contrôle</t>
  </si>
  <si>
    <t>Réaliser des audits réguliers des contrôles pour identifier les failles et améliorer les dispositifs de prévention.</t>
  </si>
  <si>
    <t>Maintien de failles de contrôle et inefficacité des dispositifs de prévention</t>
  </si>
  <si>
    <t>Faible prise en compte des recommandations pour améliorer les contrôles</t>
  </si>
  <si>
    <t>Recommandations pour le renforcement des contrôles</t>
  </si>
  <si>
    <t>Les rapports de fraude incluent-ils des recommandations claires pour renforcer les dispositifs de contrôle?</t>
  </si>
  <si>
    <t>Les rapports de fraude incluent des recommandations claires pour renforcer les dispositifs de contrôle.</t>
  </si>
  <si>
    <t>Mettre en place un comité de gouvernance stratégique pour assurer une supervision continue et des décisions éclairées.</t>
  </si>
  <si>
    <t>Absence de supervision et de prise de décision éclairée par les instances dirigeantes</t>
  </si>
  <si>
    <t>Manque de transparence et de communication avec les instances de gouvernance</t>
  </si>
  <si>
    <t>Documentation des échanges avec les instances de gouvernance</t>
  </si>
  <si>
    <t>Mettre en place une veille proactive et une analyse des tendances pour anticiper les fraudes émergentes et adapter les dispositifs de prévention</t>
  </si>
  <si>
    <t>Manque de maîtrise et d’anticipation des fraudes émergentes</t>
  </si>
  <si>
    <t>Absence de suivi des risques de fraude et mauvaise anticipation des menaces</t>
  </si>
  <si>
    <t>Rapports périodiques sur les risques de fraude</t>
  </si>
  <si>
    <t>Un reporting périodique sur les risques de fraude est-il adressé aux instances de gouvernance?</t>
  </si>
  <si>
    <t>Un reporting périodique sur les risques de fraude est adressé aux instances de gouvernance.</t>
  </si>
  <si>
    <t>Vérifier que des rapports détaillés sur les risques de fraude sont
 fournis régulièrement à la direction, avec des évaluations sur les
 risques identifiés et les mesures prises pour y faire face</t>
  </si>
  <si>
    <t>Évaluer régulièrement l’efficacité des mesures correctives et les ajuster pour éviter la récurrence des incidents</t>
  </si>
  <si>
    <t>Faible efficacité des mesures de correction et récurrence des incidents similaires</t>
  </si>
  <si>
    <t>Manque de suivi des ajustements effectués après un incident majeur</t>
  </si>
  <si>
    <t>Documentation des ajustements effectués suite aux incidents majeurs</t>
  </si>
  <si>
    <t>Adapter et renforcer les contrôles en fonction des retours d’expérience pour éviter la reproduction des erreurs passées</t>
  </si>
  <si>
    <t>Reproduction des erreurs passées en raison d’un manque d’adaptation des contrôles</t>
  </si>
  <si>
    <t>Absence de mise à jour des contrôles après un incident de fraude</t>
  </si>
  <si>
    <t>Procédure de mise à jour des contrôles après incident</t>
  </si>
  <si>
    <t>Les processus de contrôle sont-ils mis à jour après chaque incident majeur pour éviter les répétitions de fraude?</t>
  </si>
  <si>
    <t>Les processus de contrôle sont mis à jour après chaque incident majeur pour éviter les répétitions de fraude</t>
  </si>
  <si>
    <t>Appliquer des sanctions justes et proportionnées afin d’assurer la cohérence et la fermeté dans la lutte contre la fraude</t>
  </si>
  <si>
    <t>Manque de cohérence et de fermeté dans les sanctions appliquées</t>
  </si>
  <si>
    <t>Non-application ou incohérence dans les mesures disciplinaires en cas de fraude</t>
  </si>
  <si>
    <t>Registre des mesures disciplinaires appliquées</t>
  </si>
  <si>
    <t>Définir un cadre disciplinaire clair et cohérent pour dissuader les comportements frauduleux</t>
  </si>
  <si>
    <t>Absence de cadre disciplinaire, réduisant l’effet dissuasif contre les fraudes</t>
  </si>
  <si>
    <t>Absence de sanctions définies en cas de fraude avérée</t>
  </si>
  <si>
    <t>Politique disciplinaire en cas de fraude avérée</t>
  </si>
  <si>
    <t>Des mesures disciplinaires claires sont-elles appliquées en cas de non-respect des procédures de contrôle contre la fraude?</t>
  </si>
  <si>
    <t>Des mesures disciplinaires claires sont appliquées en cas de non-respect des procédures de contrôle contre la fraude.</t>
  </si>
  <si>
    <t>Renforcer les dispositifs de contrôle et de prévention pour limiter les vulnérabilités exploitées par les fraudeurs</t>
  </si>
  <si>
    <t>Persistance des vulnérabilités exploitées par les fraudeurs</t>
  </si>
  <si>
    <t>Absence de gestion et de suivi des vulnérabilités détectées</t>
  </si>
  <si>
    <t>Procédure de suivi des vulnérabilités détectées</t>
  </si>
  <si>
    <t>Assurer un reporting détaillé et transparent sur les actions mises en œuvre pour remédier aux faiblesses détectées</t>
  </si>
  <si>
    <t>Manque de visibilité sur les actions mises en œuvre pour corriger les faiblesses identifiées</t>
  </si>
  <si>
    <t>Manque de suivi des actions correctives appliquées</t>
  </si>
  <si>
    <t>Registre des actions correctives mises en œuvre</t>
  </si>
  <si>
    <t>Des actions correctives sont-elles mises en œuvre dans un délai défini en cas de détection de vulnérabilités?</t>
  </si>
  <si>
    <t>Des actions correctives sont mises en œuvre dans un délai défini en cas de détection de vulnérabilités.</t>
  </si>
  <si>
    <t>Mettre en place un processus structuré de retour d’expérience et d’amélioration continue des contrôles anti-fraude</t>
  </si>
  <si>
    <t>Absence de retour d’expérience et d’amélioration continue des contrôles</t>
  </si>
  <si>
    <t>Non-documentation des améliorations apportées aux dispositifs de contrôle</t>
  </si>
  <si>
    <t>Documentation des améliorations apportées aux contrôles existants</t>
  </si>
  <si>
    <t>Effectuer des audits réguliers pour identifier et corriger les failles exploitées par les fraudeurs</t>
  </si>
  <si>
    <t>Difficulté à identifier et traiter les failles exploitées par les fraudeurs</t>
  </si>
  <si>
    <t>Manque de visibilité sur les failles identifiées et les risques associés</t>
  </si>
  <si>
    <t>Rapports d’analyse des failles identifiées</t>
  </si>
  <si>
    <t>Une analyse des failles identifiées est-elle réalisée après chaque incident de fraude pour améliorer les contrôles existants?</t>
  </si>
  <si>
    <t>Une analyse des failles identifiées est réalisée après chaque incident de fraude pour améliorer les contrôles existants.</t>
  </si>
  <si>
    <t>Renforcer la responsabilisation des acteurs impliqués en leur fixant des objectifs clairs en matière de prévention des fraudes</t>
  </si>
  <si>
    <t>Manque de responsabilisation des acteurs impliqués dans la prévention des fraudes</t>
  </si>
  <si>
    <t>Évaluation insuffisante des responsables en matière de prévention des fraudes</t>
  </si>
  <si>
    <t>Documentation des évaluations de performance des responsables</t>
  </si>
  <si>
    <t>Intégrer la lutte contre la fraude aux objectifs de performance et aux évaluations des employés concernés</t>
  </si>
  <si>
    <t>Mauvaise intégration de la lutte contre la fraude dans la culture de performance</t>
  </si>
  <si>
    <t>Absence de critères d’évaluation de la lutte contre la fraude dans la gestion des performances</t>
  </si>
  <si>
    <t>Critères d’évaluation des performances intégrant la lutte contre la fraude</t>
  </si>
  <si>
    <t>Les risques de fraude sont-ils intégrés dans les critères d’évaluation des performances des responsables et des départements concernés?</t>
  </si>
  <si>
    <t>Les risques de fraude sont intégrés dans les critères d’évaluation des performances des responsables et des départements concernés.</t>
  </si>
  <si>
    <t>S’assurer que le risque de fraude est pris en compte dans les
 évaluations de performance et que des mesures correctives sont
 mises en place si des failles dans le système de contrôle interne
 sont identifiées</t>
  </si>
  <si>
    <t>Mettre en place un processus de traitement rapide et efficace des alertes de fraude pour éviter leur persistance</t>
  </si>
  <si>
    <t>Non-traitement des alertes de fraude, favorisant la persistance des fraudes</t>
  </si>
  <si>
    <t>Non-traitement ou suivi insuffisant des alertes de fraude reçues</t>
  </si>
  <si>
    <t>Plateforme de signalement et registre des alertes reçues</t>
  </si>
  <si>
    <t>Établir une procédure de signalement claire et confidentielle pour encourager la dénonciation des fraudes</t>
  </si>
  <si>
    <t>Climat d’impunité en l’absence de procédure de signalement claire</t>
  </si>
  <si>
    <t>Absence de cadre formel pour le signalement des fraudes</t>
  </si>
  <si>
    <t>Politique de signalement des fraudes</t>
  </si>
  <si>
    <t>Un système de signalement confidentiel est-il mis à disposition des employés pour dénoncer les cas de fraude sans crainte de représailles?</t>
  </si>
  <si>
    <t>Un système de signalement confidentiel est mis à disposition des employés pour dénoncer les cas de fraude sans crainte de représailles.</t>
  </si>
  <si>
    <t>Mettre en place des mesures correctives systématiques pour éviter la répétition des mêmes fraudes</t>
  </si>
  <si>
    <t>Risque de répétition des mêmes fraudes par absence de mesures correctives</t>
  </si>
  <si>
    <t>Absence de suivi des actions mises en œuvre pour corriger les fraudes détectées</t>
  </si>
  <si>
    <t>Documentation des actions correctives mises en œuvre</t>
  </si>
  <si>
    <t>Analyser régulièrement les tendances et menaces récurrentes pour ajuster les stratégies de lutte contre la fraude</t>
  </si>
  <si>
    <t>Manque de visibilité sur les tendances et les menaces récurrentes</t>
  </si>
  <si>
    <t>Mauvaise connaissance des incidents de fraude et de leur récurrence</t>
  </si>
  <si>
    <t>Rapports périodiques sur les incidents de fraude</t>
  </si>
  <si>
    <t>Des rapports périodiques sur les incidents de fraude et les actions correctives sont-ils envoyés à la direction et aux instances de contrôle?</t>
  </si>
  <si>
    <t>Des rapports périodiques sur les incidents de fraude et les actions correctives sont envoyés à la direction et aux instances de contrôle.</t>
  </si>
  <si>
    <t>Assurer une traçabilité rigoureuse des fraudes détectées à travers des rapports détaillés et un suivi des cas</t>
  </si>
  <si>
    <t>Absence de preuve et de suivi des fraudes détectées</t>
  </si>
  <si>
    <t>Absence de traçabilité des enquêtes menées sur les alertes de fraude</t>
  </si>
  <si>
    <t>Registre des enquêtes menées sur les alertes de fraude</t>
  </si>
  <si>
    <t>Structurer les enquêtes internes avec des méthodologies claires et un processus de documentation systématique</t>
  </si>
  <si>
    <t>Enquêtes menées de manière désorganisée et inefficace</t>
  </si>
  <si>
    <t>Manque de structuration des investigations internes en cas de fraude</t>
  </si>
  <si>
    <t>Procédure formalisée d’investigation interne</t>
  </si>
  <si>
    <t>Un processus d’investigation interne est-il établi pour examiner les alertes de fraude détectées?</t>
  </si>
  <si>
    <t>Un processus d’investigation interne est établi pour examiner les alertes de fraude détectées.</t>
  </si>
  <si>
    <t>Mettre en place des algorithmes d’analyse avancés pour détecter plus rapidement les comportements suspects</t>
  </si>
  <si>
    <t>Faible capacité à détecter rapidement les comportements frauduleux</t>
  </si>
  <si>
    <t>Suivi inefficace des anomalies et comportements suspects</t>
  </si>
  <si>
    <t>Tableau de bord de suivi des anomalies et comportements inhabituels</t>
  </si>
  <si>
    <t>Revoir et ajuster les indicateurs de détection pour mieux identifier les comportements frauduleux</t>
  </si>
  <si>
    <t>Mauvaise détection des fraudes en raison d’indicateurs inadaptés</t>
  </si>
  <si>
    <t>Absence de définition claire des indicateurs de fraude et des seuils d’alerte</t>
  </si>
  <si>
    <t>Liste des KPI et seuils d’alerte définis</t>
  </si>
  <si>
    <t>Des indicateurs de performance (KPI) et des seuils d’alerte sont-ils définis pour surveiller les anomalies et comportements inhabituels?</t>
  </si>
  <si>
    <t>Des indicateurs de performance (KPI) et des seuils d’alerte sont définis pour surveiller les anomalies et comportements inhabituels.</t>
  </si>
  <si>
    <t>Évaluer et améliorer régulièrement les performances des systèmes automatisés de surveillance pour garantir leur fiabilité</t>
  </si>
  <si>
    <t>Doute sur la fiabilité et l’efficacité du système automatisé de surveillance</t>
  </si>
  <si>
    <t>Manque de transparence sur le fonctionnement du système automatisé de surveillance</t>
  </si>
  <si>
    <t>Description technique du système automatisé de surveillance</t>
  </si>
  <si>
    <t>Renforcer les dispositifs de surveillance et les adapter aux nouvelles menaces pour minimiser les risques de fraude</t>
  </si>
  <si>
    <t>Défaillance du dispositif de surveillance et exposition accrue aux fraudes</t>
  </si>
  <si>
    <t>Non-conformité du système de surveillance des fraudes aux exigences de contrôle interne</t>
  </si>
  <si>
    <t>Rapports d’audit sur le système de surveillance des fraudes</t>
  </si>
  <si>
    <t>Un système de surveillance automatisé est-il déployé pour détecter les transactions suspectes ou frauduleuses?</t>
  </si>
  <si>
    <t>Un système de surveillance automatisé est déployé pour détecter les transactions suspectes ou frauduleuses.</t>
  </si>
  <si>
    <t>Vérifier que des mécanismes de surveillance et de contrôle
 spécifiques sont mis en place pour surveiller en continu les risques
 de fraude, avec des rapports réguliers sur l’état des contrôles et des
 incidents potentiels</t>
  </si>
  <si>
    <t>Déployer une veille stratégique pour identifier et anticiper les nouvelles formes de fraude</t>
  </si>
  <si>
    <t>Incapacité à réagir efficacement aux nouvelles formes de fraude</t>
  </si>
  <si>
    <t>Mauvaise anticipation des nouvelles menaces de fraude</t>
  </si>
  <si>
    <t>Documentation sur l’évolution des menaces de fraude</t>
  </si>
  <si>
    <t>Mettre en place un programme de formation continue pour éviter l’érosion des compétences et maintenir un haut niveau d’expertise</t>
  </si>
  <si>
    <t>Érosion des compétences, rendant les dispositifs de lutte contre la fraude obsolètes</t>
  </si>
  <si>
    <t>Absence de développement des compétences en matière de lutte contre la fraude</t>
  </si>
  <si>
    <t>Plan de formation continue sur la fraude</t>
  </si>
  <si>
    <t>Un plan de formation continue est-il prévu pour s’adapter aux nouvelles menaces et méthodes de fraude?</t>
  </si>
  <si>
    <t>Un plan de formation continue est prévu pour s’adapter aux nouvelles menaces et méthodes de fraude.</t>
  </si>
  <si>
    <t>Archiver systématiquement les preuves de formation des employés pour être en conformité en cas d’audit ou d’enquête</t>
  </si>
  <si>
    <t>Difficulté à prouver la formation du personnel en cas d’audit ou d’enquête</t>
  </si>
  <si>
    <t>Manque de traçabilité des formations suivies par le personnel</t>
  </si>
  <si>
    <t>Registre des formations spécialisées suivies par le personnel</t>
  </si>
  <si>
    <t>Renforcer le processus de recrutement et de formation pour garantir des compétences adaptées à la lutte contre la fraude</t>
  </si>
  <si>
    <t>Agents non qualifiés ou mal formés pour identifier et traiter les fraudes</t>
  </si>
  <si>
    <t>Absence de qualification ou de certification des agents de lutte contre la fraude</t>
  </si>
  <si>
    <t>Certifications des agents de lutte contre la fraude</t>
  </si>
  <si>
    <t>Le personnel en charge de la lutte contre la fraude est-il certifié ou suit-il régulièrement des formations spécialisées?</t>
  </si>
  <si>
    <t>Le personnel en charge de la lutte contre la fraude est certifié ou suit régulièrement des formations spécialisées.</t>
  </si>
  <si>
    <t>Mettre en place un suivi rigoureux des formations pour assurer leur efficacité et adapter leur contenu en fonction des besoins</t>
  </si>
  <si>
    <t>Perte d’efficacité des actions de formation en raison d’un manque de suivi</t>
  </si>
  <si>
    <t>Suivi insuffisant des sessions et supports de formation sur la fraude</t>
  </si>
  <si>
    <t>Liste des sessions et supports de formation sur la fraude</t>
  </si>
  <si>
    <t>Développer des formations spécifiques et régulières pour améliorer les compétences du personnel en matière de détection et de prévention de la fraude</t>
  </si>
  <si>
    <t>Personnel insuffisamment préparé pour détecter et prévenir la fraude</t>
  </si>
  <si>
    <t>Manque de sensibilisation et de formation du personnel en prévention de la fraude</t>
  </si>
  <si>
    <t>Programme de formation en prévention de la fraude</t>
  </si>
  <si>
    <t>Des formations obligatoires sur la détection et la prévention de la fraude sont-elles dispensées aux employés et responsables concernés?</t>
  </si>
  <si>
    <t>Des formations obligatoires sur la détection et la prévention de la fraude sont dispensées aux employés et responsables concernés.</t>
  </si>
  <si>
    <t>Clarifier les responsabilités de chaque membre de l’équipe spécialisée pour éviter toute confusion</t>
  </si>
  <si>
    <t>Confusion sur les rôles et responsabilités des membres de l’équipe spécialisée</t>
  </si>
  <si>
    <t>Incapacité à identifier les membres de l’équipe spécialisée</t>
  </si>
  <si>
    <t>Liste des membres de l’équipe spécialisée</t>
  </si>
  <si>
    <t>Mettre en place une charte définissant les rôles, les missions et les objectifs de l’équipe anti-fraude</t>
  </si>
  <si>
    <t>Absence de cadre clair, entraînant une inefficacité de l’équipe anti-fraude</t>
  </si>
  <si>
    <t>Dysfonctionnement et absence de cadre structurant pour l’équipe anti-fraude</t>
  </si>
  <si>
    <t>Charte de fonctionnement de l’équipe anti-fraude</t>
  </si>
  <si>
    <t>Une équipe spécialisée ou une cellule anti-fraude est-elle mise en place pour surveiller et traiter les incidents de fraude?</t>
  </si>
  <si>
    <t>Une équipe spécialisée ou une cellule anti-fraude est mise en place pour surveiller et traiter les incidents de fraude.</t>
  </si>
  <si>
    <t>Définir un processus structuré pour coordonner les actions et responsabilités des différents acteurs</t>
  </si>
  <si>
    <t>Difficulté à coordonner les actions et responsabilités des acteurs impliqués</t>
  </si>
  <si>
    <t>Manque de visibilité sur la répartition des rôles en matière de lutte contre la fraude</t>
  </si>
  <si>
    <t>Organigramme des responsabilités en matière de lutte contre la fraude</t>
  </si>
  <si>
    <t>Établir un cadre clair de responsabilité et d’imputabilité pour chaque acteur impliqué dans la lutte contre la fraude</t>
  </si>
  <si>
    <t>Manque de responsabilité et d’imputabilité dans la gestion de la lutte contre la fraude</t>
  </si>
  <si>
    <t>Absence de définition claire des responsabilités du responsable anti-fraude</t>
  </si>
  <si>
    <t>Fiches de poste du responsable anti-fraude</t>
  </si>
  <si>
    <t>Un responsable dédié à la lutte contre la fraude est-il désigné avec des rôles et responsabilités clairement définis?</t>
  </si>
  <si>
    <t>Un responsable dédié à la lutte contre la fraude est désigné avec des rôles et responsabilités clairement définis.</t>
  </si>
  <si>
    <t>S’assurer que des responsables sont désignés pour l’évaluation et la
 gestion du risque de fraude, et qu’ils reçoivent une formation
 adéquate pour identifier et traiter ce type de risque de manière
 proactive</t>
  </si>
  <si>
    <t>Mettre en place un système d’archivage structuré et exploiter les exercices de détection pour renforcer la prévention</t>
  </si>
  <si>
    <t>Faible archivage et exploitation des exercices de détection</t>
  </si>
  <si>
    <t>Documentation des exercices de détection de fraude incomplète ou mal archivée</t>
  </si>
  <si>
    <t>Documentation des exercices de détection de fraude</t>
  </si>
  <si>
    <t>Améliorer la communication et la diffusion des résultats des simulations de fraude pour mieux préparer les équipes</t>
  </si>
  <si>
    <t>Mauvaise diffusion des résultats des simulations de fraude</t>
  </si>
  <si>
    <t>Comptes rendus des simulations de fraude absents ou non partagés avec les équipes concernées</t>
  </si>
  <si>
    <t>Comptes rendus des simulations de fraude</t>
  </si>
  <si>
    <t>Des simulations et exercices de détection de fraude sont-ils réalisés périodiquement pour tester les dispositifs en place?</t>
  </si>
  <si>
    <t>Des simulations et exercices de détection de fraude sont réalisés périodiquement pour tester les dispositifs en place.</t>
  </si>
  <si>
    <t>Mettre à jour régulièrement les bases de données et les formations sur les nouvelles techniques de fraude</t>
  </si>
  <si>
    <t>Absence d’informations actualisées sur les nouvelles techniques de fraude</t>
  </si>
  <si>
    <t>Rapports d’analyse des nouvelles techniques de fraude non mis à jour ou inexploités</t>
  </si>
  <si>
    <t>Rapports d’analyse des nouvelles techniques de fraude</t>
  </si>
  <si>
    <t>Assurer une veille continue pour anticiper les évolutions du secteur et adapter les mesures de sécurité</t>
  </si>
  <si>
    <t>Manque d’adaptation aux évolutions du secteur</t>
  </si>
  <si>
    <t>Documentation des tendances sectorielles inexistante ou obsolète</t>
  </si>
  <si>
    <t>Documentation des tendances sectorielles</t>
  </si>
  <si>
    <t>Une veille sur les nouvelles techniques de fraude et les tendances sectorielles est-elle régulièrement effectuée?</t>
  </si>
  <si>
    <t>Une veille sur les nouvelles techniques de fraude et les tendances sectorielles est régulièrement effectuée.</t>
  </si>
  <si>
    <t>Élaborer et mettre en œuvre des stratégies de cybersécurité efficaces et adaptées aux menaces actuelles</t>
  </si>
  <si>
    <t>Stratégies de cybersécurité inefficaces</t>
  </si>
  <si>
    <t>Résultats des tests de résistance non pris en compte dans les stratégies de cybersécurité</t>
  </si>
  <si>
    <t>Résultats des tests de résistance</t>
  </si>
  <si>
    <t>Exploiter systématiquement les résultats des audits internes pour identifier et corriger les dysfonctionnements</t>
  </si>
  <si>
    <t>Non-exploitation des audits internes</t>
  </si>
  <si>
    <t>Rapports d’audit interne non disponibles ou inexploités</t>
  </si>
  <si>
    <t>Rapports d’audit interne</t>
  </si>
  <si>
    <t>Des tests de résistance et des audits de contrôle interne sont-ils effectués pour évaluer l’efficacité des mécanismes de prévention de la fraude?</t>
  </si>
  <si>
    <t>Des tests de résistance et des audits de contrôle interne sont effectués pour évaluer l’efficacité des mécanismes de prévention de la fraude.</t>
  </si>
  <si>
    <t>Mettre en place un système de suivi et de traitement des vulnérabilités informatiques pour renforcer la sécurité</t>
  </si>
  <si>
    <t>Manque de visibilité sur les vulnérabilités informatiques et leur traitement</t>
  </si>
  <si>
    <t>Registre des vulnérabilités identifiées et actions correctives mal tenu ou incomplet</t>
  </si>
  <si>
    <t>Registre des vulnérabilités identifiées et actions correctives</t>
  </si>
  <si>
    <t>Cartographier et documenter les processus critiques pour mieux comprendre les risques et améliorer leur gestion</t>
  </si>
  <si>
    <t>Faible compréhension des processus critiques</t>
  </si>
  <si>
    <t>Analyse des processus critiques absente ou non exploitée</t>
  </si>
  <si>
    <t>Analyse des processus critiques</t>
  </si>
  <si>
    <t>Une analyse des processus critiques est-elle réalisée pour détecter les points de vulnérabilité face à la fraude?</t>
  </si>
  <si>
    <t>Une analyse des processus critiques est réalisée pour détecter les points de vulnérabilité face à la fraude.</t>
  </si>
  <si>
    <t>Appliquer strictement les bonnes pratiques en matière d’évaluation des risques de fraude et former les équipes à leur mise en œuvre</t>
  </si>
  <si>
    <t>Mauvaise application des bonnes pratiques en matière d’évaluation des risques de fraude</t>
  </si>
  <si>
    <t>Guide de mise en œuvre des évaluations de fraude non utilisé ou inadapté</t>
  </si>
  <si>
    <t>Guide de mise en œuvre des évaluations de fraude</t>
  </si>
  <si>
    <t>Mettre à jour régulièrement la méthodologie de gestion des risques de fraude pour s’adapter aux nouvelles menaces</t>
  </si>
  <si>
    <t>Méthodologie de gestion des risques de fraude obsolète</t>
  </si>
  <si>
    <t>Méthodologie formalisée d’évaluation des risques de fraude mal appliquée ou obsolète</t>
  </si>
  <si>
    <t>Méthodologie formalisée d’évaluation des risques de fraude</t>
  </si>
  <si>
    <t>L’organisation dispose-t-elle d’une méthodologie formalisée pour l’identification et l’évaluation des risques de fraude?</t>
  </si>
  <si>
    <t>L’organisation dispose d’une méthodologie formalisée pour l’identification et l’évaluation des risques de fraude.</t>
  </si>
  <si>
    <t>Vérifier que des méthodologies spécifiques sont utilisées pour
 évaluer le risque de fraude, incluant l’identification des domaines
 vulnérables à la fraude et l’analyse des contrôles existants pour les
 atténuer</t>
  </si>
  <si>
    <t>Mettre en place des mécanismes de veille pour identifier les nouvelles tendances de fraude et adapter les contrôles</t>
  </si>
  <si>
    <t>Incapacité à détecter les tendances émergentes de fraude</t>
  </si>
  <si>
    <t>Rapports d’analyse des tendances de fraude inexacts ou non utilisés dans la prévention des fraudes</t>
  </si>
  <si>
    <t>Rapports d’analyse des tendances de fraude</t>
  </si>
  <si>
    <t>Déployer des outils performants pour analyser et détecter efficacement les fraudes en temps réel</t>
  </si>
  <si>
    <t>Manque d’outils performants pour analyser et détecter efficacement les fraudes</t>
  </si>
  <si>
    <t>Documentation sur les outils analytiques de détection des fraudes inexistante ou incomplète</t>
  </si>
  <si>
    <t>Documentation sur les outils analytiques de détection des fraudes</t>
  </si>
  <si>
    <t>Des outils analytiques (ex : détection d’anomalies, intelligence artificielle) sont utilisés pour identifier les tendances de fraude</t>
  </si>
  <si>
    <t>Développer des formations continues et adaptées pour améliorer les compétences des équipes en matière de détection des fraudes</t>
  </si>
  <si>
    <t>Formation insuffisante des équipes</t>
  </si>
  <si>
    <t>Liste des sessions et supports de formation sur la fraude non tenue à jour ou insuffisante</t>
  </si>
  <si>
    <t>Renforcer les programmes de sensibilisation des collaborateurs aux risques de fraude pour améliorer la vigilance interne</t>
  </si>
  <si>
    <t>Faible sensibilisation des collaborateurs aux risques de fraude</t>
  </si>
  <si>
    <t>Programme de sensibilisation à la fraude inadapté ou non suivi</t>
  </si>
  <si>
    <t>Programme de sensibilisation à la fraude</t>
  </si>
  <si>
    <t>Les collaborateurs clés sont-ils sensibilisés aux différents types de fraude et à leurs impacts potentiels sur l’organisation?</t>
  </si>
  <si>
    <t>Les collaborateurs clés sont sensibilisés aux différents types de fraude et à leurs impacts potentiels sur l’organisation.</t>
  </si>
  <si>
    <t>Mettre en place un système de suivi et d’archivage des audits internes pour assurer la traçabilité des actions mises en place</t>
  </si>
  <si>
    <t>Perte de traçabilité des audits internes et difficulté à justifier les actions mises en place</t>
  </si>
  <si>
    <t>Comptes rendus des missions d’audit interne absents ou non archivés correctement</t>
  </si>
  <si>
    <t>Comptes rendus des missions d’audit interne</t>
  </si>
  <si>
    <t>Structurer et exploiter efficacement les résultats des évaluations des risques de fraude pour guider les actions correctives</t>
  </si>
  <si>
    <t>Mauvaise communication et exploitation des résultats d’évaluation des risques de fraude</t>
  </si>
  <si>
    <t>Rapports d’évaluation des risques de fraude inexploités ou non transmis aux parties prenantes</t>
  </si>
  <si>
    <t>Rapports d’évaluation des risques de fraude</t>
  </si>
  <si>
    <t>Une évaluation périodique des risques de fraude est-elle menée par l’audit interne et les équipes de contrôle?</t>
  </si>
  <si>
    <t>Une évaluation périodique des risques de fraude est menée par l’audit interne et les équipes de contrôle.</t>
  </si>
  <si>
    <t>Élaborer des scénarios de fraude possibles et tester leur impact pour anticiper les menaces</t>
  </si>
  <si>
    <t>Manque d’anticipation des scénarios de fraude possibles</t>
  </si>
  <si>
    <t>Documentation des scénarios de fraude analysés incomplète ou non actualisée</t>
  </si>
  <si>
    <t>Documentation des scénarios de fraude analysés</t>
  </si>
  <si>
    <t>Mettre en place un pilotage efficace et centralisé des risques de fraude avec des indicateurs précis</t>
  </si>
  <si>
    <t>Absence de pilotage efficace des risques de fraude</t>
  </si>
  <si>
    <t>Processus d’évaluation des risques de fraude mal défini ou non suivi</t>
  </si>
  <si>
    <t>Processus d’évaluation des risques de fraude</t>
  </si>
  <si>
    <t>Le processus d’évaluation des risques inclut-il des scénarios spécifiques de fraude avec des analyses d’impact?</t>
  </si>
  <si>
    <t>Le processus d’évaluation des risques inclut des scénarios spécifiques de fraude avec des analyses d’impact.</t>
  </si>
  <si>
    <t>Développer une approche proactive pour identifier et atténuer les nouveaux risques de fraude</t>
  </si>
  <si>
    <t>Incapacité à anticiper et atténuer les nouveaux risques de fraude</t>
  </si>
  <si>
    <t>Plan de mise à jour des risques de fraude inexistant ou non appliqué</t>
  </si>
  <si>
    <t>Plan de mise à jour des risques de fraude</t>
  </si>
  <si>
    <t>Renforcer les dispositifs de détection et de prévention des fraudes pour limiter les risques d’exposition</t>
  </si>
  <si>
    <t>Exposition accrue aux risques de fraude</t>
  </si>
  <si>
    <t>Cartographie des risques de fraude obsolète ou incomplète</t>
  </si>
  <si>
    <t>Cartographie des risques de fraude</t>
  </si>
  <si>
    <t>Une cartographie des risques de fraude est-elle formellement définie et mise à jour régulièrement?</t>
  </si>
  <si>
    <t>Une cartographie des risques de fraude est formellement définie et mise à jour régulièrement.</t>
  </si>
  <si>
    <t>S’assurer que le risque de fraude est explicitement intégré dans le
 processus d’évaluation des risques, en identifiant les risques
 spécifiques de fraude qui pourraient affecter les objectifs de
 l’organisation</t>
  </si>
  <si>
    <t>Prise en compte de la fraude</t>
  </si>
  <si>
    <t>Optimiser la gestion des actions correctives en attribuant des responsabilités claires et en assurant leur suivi</t>
  </si>
  <si>
    <t>Mauvaise gestion des actions correctives</t>
  </si>
  <si>
    <t>Registre des actions correctives validées non mis à jour ou inexploitable</t>
  </si>
  <si>
    <t>Registre des actions correctives validées</t>
  </si>
  <si>
    <t>Améliorer la conception et le suivi des plans d’action correctifs pour garantir leur efficacité</t>
  </si>
  <si>
    <t>Plans d’action correctifs inefficaces ou inadaptés</t>
  </si>
  <si>
    <t>Procédure de validation des plans d’action correctifs absente ou inefficace</t>
  </si>
  <si>
    <t>Procédure de validation des plans d’action correctifs</t>
  </si>
  <si>
    <t>Les plans d’action correctifs proposés à la suite des audits ou incidents liés aux systèmes d’information sont-ils validés par la Direction?</t>
  </si>
  <si>
    <t>La direction valide et suit les plans d’action correctifs proposés à la suite des audits ou incidents liés aux systèmes d’information</t>
  </si>
  <si>
    <t>Établir des procédures strictes pour assurer le respect des exigences réglementaires et renforcer le contrôle interne</t>
  </si>
  <si>
    <t>Non-respect des exigences réglementaires et affaiblissement du dispositif de contrôle interne</t>
  </si>
  <si>
    <t>Revue de conformité périodique IT non réalisée ou non documentée</t>
  </si>
  <si>
    <t>Revue de conformité périodique IT</t>
  </si>
  <si>
    <t>Renforcer les contrôles de sécurité et la conformité réglementaire pour minimiser les failles et les risques de non-conformité</t>
  </si>
  <si>
    <t>Risque accru de failles de sécurité et de non-conformité</t>
  </si>
  <si>
    <t>Rapports d’audit de sécurité IT inexistants ou non exploités par la direction</t>
  </si>
  <si>
    <t>Rapports d’audit de sécurité IT</t>
  </si>
  <si>
    <t>Les audits de sécurité et les revues de conformité font-ils partie des rapports transmis régulièrement à la direction?</t>
  </si>
  <si>
    <t>Les audits de sécurité et les revues de conformité font partie des rapports transmis régulièrement à la direction.</t>
  </si>
  <si>
    <t>Mettre en place un suivi systématique et une résolution efficace des incidents pour limiter leur impact</t>
  </si>
  <si>
    <t>Manque de suivi et de résolution efficace des incidents</t>
  </si>
  <si>
    <t>Registre des incidents et actions prises mal tenu ou non suivi</t>
  </si>
  <si>
    <t>Registre des incidents et actions prises</t>
  </si>
  <si>
    <t>Optimiser les processus de gestion des incidents critiques pour réduire les délais de réaction et d’intervention</t>
  </si>
  <si>
    <t>Retard ou inefficacité dans la gestion des incidents critiques</t>
  </si>
  <si>
    <t>Processus d’escalade des incidents critiques non documenté ou inefficace</t>
  </si>
  <si>
    <t>Processus d’escalade des incidents critiques</t>
  </si>
  <si>
    <t>Un processus d’escalade est-il établi pour signaler les incidents critiques et les décisions stratégiques à la hiérarchie?</t>
  </si>
  <si>
    <t>Un processus d’escalade est établi pour signaler les incidents critiques et les décisions stratégiques à la hiérarchie.</t>
  </si>
  <si>
    <t>Élaborer des méthodologies d’analyse et d’exploitation des indicateurs IT plus rigoureuses et complètes</t>
  </si>
  <si>
    <t>Analyse et exploitation des indicateurs IT biaisées ou incomplètes</t>
  </si>
  <si>
    <t>Rapports d’analyse des KPI informatiques inexacts ou inexploités</t>
  </si>
  <si>
    <t>Rapports d’analyse des KPI informatiques</t>
  </si>
  <si>
    <t>Revoir et affiner les KPI liés à la gestion des risques pour garantir leur pertinence et leur efficacité</t>
  </si>
  <si>
    <t>Gestion des risques inefficace en raison de KPI inappropriés ou mal définis</t>
  </si>
  <si>
    <t>Liste des KPI liés à la gestion des risques IT mal définie ou non alignée avec les objectifs stratégiques</t>
  </si>
  <si>
    <t>Liste des KPI liés à la gestion des risques IT</t>
  </si>
  <si>
    <t>Des indicateurs de performance clés (KPI) liés à la gestion des risques informatiques sont-ils définis et suivis?</t>
  </si>
  <si>
    <t>Des indicateurs de performance clés (KPI) liés à la gestion des risques informatiques sont définis et suivis.</t>
  </si>
  <si>
    <t>Définir et suivre des indicateurs fiables pour la direction afin d’améliorer la prise de décision stratégique</t>
  </si>
  <si>
    <t>Absence d’indicateurs fiables pour la direction</t>
  </si>
  <si>
    <t>Tableau de bord des indicateurs IT adressé à la direction incomplet ou non actualisé</t>
  </si>
  <si>
    <t>Tableau de bord des indicateurs IT adressé à la direction</t>
  </si>
  <si>
    <t>Mettre en place un processus rigoureux d’évaluation des performances des systèmes d’information avec des critères objectifs</t>
  </si>
  <si>
    <t>Mauvaise évaluation des performances des systèmes d’information</t>
  </si>
  <si>
    <t>Rapports de performance des systèmes d’information absents ou basés sur des données erronées</t>
  </si>
  <si>
    <t>Rapports de performance des systèmes d’information</t>
  </si>
  <si>
    <t>Un reporting périodique sur la performance des systèmes d’information est-il adressé à la direction et au Conseil d’Administration?</t>
  </si>
  <si>
    <t>Un reporting périodique sur la performance des systèmes d’information est adressé à la direction et au Conseil d’Administration.</t>
  </si>
  <si>
    <t>S’assurer qu’il existe une hiérarchie de responsabilité permettant de
 rendre compte de la performance des systèmes d’information, avec
 des rapports réguliers destinés à la direction</t>
  </si>
  <si>
    <t>Clarifier les rôles et responsabilités des interlocuteurs IT et établir un référentiel des contacts pour les décisions et projets critiques</t>
  </si>
  <si>
    <t>Difficulté à identifier les bons interlocuteurs IT pour les décisions et projets critiques</t>
  </si>
  <si>
    <t>Liste des représentants IT participant aux réunions non mise à jour ou imprécise</t>
  </si>
  <si>
    <t>Liste des représentants IT participant aux réunions</t>
  </si>
  <si>
    <t>Assurer une traçabilité complète et un suivi rigoureux des décisions prises en réunion stratégique</t>
  </si>
  <si>
    <t>Manque de traçabilité et de suivi des décisions prises en réunion stratégique</t>
  </si>
  <si>
    <t>Invitations et comptes rendus des réunions stratégiques non archivés ou incomplets</t>
  </si>
  <si>
    <t>Invitations et comptes rendus des réunions stratégiques</t>
  </si>
  <si>
    <t>Les responsables des systèmes d’information participent-ils aux réunions stratégiques pour aligner leurs actions avec les besoins des autres départements?</t>
  </si>
  <si>
    <t>Les responsables des systèmes d’information participent aux réunions stratégiques pour aligner leurs actions avec les besoins des autres départements.</t>
  </si>
  <si>
    <t>Renforcer les capacités de réponse aux crises par des exercices réguliers et des procédures adaptées</t>
  </si>
  <si>
    <t>Réponse inefficace aux crises, aggravant les perturbations opérationnelles</t>
  </si>
  <si>
    <t>Plan de communication de crise IT inexistant ou mal défini</t>
  </si>
  <si>
    <t>Plan de communication de crise IT</t>
  </si>
  <si>
    <t>Réduire le temps de réaction aux incidents en optimisant les processus de communication et d’alerte</t>
  </si>
  <si>
    <t>Allongement du temps de réaction face aux incidents, augmentant les impacts négatifs</t>
  </si>
  <si>
    <t>Procédure d’alerte en cas d’incident de sécurité inefficace ou non connue des employés</t>
  </si>
  <si>
    <t>Procédure d’alerte en cas d’incident de sécurité</t>
  </si>
  <si>
    <t>Un processus formalisé permet-il d’informer rapidement les parties prenantes en cas d’incident de sécurité?</t>
  </si>
  <si>
    <t>Un processus formalisé permet d’informer rapidement les parties prenantes en cas d’incident de sécurité.</t>
  </si>
  <si>
    <t>Améliorer la circulation des informations sensibles en mettant en place des canaux sécurisés et efficaces</t>
  </si>
  <si>
    <t>Mauvaise circulation des informations sensibles entraînant des retards ou des erreurs de transmission</t>
  </si>
  <si>
    <t>Guide des canaux de transmission des informations IT inexistant ou mal structuré</t>
  </si>
  <si>
    <t>Guide des canaux de transmission des informations IT</t>
  </si>
  <si>
    <t>Clarifier et faire respecter la politique de communication interne sur la gestion des risques IT</t>
  </si>
  <si>
    <t>Politique de communication interne sur la gestion des risques IT non claire ou non respectée</t>
  </si>
  <si>
    <t>Politique de communication interne sur la gestion des risques IT</t>
  </si>
  <si>
    <t>Une politique de communication interne définit-elle les canaux et formats de transmission des informations relatives à la gestion des risques informatiques?</t>
  </si>
  <si>
    <t>Une politique de communication interne définit les canaux et formats de transmission des informations relatives à la gestion des risques informatiques.</t>
  </si>
  <si>
    <t>Appliquer rigoureusement la politique d’utilisation des outils</t>
  </si>
  <si>
    <t>Politique d’utilisation des outils collaboratifs non appliquée ou mal définie</t>
  </si>
  <si>
    <t>Politique d’utilisation des outils collaboratifs</t>
  </si>
  <si>
    <t>Tenir à jour et gérer efficacement la liste des outils collaboratifs déployés</t>
  </si>
  <si>
    <t>Liste des outils collaboratifs déployés non à jour ou mal gérée</t>
  </si>
  <si>
    <t>Liste des outils collaboratifs déployés</t>
  </si>
  <si>
    <t>Des outils collaboratifs sont-ils mis en place pour assurer une communication fluide entre les équipes IT et les autres départements?</t>
  </si>
  <si>
    <t>Des outils collaboratifs (ex : plateformes de gestion de projet, systèmes de ticketing) sont mis en place pour assurer une communication fluide entre les équipes IT et les autres départements.</t>
  </si>
  <si>
    <t>Archiver correctement les comptes rendus des réunions du comité et les rendre accessibles aux parties prenantes</t>
  </si>
  <si>
    <t>Comptes rendus des réunions du comité absents ou non archivés correctement</t>
  </si>
  <si>
    <t>Comptes rendus des réunions du comité</t>
  </si>
  <si>
    <t>S’assurer du respect et de la diffusion de la charte du comité de gouvernance des SI</t>
  </si>
  <si>
    <t>Charte du comité de gouvernance des SI non respectée ou non diffusée</t>
  </si>
  <si>
    <t>Charte du comité de gouvernance des SI</t>
  </si>
  <si>
    <t>Un comité de gouvernance des systèmes d’information se réunit-il périodiquement?</t>
  </si>
  <si>
    <t>Un comité de gouvernance des systèmes d’information incluant les différents départements concernés se réunit périodiquement.</t>
  </si>
  <si>
    <t>Vérifier que des mécanismes de communication efficaces existent
 pour assurer une coordination fluide entre les différents
 départements et les responsables des systèmes d’information</t>
  </si>
  <si>
    <t>Structurer et enrichir la base de connaissances des bonnes pratiques IT pour en faciliter l’utilisation</t>
  </si>
  <si>
    <t>Base de connaissances des bonnes pratiques IT incomplète ou mal organisée</t>
  </si>
  <si>
    <t>Base de connaissances des bonnes pratiques IT</t>
  </si>
  <si>
    <t>Mettre à jour et rendre accessibles les référentiels internes sur la gestion des S</t>
  </si>
  <si>
    <t>Référentiels internes sur la gestion des SI obsolètes ou non accessibles</t>
  </si>
  <si>
    <t>Référentiels internes sur la gestion des SI</t>
  </si>
  <si>
    <t>Les collaborateurs impliqués dans la gestion des SI ont-ils accès à des bases de connaissances et des référentiels internes pour assurer la conformité et l’efficacité des processus?</t>
  </si>
  <si>
    <t>Les collaborateurs impliqués dans la gestion des systèmes d’information ont accès à des bases de connaissances et des référentiels internes pour assurer la conformité et l’efficacité des processus.</t>
  </si>
  <si>
    <t>Exploiter et mettre à jour régulièrement le journal des révisions des autorisations d’accès</t>
  </si>
  <si>
    <t>Journal des révisions des autorisations d’accès non exploité ou inexistant</t>
  </si>
  <si>
    <t>Journal des révisions des autorisations d’accès</t>
  </si>
  <si>
    <t>Établir et appliquer une procédure rigoureuse de validation des accès pour limiter les risques de sécurité</t>
  </si>
  <si>
    <t>Procédure de validation des accès absente ou inefficace</t>
  </si>
  <si>
    <t>Procédure de validation des accès</t>
  </si>
  <si>
    <t>Un processus de validation des autorisations d’accès aux ressources critiques est-il mis en place et régulièrement revu?</t>
  </si>
  <si>
    <t>Un processus de validation des autorisations d’accès aux ressources critiques est mis en place et régulièrement revu.</t>
  </si>
  <si>
    <t>Maintenir une liste à jour des sessions de formation et des participants pour assurer un suivi efficace</t>
  </si>
  <si>
    <t>Liste des sessions de formation et des participants non tenue à jour</t>
  </si>
  <si>
    <t>Liste des sessions de formation et des participants</t>
  </si>
  <si>
    <t>Adapter le programme de formation en gestion des SI aux besoins réels des collaborateurs</t>
  </si>
  <si>
    <t>Programme de formation en gestion des SI inadapté aux besoins réels</t>
  </si>
  <si>
    <t>Programme de formation en gestion des SI</t>
  </si>
  <si>
    <t>Des formations régulières sont-elles dispensées aux parties prenantes pour assurer la montée en compétence sur les enjeux liés à la gestion des systèmes d’information?</t>
  </si>
  <si>
    <t>Des formations régulières sont dispensées aux parties prenantes pour assurer la montée en compétence sur les enjeux liés à la gestion des systèmes d’information.</t>
  </si>
  <si>
    <t>Définir une politique d’accès claire aux outils de sécurité informatique et en contrôler l’application</t>
  </si>
  <si>
    <t>Politique d’accès aux outils de sécurité informatique mal définie ou non respectée</t>
  </si>
  <si>
    <t>Politique d’accès aux outils de sécurité informatique</t>
  </si>
  <si>
    <t>Tenir à jour un inventaire précis et exploitable des outils et technologies disponibles</t>
  </si>
  <si>
    <t>Inventaire des outils et technologies disponibles mal tenu ou inexploitable</t>
  </si>
  <si>
    <t>Inventaire des outils et technologies disponibles</t>
  </si>
  <si>
    <t>Un accès aux outils et technologies nécessaires est-il garanti aux responsables de la sécurité des systèmes d’information?</t>
  </si>
  <si>
    <t>Un accès aux outils et technologies nécessaires est garanti aux responsables de la sécurité des systèmes d’information.</t>
  </si>
  <si>
    <t>Déployer et tester régulièrement le plan de gestion des risques informatiques pour garantir sa pertinence</t>
  </si>
  <si>
    <t>Plan de gestion des risques informatiques non mis en œuvre ou non testé</t>
  </si>
  <si>
    <t>Plan de gestion des risques informatiques</t>
  </si>
  <si>
    <t>Allouer un budget adapté à la sécurité informatique et optimiser sa répartition en fonction des risques identifiés</t>
  </si>
  <si>
    <t>Budget alloué à la sécurité informatique insuffisant ou mal réparti</t>
  </si>
  <si>
    <t>Budget alloué à la sécurité informatique</t>
  </si>
  <si>
    <t>Les équipes en charge de la gestion des systèmes d’information disposent-ils d’un budget alloué pour la sécurité informatique et la gestion des risques?</t>
  </si>
  <si>
    <t>Les équipes en charge de la gestion des systèmes d’information disposent d’un budget alloué pour la sécurité informatique et la gestion des risques.</t>
  </si>
  <si>
    <t>S’assurer que les responsables des systèmes d’information, ainsi
 que les autres parties prenantes, sont dotés des ressources et des
 autorisations nécessaires pour exercer efficacement leurs
 responsabilités</t>
  </si>
  <si>
    <t>Clarifier et compléter la liste des responsabilités en gestion des incidents pour éviter toute ambiguïté</t>
  </si>
  <si>
    <t>Liste des responsabilités définies en gestion des incidents incomplète ou ambiguë</t>
  </si>
  <si>
    <t>Liste des responsabilités définies en gestion des incidents</t>
  </si>
  <si>
    <t>Mettre à jour régulièrement le guide de gestion des incidents de sécurité pour assurer son efficacité</t>
  </si>
  <si>
    <t>Guide de gestion des incidents de sécurité non mis à jour ou imprécis</t>
  </si>
  <si>
    <t>Guide de gestion des incidents de sécurité</t>
  </si>
  <si>
    <t>Les rôles et responsabilités en matière de gestion des incidents de sécurité sont-ils définis et documentés?</t>
  </si>
  <si>
    <t>Les rôles et responsabilités en matière de gestion des incidents de sécurité sont définis et documentés.</t>
  </si>
  <si>
    <t>Élaborer et maintenir une documentation claire et accessible des mesures de séparation des rôles</t>
  </si>
  <si>
    <t>Documentation des mesures de séparation des rôles inexistante ou mal définie</t>
  </si>
  <si>
    <t>Documentation des mesures de séparation des rôles</t>
  </si>
  <si>
    <t>Appliquer rigoureusement la politique de séparation des fonctions pour limiter les conflits d’intérêts et renforcer la sécurité</t>
  </si>
  <si>
    <t>Politique de séparation des fonctions non appliquée ou insuffisante</t>
  </si>
  <si>
    <t>Politique de séparation des fonctions</t>
  </si>
  <si>
    <t>Une séparation claire des fonctions est-elle mise en place pour éviter les conflits d’intérêts?</t>
  </si>
  <si>
    <t>Une séparation claire des fonctions est mise en place pour éviter les conflits d’intérêts (exemple : séparation entre administrateurs système et auditeurs de sécurité).</t>
  </si>
  <si>
    <t>Diffuser systématiquement les notes de service sur les référents sécurité et s’assurer de leur bonne compréhension</t>
  </si>
  <si>
    <t>Notes de service officialisant les référents sécurité non diffusées ou mal comprises</t>
  </si>
  <si>
    <t>Notes de service officialisant les référents sécurité</t>
  </si>
  <si>
    <t>Actualiser régulièrement la liste des référents sécurité par département et la diffuser aux parties prenantes</t>
  </si>
  <si>
    <t>Liste des référents sécurité par département non actualisée ou incomplète</t>
  </si>
  <si>
    <t>Liste des référents sécurité par département</t>
  </si>
  <si>
    <t>Chaque département impliqué dans la gestion des systèmes d’information dispose-t-il de référents sécurité clairement identifiés?</t>
  </si>
  <si>
    <t>Chaque département impliqué dans la gestion des systèmes d’information dispose de référents sécurité clairement identifiés.</t>
  </si>
  <si>
    <t>Réviser et compléter la fiche de poste du DPO pour garantir une application correcte de ses responsabilités</t>
  </si>
  <si>
    <t>Fiche de poste du DPO précisant ses responsabilités incomplète ou mal appliquée</t>
  </si>
  <si>
    <t>Fiche de poste du DPO précisant ses responsabilités</t>
  </si>
  <si>
    <t>Assurer la nomination officielle du DPO en conformité avec les exigences réglementaires</t>
  </si>
  <si>
    <t>Nomination officielle du DPO absente ou non conforme aux exigences réglementaires</t>
  </si>
  <si>
    <t>Nomination officielle du DPO</t>
  </si>
  <si>
    <t>Les responsabilités en matière de protection des données sont-elles attribuées à un Délégué à la Protection des Données (DPO), avec une fiche de poste détaillée?</t>
  </si>
  <si>
    <t>Les responsabilités en matière de protection des données sont attribuées à un Délégué à la Protection des Données (DPO), avec une fiche de poste détaillée.</t>
  </si>
  <si>
    <t>Mettre à jour la fiche de poste du RSSI pour clarifier ses missions et responsabilités</t>
  </si>
  <si>
    <t>Fiche de poste détaillant les missions du RSSI imprécise ou obsolète</t>
  </si>
  <si>
    <t>Fiche de poste détaillant les missions du RSSI</t>
  </si>
  <si>
    <t>Aligner la lettre de mission du RSSI avec ses responsabilités réelles et les exigences organisationnelles</t>
  </si>
  <si>
    <t>Lettre de mission du RSSI non alignée avec les responsabilités réelles</t>
  </si>
  <si>
    <t>Lettre de mission du RSSI</t>
  </si>
  <si>
    <t>Un responsable de la sécurité des systèmes d’information (RSSI) est-il désigné et ses missions sont formellement définies?</t>
  </si>
  <si>
    <t>Un responsable de la sécurité des systèmes d’information (RSSI) est désigné et ses missions sont formellement définies.</t>
  </si>
  <si>
    <t>Vérifier que les responsabilités liées à la sécurité des systèmes
 d’information et à la gestion des données sont attribuées à des
 postes spécifiques, avec des descriptions de rôle formalisées</t>
  </si>
  <si>
    <t>Mettre à jour régulièrement la documentation des ajustements organisationnels liés aux évolutions technologiques et s’assurer de son exploitation</t>
  </si>
  <si>
    <t>Documentation des ajustements organisationnels liés aux évolutions technologiques incomplète</t>
  </si>
  <si>
    <t>Documentation des ajustements organisationnels liés aux évolutions technologiques</t>
  </si>
  <si>
    <t>Réaliser des revues périodiques de la structure organisationnelle et exploiter leurs rapports pour améliorer l’efficacité opérationnelle</t>
  </si>
  <si>
    <t>Rapports des revues périodiques de la structure organisationnelle inexistants ou non exploités</t>
  </si>
  <si>
    <t>Rapports des revues périodiques de la structure organisationnelle</t>
  </si>
  <si>
    <t>L’organisation réalise-t-elle périodiquement des revues de sa structure organisationnelle pour s’adapter aux évolutions technologiques et aux nouveaux risques?</t>
  </si>
  <si>
    <t>L’organisation réalise périodiquement des revues de sa structure organisationnelle pour s’adapter aux évolutions technologiques et aux nouveaux risques.</t>
  </si>
  <si>
    <t>Améliorer la communication interne sur les rôles et responsabilités en gestion des SI par des supports clairs et accessibles</t>
  </si>
  <si>
    <t>Communication interne sur les rôles en gestion des SI insuffisante ou mal diffusée</t>
  </si>
  <si>
    <t>Communication interne sur les rôles en gestion des SI</t>
  </si>
  <si>
    <t>Clarifier les responsabilités des acteurs clés en gestion des SI et tenir à jour une grille des rôles</t>
  </si>
  <si>
    <t>Grille des responsabilités des acteurs clés en gestion des SI mal définie ou non mise à jour</t>
  </si>
  <si>
    <t>Grille des responsabilités des acteurs clés en gestion des SI</t>
  </si>
  <si>
    <t>Les responsabilités et l’autorité des acteurs clés en matière de gestion des systèmes d’information sont-elles clairement définies et communiquées à l’ensemble du personnel concerné?</t>
  </si>
  <si>
    <t>Les responsabilités et l’autorité des acteurs clés en matière de gestion des systèmes d’information sont clairement définies et communiquées à l’ensemble du personnel concerné.</t>
  </si>
  <si>
    <t>Établir un plan annuel de mise à jour des contenus de formation et en assurer le suivi</t>
  </si>
  <si>
    <t>Plan de mise à jour des contenus de formation absent ou non appliqué</t>
  </si>
  <si>
    <t>Documentation sur les lignes hiérarchiques et fonctionnelles imprécise ou erronée</t>
  </si>
  <si>
    <t>Documentation sur les lignes hiérarchiques et fonctionnelles</t>
  </si>
  <si>
    <t>Instaurer une démarche d’amélioration continue dans la conception des formations</t>
  </si>
  <si>
    <t>Manque d’amélioration continue dans les programmes de formation</t>
  </si>
  <si>
    <t>Politique sur la structure organisationnelle non formalisée ou inadaptée</t>
  </si>
  <si>
    <t>Politique formalisée sur la structure organisationnelle</t>
  </si>
  <si>
    <t>Une politique formalisée définit-elle la structure organisationnelle et précise-t-elle les lignes hiérarchiques et fonctionnelles liées aux systèmes d’information?</t>
  </si>
  <si>
    <t>Une politique formalisée définit la structure organisationnelle et précise les lignes hiérarchiques et fonctionnelles liées aux systèmes d’information.</t>
  </si>
  <si>
    <t>Exploiter les rapports d’analyse des tests pour adapter les formations aux besoins identifiés</t>
  </si>
  <si>
    <t>Rapports d’analyse des tests non utilisés dans l’amélioration des formations</t>
  </si>
  <si>
    <t>Manuel des fonctions et responsabilités non utilisé ou obsolète</t>
  </si>
  <si>
    <t>Manuel des fonctions et responsabilités</t>
  </si>
  <si>
    <t>Intégrer des tests de validation des connaissances après chaque formation pour mesurer l’assimilation</t>
  </si>
  <si>
    <t>Absence de mesure claire des connaissances acquises et des lacunes restantes</t>
  </si>
  <si>
    <t>Descriptions de poste incomplètes ou incohérentes avec les responsabilités réelles</t>
  </si>
  <si>
    <t>Descriptions de poste détaillées avec attributions spécifiques</t>
  </si>
  <si>
    <t>Des descriptions de poste détaillées comprennant les attributions spécifiques sont-ils disponibles?</t>
  </si>
  <si>
    <t>Des descriptions de poste détaillées sont disponibles et comprennent les attributions spécifiques liées à la gestion des risques informatiques.</t>
  </si>
  <si>
    <t>Mettre en place un processus d’évaluation post-formation et ajuster les programmes en fonction des résultats</t>
  </si>
  <si>
    <t>Tests de connaissances post-formation non réalisés ou mal exploités</t>
  </si>
  <si>
    <t>Historique des modifications de l’organigramme inexistant ou mal suivi</t>
  </si>
  <si>
    <t>Historique des modifications de l’organigramme</t>
  </si>
  <si>
    <t>Incapacité à évaluer l’efficacité des formations et à ajuster les programmes</t>
  </si>
  <si>
    <t>Organigramme officiel non mis à jour ou non diffusé correctement</t>
  </si>
  <si>
    <t>Organigramme officiel mis à jour</t>
  </si>
  <si>
    <t>Un organigramme officiel précisant les rôles et responsabilités est-il documenté et mis à jour régulièrement?</t>
  </si>
  <si>
    <t>Un organigramme officiel précisant les rôles et responsabilités en matière de gestion des systèmes d’information est documenté et mis à jour régulièrement.</t>
  </si>
  <si>
    <t>S’assurer que l’organisation dispose d’une structure
 organisationnelle clairement définie, incluant les rôles et
 responsabilités relatifs à la gestion des systèmes d’information</t>
  </si>
  <si>
    <t>Identification et analyse des risques</t>
  </si>
  <si>
    <t>Déployer un outil de gestion et d’évaluation des formations adapté aux besoins internes</t>
  </si>
  <si>
    <t>Outil de suivi et d’évaluation des formations inexistant ou mal utilisé</t>
  </si>
  <si>
    <t>Documentation des évolutions réglementaires non intégrée aux formations</t>
  </si>
  <si>
    <t>Documentation des évolutions réglementaires intégrées aux formations</t>
  </si>
  <si>
    <t>Mettre en place un tableau de bord de suivi des formations pour une meilleure visibilité</t>
  </si>
  <si>
    <t>Absence de visibilité sur les employés formés et leurs compétences acquises</t>
  </si>
  <si>
    <t>Plan de mise à jour des contenus de formation</t>
  </si>
  <si>
    <t>Une mise à jour régulière des contenus de formation est-elle effectuée pour tenir compte des évolutions du cadre réglementaire et des meilleures pratiques?</t>
  </si>
  <si>
    <t>Une mise à jour régulière des contenus de formation est effectuée pour tenir compte des évolutions du cadre réglementaire et des meilleures pratiques.</t>
  </si>
  <si>
    <t>Tenir une liste actualisée des participants aux formations et des compétences acquises</t>
  </si>
  <si>
    <t>Liste des participants aux formations non tenue à jour</t>
  </si>
  <si>
    <t>Rapports d’analyse des résultats des tests</t>
  </si>
  <si>
    <t>Organiser des ateliers pratiques pour assurer l’application correcte des bonnes pratiques de contrôle interne</t>
  </si>
  <si>
    <t>Difficulté à appliquer les bonnes pratiques de contrôle interne</t>
  </si>
  <si>
    <t>Tests de connaissances post-formation</t>
  </si>
  <si>
    <t>Des tests de connaissances ou évaluations sont-ils réalisés après les formations pour mesurer leur impact?</t>
  </si>
  <si>
    <t>Des tests de connaissances ou évaluations sont réalisés après les formations pour mesurer leur impact.</t>
  </si>
  <si>
    <t>Moderniser les guides et manuels de contrôle interne et les rendre facilement accessibles</t>
  </si>
  <si>
    <t>Guides et manuels de contrôle interne obsolètes ou inaccessibles</t>
  </si>
  <si>
    <t>Outil de suivi et d’évaluation des formations</t>
  </si>
  <si>
    <t>Mettre à jour régulièrement les FAQ et guides pour éviter les erreurs et la confusion</t>
  </si>
  <si>
    <t>Confusion et erreurs possibles dues à l’absence d’informations claires</t>
  </si>
  <si>
    <t>Liste des participants aux formations en contrôle interne</t>
  </si>
  <si>
    <t>La participation aux formations sur le contrôle interne est-elle suivie et évaluée?</t>
  </si>
  <si>
    <t>La participation aux formations sur le contrôle interne est suivie et évaluée.</t>
  </si>
  <si>
    <t>Créer une base documentaire complète et accessible des procédures internes</t>
  </si>
  <si>
    <t>FAQ et documentation sur les procédures internes incomplètes</t>
  </si>
  <si>
    <t>FAQ et documentation sur les procédures internes</t>
  </si>
  <si>
    <t>Mettre en place un outil de suivi des progrès des employés et adapter les formations en conséquence</t>
  </si>
  <si>
    <t>Difficulté à suivre les progrès des employés et identifier les besoins en formation</t>
  </si>
  <si>
    <t>Guides et manuels de contrôle interne</t>
  </si>
  <si>
    <t>Un support documentaire (guides, procédures, FAQ) est-il mis à disposition pour aider à la compréhension des exigences du contrôle interne?</t>
  </si>
  <si>
    <t>Un support documentaire (guides, procédures, FAQ) est mis à disposition pour aider à la compréhension des exigences du contrôle interne.</t>
  </si>
  <si>
    <t>Structurer le suivi des formations en contrôle interne par un système centralisé</t>
  </si>
  <si>
    <t>Suivi des formations en contrôle interne mal structuré</t>
  </si>
  <si>
    <t>Suivi des formations sur le contrôle interne</t>
  </si>
  <si>
    <t>Standardiser et renforcer les contrôles internes pour garantir leur bonne application</t>
  </si>
  <si>
    <t>Mauvaise application des contrôles internes</t>
  </si>
  <si>
    <t>Programme de formation en contrôle interne incomplet ou indapté</t>
  </si>
  <si>
    <t>Programme de formation en contrôle interne</t>
  </si>
  <si>
    <t>Un programme de formation sur le contrôle interne est-il mis en place et suivi par les collaborateurs?</t>
  </si>
  <si>
    <t>Un programme de formation sur le contrôle interne est mis en place et suivi par les collaborateurs.</t>
  </si>
  <si>
    <t>Vérifier que des mécanismes de formation et de sensibilisation sont
 mis en place pour renforcer la compréhension et l'engagement de
 chaque collaborateur vis-à-vis de ses responsabilités en matière de
 contrôle interne</t>
  </si>
  <si>
    <t>Mettre en place un processus d’amélioration continue basé sur l’analyse des erreurs récurrentes</t>
  </si>
  <si>
    <t>Récurrence des mêmes erreurs et absence d’amélioration continue</t>
  </si>
  <si>
    <t>Rapports d’évaluation des mesures correctives non réalisés ou mal exploités</t>
  </si>
  <si>
    <t>Rapports d’évaluation des mesures correctives</t>
  </si>
  <si>
    <t>Définir un cadre précis pour l’application des sanctions et assurer son respect équitable</t>
  </si>
  <si>
    <t>Absence de référence pour garantir une application équitable des sanctions</t>
  </si>
  <si>
    <t>Plan de suivi des actions correctives non mis à jour ou inefficace</t>
  </si>
  <si>
    <t>Plan de suivi des actions correctives</t>
  </si>
  <si>
    <t>Les actions correctives mises en place sont-elles suivies et évaluées dans le temps pour en mesurer l’efficacité?</t>
  </si>
  <si>
    <t>Les actions correctives mises en place sont suivies et évaluées dans le temps pour en mesurer l’efficacité.</t>
  </si>
  <si>
    <t>Encourager la culture du contrôle interne par des actions de sensibilisation et d’engagement des employés</t>
  </si>
  <si>
    <t>Implication limitée des employés dans le respect des procédures de contrôle</t>
  </si>
  <si>
    <t>Historique des mesures disciplinaires inexistant ou mal documenté</t>
  </si>
  <si>
    <t>Historique des mesures disciplinaires appliquées</t>
  </si>
  <si>
    <t>Mettre en place un plan de suivi des compétences et des formations continues</t>
  </si>
  <si>
    <t>Absence de suivi efficace des compétences acquises et des besoins en formation</t>
  </si>
  <si>
    <t>Procédure disciplinaire en cas de manquements non appliquée ou floue</t>
  </si>
  <si>
    <t>Procédure disciplinaire en cas de non-respect des responsabilités</t>
  </si>
  <si>
    <t>Un processus disciplinaire est-il prévu en cas de non-respect grave ou répété des responsabilités de contrôle interne?</t>
  </si>
  <si>
    <t>Un processus disciplinaire est prévu en cas de non-respect grave ou répété des responsabilités de contrôle interne.</t>
  </si>
  <si>
    <t>Former régulièrement les employés aux contrôles internes et à leur application efficace</t>
  </si>
  <si>
    <t>Manque de compétences des employés pour appliquer les contrôles internes</t>
  </si>
  <si>
    <t>Liste des formations suivies mal tenue ou obsolète</t>
  </si>
  <si>
    <t>Liste des formations suivies par les responsables concernés</t>
  </si>
  <si>
    <t>Sensibiliser les employés à l’importance du signalement et instaurer un climat de confiance</t>
  </si>
  <si>
    <t>Climat de méfiance et réticence des employés à signaler des anomalies</t>
  </si>
  <si>
    <t>Programme de formation en contrôle interne insuffisant ou non adapté</t>
  </si>
  <si>
    <t>Programme de formation et accompagnement en contrôle interne</t>
  </si>
  <si>
    <t>Des formations ou accompagnements sont-elles proposés aux responsables identifiés comme ayant des lacunes en contrôle interne?</t>
  </si>
  <si>
    <t>Des formations ou accompagnements sont proposés aux responsables identifiés comme ayant des lacunes en contrôle interne.</t>
  </si>
  <si>
    <t>Renforcer les mécanismes de détection des incidents et fraudes internes par des contrôles renforcés</t>
  </si>
  <si>
    <t>Détection tardive des incidents et des fraudes internes</t>
  </si>
  <si>
    <t>Signalement des manquements en contrôle interne mal encadré</t>
  </si>
  <si>
    <t>Procédure de signalement des manquements en contrôle interne</t>
  </si>
  <si>
    <t>Mettre en place un suivi rigoureux des anomalies et accélérer leur correction</t>
  </si>
  <si>
    <t>Accumulation d’anomalies non corrigées pouvant impacter la conformité</t>
  </si>
  <si>
    <t>Dispositif d’alerte interne inefficace ou inexistant</t>
  </si>
  <si>
    <t>Dispositif d’alerte interne sur les manquements</t>
  </si>
  <si>
    <t>Existe-t-il un dispositif d’alerte permettant de signaler les manquements aux responsabilités de contrôle interne?</t>
  </si>
  <si>
    <t>Un dispositif d’alerte permet de signaler les manquements aux responsabilités de contrôle interne.</t>
  </si>
  <si>
    <t>Créer un processus de traitement rapide et structuré des écarts identifiés</t>
  </si>
  <si>
    <t>Non-traitement rapide et efficace des écarts identifiés</t>
  </si>
  <si>
    <t>Registre des écarts mal structuré ou non suivi</t>
  </si>
  <si>
    <t>Registre des écarts et actions correctives</t>
  </si>
  <si>
    <t>Établir un cadre de gouvernance des risques avec des responsabilités clairement définies</t>
  </si>
  <si>
    <t>Absence de pilotage stratégique adéquat des risques</t>
  </si>
  <si>
    <t>Procédure de gestion des écarts de conformité inexistante ou inadaptée</t>
  </si>
  <si>
    <t>Procédure de gestion des écarts de conformité</t>
  </si>
  <si>
    <t>Une procédure formelle de gestion des écarts de conformité est-elle définie et appliquée?</t>
  </si>
  <si>
    <t>Une procédure formelle de gestion des écarts de conformité est définie et appliquée.</t>
  </si>
  <si>
    <t>S’assurer que des actions correctives sont mises en place lorsque
 des responsables ne respectent pas leurs responsabilités en
 matière de contrôle interne, avec des mesures de soutien ou de
 discipline appropriées</t>
  </si>
  <si>
    <t>Développer des tableaux de bord pour améliorer la visibilité sur les données de contrôle interne</t>
  </si>
  <si>
    <t>Mauvaise prise de décision en raison d’un manque de visibilité</t>
  </si>
  <si>
    <t>Présentations au Conseil d’Administration insuffisantes ou incomplètes</t>
  </si>
  <si>
    <t>Présentations des résultats des contrôles au Conseil d’Administration</t>
  </si>
  <si>
    <t>Mettre en place des indicateurs de performance pour mesurer l’efficacité des actions mises en place</t>
  </si>
  <si>
    <t>Difficulté à évaluer l’efficacité des actions mises en place</t>
  </si>
  <si>
    <t>Communication des résultats des contrôles à la direction inefficace</t>
  </si>
  <si>
    <t>Comptes rendus de communication des résultats des contrôles à la direction</t>
  </si>
  <si>
    <t>Les résultats des contrôles sont-ils communiqués à la direction et au Conseil d’Administration pour assurer un suivi efficace?</t>
  </si>
  <si>
    <t>Les résultats des contrôles sont communiqués à la direction et au Conseil d’Administration pour assurer un suivi efficace.</t>
  </si>
  <si>
    <t>Renforcer le suivi des actions correctives et évaluer leur impact régulièrement</t>
  </si>
  <si>
    <t>Correction inefficace des faiblesses identifiées</t>
  </si>
  <si>
    <t>Rapports de suivi des actions correctives mal documentés</t>
  </si>
  <si>
    <t>Rapports de suivi des actions correctives mises en place</t>
  </si>
  <si>
    <t>Formaliser un système de traçabilité et de validation des actions correctives</t>
  </si>
  <si>
    <t>Absence de traçabilité et de suivi des mesures correctives prises</t>
  </si>
  <si>
    <t>Modèles de plans d’action correctifs non adaptés aux risques réels</t>
  </si>
  <si>
    <t>Modèles de plans d’action correctifs</t>
  </si>
  <si>
    <t>Des plans d’action correctifs sont-ils systématiquement élaborés et suivis en cas de détection d’écarts?</t>
  </si>
  <si>
    <t>Des plans d’action correctifs sont systématiquement élaborés et suivis en cas de détection d’écarts.</t>
  </si>
  <si>
    <t>Créer un registre de suivi des incidents et des mesures correctives mises en place</t>
  </si>
  <si>
    <t>Difficulté à suivre les incidents et à assurer leur correction efficace</t>
  </si>
  <si>
    <t>Historique des mises à jour des non-conformités inexistant ou erroné</t>
  </si>
  <si>
    <t>Historique des mises à jour du registre des non-conformités</t>
  </si>
  <si>
    <t>Automatiser la détection des écarts de conformité pour prévenir les sanctions</t>
  </si>
  <si>
    <t>Non-détection des écarts de conformité pouvant entraîner des sanctions</t>
  </si>
  <si>
    <t>Registre des non-conformités mal tenu ou non mis à jour</t>
  </si>
  <si>
    <t>Registre des non-conformités documentées</t>
  </si>
  <si>
    <t>Un registre des non-conformités est-il tenu et mis à jour après chaque contrôle?</t>
  </si>
  <si>
    <t>Un registre des non-conformités est tenu et mis à jour après chaque contrôle.</t>
  </si>
  <si>
    <t>Mettre en place un système d’alerte et de suivi des faiblesses du contrôle interne</t>
  </si>
  <si>
    <t>Retard dans l’identification et la correction des faiblesses du contrôle interne</t>
  </si>
  <si>
    <t>Rapports des revues de conformité aux normes incomplets ou non conformes</t>
  </si>
  <si>
    <t>Rapports des revues de conformité aux normes établies</t>
  </si>
  <si>
    <t>Former les équipes à une application homogène des critères d’évaluation</t>
  </si>
  <si>
    <t>Mauvaise compréhension et application inégale des critères d’évaluation</t>
  </si>
  <si>
    <t>Planning des revues de contrôle interne non respecté</t>
  </si>
  <si>
    <t>Planning des revues périodiques des pratiques de contrôle interne</t>
  </si>
  <si>
    <t>Des revues périodiques sont-elles réalisées pour s’assurer de la conformité des pratiques aux normes établies?</t>
  </si>
  <si>
    <t>Des revues périodiques sont réalisées pour s’assurer de la conformité des pratiques aux normes établies.</t>
  </si>
  <si>
    <t>Établir un cadre d’évaluation structuré et standardisé pour le contrôle interne</t>
  </si>
  <si>
    <t>Évaluation inefficace des dispositifs de contrôle interne</t>
  </si>
  <si>
    <t>Documentation sur l’application de la grille d’évaluation insuffisante</t>
  </si>
  <si>
    <t>Documentation sur l’application de la grille d’évaluation</t>
  </si>
  <si>
    <t>Renforcer les contrôles qualité des données utilisées pour la prise de décision</t>
  </si>
  <si>
    <t>Décisions basées sur des données erronées ou incomplètes</t>
  </si>
  <si>
    <t>Grille d’évaluation des contrôles internes obsolète ou mal appliquée</t>
  </si>
  <si>
    <t>Grille d’évaluation des contrôles internes</t>
  </si>
  <si>
    <t>Une grille d’évaluation des contrôles internes est-elle mise en place pour vérifier le respect des procédures?</t>
  </si>
  <si>
    <t>Une grille d’évaluation des contrôles internes est mise en place pour vérifier le respect des procédures.</t>
  </si>
  <si>
    <t>Vérifier que des procédures de contrôle sont en place pour évaluer
 la conformité des actions des responsables avec les normes de
 contrôle interne, et pour identifier les non-conformités ou les écarts</t>
  </si>
  <si>
    <t>Mettre en place des mécanismes de validation et de vérification des informations remontées</t>
  </si>
  <si>
    <t>Informations remontées imprécises ou inexploitées</t>
  </si>
  <si>
    <t>Rapports d’amélioration de la qualité des informations remontées imprécis ou inexploités</t>
  </si>
  <si>
    <t>Rapports d’amélioration de la qualité des informations remontées</t>
  </si>
  <si>
    <t>Mettre en place un dispositif de contrôle renforcé pour limiter les risques de non-conformité</t>
  </si>
  <si>
    <t>Risques accrus de non-conformité et de sanctions réglementaires</t>
  </si>
  <si>
    <t>Revue des pratiques de contrôle interne non réalisée régulièrement</t>
  </si>
  <si>
    <t>Évaluations des processus de reporting en contrôle interne</t>
  </si>
  <si>
    <t>Des évaluations périodiques du reporting sont-elles effectuées pour améliorer la qualité des informations remontées?</t>
  </si>
  <si>
    <t>Des évaluations périodiques du reporting sont effectuées pour améliorer la qualité des informations remontées.</t>
  </si>
  <si>
    <t>Assurer une veille réglementaire active pour s’adapter rapidement aux évolutions</t>
  </si>
  <si>
    <t>Perte de réactivité face aux évolutions réglementaires</t>
  </si>
  <si>
    <t>Suivi du respect des délais de transmission des rapports</t>
  </si>
  <si>
    <t>Clarifier et appliquer rigoureusement les critères d’évaluation du contrôle interne</t>
  </si>
  <si>
    <t>Mauvaise application des critères d’évaluation du contrôle interne</t>
  </si>
  <si>
    <t>Grille d’évaluation des contrôles internes mal appliquée ou obsolète</t>
  </si>
  <si>
    <t>Plan de transmission des rapports avec délais définis</t>
  </si>
  <si>
    <t>Des délais de transmission des rapports sont-ils établis et respectés par les responsables concernés?</t>
  </si>
  <si>
    <t>Des délais de transmission des rapports sont établis et respectés par les responsables concernés.</t>
  </si>
  <si>
    <t>Revoir les méthodologies d’évaluation pour garantir l’efficacité des contrôles internes</t>
  </si>
  <si>
    <t>Contrôles internes inefficaces en raison d’une évaluation inadaptée</t>
  </si>
  <si>
    <t>Qualité des informations remontées dans les rapports insuffisante</t>
  </si>
  <si>
    <t>Procédures d’analyse des rapports via le SI</t>
  </si>
  <si>
    <t>Fiabiliser les informations du contrôle interne par des audits réguliers</t>
  </si>
  <si>
    <t>Informations de contrôle interne peu fiables ou incomplètes</t>
  </si>
  <si>
    <t>Évaluations des processus de reporting non effectuées régulièrement</t>
  </si>
  <si>
    <t>Documentation du SI permettant la remontée des rapports de contrôle interne</t>
  </si>
  <si>
    <t>Le SI permet-il la remontée et l’analyse des rapports de contrôle interne?</t>
  </si>
  <si>
    <t>Un système d’information permet la remontée et l’analyse des rapports de contrôle interne.</t>
  </si>
  <si>
    <t>Mettre en place un processus de mise à jour périodique des procédures de reporting</t>
  </si>
  <si>
    <t>Absence de mise à jour des processus de reporting</t>
  </si>
  <si>
    <t>Transmission des rapports hors délais ou non respectée</t>
  </si>
  <si>
    <t>Procédures de mise à jour des indicateurs de performance</t>
  </si>
  <si>
    <t>Optimiser la transmission des informations critiques par des procédures de communication claires</t>
  </si>
  <si>
    <t>Retards dans la transmission des informations critiques</t>
  </si>
  <si>
    <t>Procédures d’analyse des rapports via le SI mal définies ou inefficaces</t>
  </si>
  <si>
    <t>Registre des indicateurs de performance en contrôle interne</t>
  </si>
  <si>
    <t>Les indicateurs de performance en matière de contrôle interne sont-ils documentés et mis à jour régulièrement?</t>
  </si>
  <si>
    <t>Les indicateurs de performance en matière de contrôle interne sont documentés et mis à jour régulièrement.</t>
  </si>
  <si>
    <t>Exploiter les données du contrôle interne grâce à des outils analytiques avancés</t>
  </si>
  <si>
    <t>Exploitation limitée des données issues du contrôle interne</t>
  </si>
  <si>
    <t>Dysfonctionnements du SI impactant la remontée des rapports de contrôle interne</t>
  </si>
  <si>
    <t>Documentation de l’application du format standardisé</t>
  </si>
  <si>
    <t>Moderniser le SI et renforcer les contrôles techniques pour assurer la fiabilité du reporting</t>
  </si>
  <si>
    <t>Dysfonctionnements du SI entraînant des lacunes dans le reporting</t>
  </si>
  <si>
    <t>Procédures de mise à jour des indicateurs de performance inexistantes</t>
  </si>
  <si>
    <t>Modèle de reporting standardisé en contrôle interne</t>
  </si>
  <si>
    <t>Un format standardisé de reporting sur le contrôle interne est-il défini et appliqué à tous les niveaux de l’organisation?</t>
  </si>
  <si>
    <t>Un format standardisé de reporting sur le contrôle interne est défini et appliqué à tous les niveaux de l’organisation.</t>
  </si>
  <si>
    <t>S’assurer que des processus de reporting sont en place pour
 permettre à chaque responsable de rendre compte de
 l’accomplissement de ses tâches liées au contrôle interne, avec des
 indicateurs de performance définis</t>
  </si>
  <si>
    <t>Développer un tableau de bord de suivi des performances du contrôle interne</t>
  </si>
  <si>
    <t>Suivi des performances de contrôle interne défaillant</t>
  </si>
  <si>
    <t>Indicateurs de performance en contrôle interne mal suivis</t>
  </si>
  <si>
    <t>Procédure détaillant les missions de l’équipe de supervision</t>
  </si>
  <si>
    <t>Mettre en place un dispositif d’alerte précoce pour anticiper les risques internes</t>
  </si>
  <si>
    <t>Mauvaise anticipation des risques internes</t>
  </si>
  <si>
    <t>Modèle de reporting non appliqué de manière homogène</t>
  </si>
  <si>
    <t>Liste des membres de l’équipe de supervision du contrôle interne</t>
  </si>
  <si>
    <t>Une équipe de supervision est-elle chargée de veiller à la mise en œuvre effective des responsabilités en matière de contrôle interne?</t>
  </si>
  <si>
    <t>Une équipe de supervision est chargée de veiller à la mise en œuvre effective des responsabilités en matière de contrôle interne.</t>
  </si>
  <si>
    <t>Responsabiliser l’équipe de supervision par des objectifs clairs et un suivi régulier</t>
  </si>
  <si>
    <t>Équipe de supervision peu performante ou non responsabilisée</t>
  </si>
  <si>
    <t>Missions de l’équipe de supervision mal documentées ou non respectées</t>
  </si>
  <si>
    <t>Exemples de rapports d’avancement des contrôles et actions correctives</t>
  </si>
  <si>
    <t>Renforcer les mécanismes de supervision du contrôle interne</t>
  </si>
  <si>
    <t>Supervision inefficace du contrôle interne</t>
  </si>
  <si>
    <t>Équipe de supervision du contrôle interne mal définie ou insuffisamment qualifiée</t>
  </si>
  <si>
    <t>Processus documenté de reporting obligatoire</t>
  </si>
  <si>
    <t>Un processus de reporting obligatoire est-il en place pour documenter l’état d’avancement des contrôles et actions correctives?</t>
  </si>
  <si>
    <t>Un processus de reporting obligatoire est en place pour documenter l’état d’avancement des contrôles et actions correctives.</t>
  </si>
  <si>
    <t>Standardiser les formats de rapports pour garantir la clarté et la transparence</t>
  </si>
  <si>
    <t>Manque de transparence et d’homogénéité dans les rapports de contrôle</t>
  </si>
  <si>
    <t>Absence de standardisation dans les rapports d’avancement des contrôles</t>
  </si>
  <si>
    <t>Rapports de suivi des indicateurs de conformité</t>
  </si>
  <si>
    <t>Automatiser et structurer le reporting pour éviter les retards et incompréhensions</t>
  </si>
  <si>
    <t>Reporting incomplet ou retardé, impactant la prise de décision</t>
  </si>
  <si>
    <t>Reporting obligatoire mal structuré ou non respecté</t>
  </si>
  <si>
    <t>Liste des indicateurs de conformité en contrôle interne</t>
  </si>
  <si>
    <t>Des indicateurs de conformité (taux de respect des procédures, nombre de contrôles réalisés) sont-ils définis et suivis?</t>
  </si>
  <si>
    <t>Des indicateurs de conformité (taux de respect des procédures, nombre de contrôles réalisés) sont définis et suivis.</t>
  </si>
  <si>
    <t>Créer un dispositif de contrôle continu des mesures de conformité</t>
  </si>
  <si>
    <t>Suivi insuffisant des mesures de conformité</t>
  </si>
  <si>
    <t>Rapports de suivi des indicateurs de conformité non disponibles ou inexacts</t>
  </si>
  <si>
    <t>Plan d’actions correctives discuté en réunion</t>
  </si>
  <si>
    <t>Mettre en place un cadre formalisé pour garantir la conformité aux réglementations</t>
  </si>
  <si>
    <t>Difficulté à garantir la conformité aux réglementations</t>
  </si>
  <si>
    <t>Indicateurs de conformité mal définis ou inexploitables</t>
  </si>
  <si>
    <t>Comptes rendus des réunions entre responsables et direction sur le contrôle interne</t>
  </si>
  <si>
    <t>Des réunions périodiques sont-elles organisées entre les responsables et la direction pour examiner l’état du contrôle interne?</t>
  </si>
  <si>
    <t>Des réunions périodiques sont organisées entre les responsables et la direction pour examiner l’état du contrôle interne.</t>
  </si>
  <si>
    <t>Assurer un suivi rigoureux de l’application des actions correctives</t>
  </si>
  <si>
    <t>Échec dans l’application des actions correctives nécessaires</t>
  </si>
  <si>
    <t>Plan d’actions correctives non appliqué ou mal documenté</t>
  </si>
  <si>
    <t>Rapports périodiques d’analyse des activités de contrôle interne</t>
  </si>
  <si>
    <t>Optimiser la préparation des réunions avec des ordres du jour précis et des objectifs clairs</t>
  </si>
  <si>
    <t>Réunions non productives, impactant la réactivité aux risques</t>
  </si>
  <si>
    <t>Réunions entre responsables et direction inefficaces ou sans suivi structuré</t>
  </si>
  <si>
    <t>Tableau de bord de suivi du contrôle interne</t>
  </si>
  <si>
    <t>Un tableau de bord de suivi des activités de contrôle interne est-il mis en place et suivi régulièrement?</t>
  </si>
  <si>
    <t>Un tableau de bord de suivi des activités de contrôle interne est mis en place et suivi régulièrement.</t>
  </si>
  <si>
    <t>Vérifier que des mécanismes de suivi sont mis en place pour
 s’assurer que les responsables respectent leurs responsabilités en
 matière de contrôle interne et rendent compte de leur gestion</t>
  </si>
  <si>
    <t>Renforcer la surveillance proactive des processus pour détecter rapidement les dysfonctionnements</t>
  </si>
  <si>
    <t>Non-détection des dysfonctionnements en temps voulu</t>
  </si>
  <si>
    <t>Rapports d’analyse des activités de contrôle interne non exploités</t>
  </si>
  <si>
    <t>Plan de communication interne sur le contrôle interne</t>
  </si>
  <si>
    <t>Définir des indicateurs de suivi pour mesurer l’efficacité des contrôles internes</t>
  </si>
  <si>
    <t>Absence de visibilité sur l’efficacité des contrôles internes</t>
  </si>
  <si>
    <t>Absence d’un suivi efficace du contrôle interne via un tableau de bord</t>
  </si>
  <si>
    <t>Notes de service et procès-verbaux des réunions sur les responsabilités en contrôle interne</t>
  </si>
  <si>
    <t>Des communications régulières (réunions, notes de service) rappellent-elles les responsabilités des collaborateurs en matière de contrôle interne?</t>
  </si>
  <si>
    <t>Des communications régulières (réunions, notes de service) rappellent les responsabilités des collaborateurs en matière de contrôle interne.</t>
  </si>
  <si>
    <t>Établir un plan de communication clair sur les attentes en matière de contrôle interne</t>
  </si>
  <si>
    <t>Manque de communication sur les attentes en matière de contrôle interne</t>
  </si>
  <si>
    <t>Communication interne insuffisante sur les rôles de contrôle interne</t>
  </si>
  <si>
    <t>Historique des mises à jour des rôles et responsabilités</t>
  </si>
  <si>
    <t>Mettre en place un archivage structuré des ajustements organisationnels</t>
  </si>
  <si>
    <t>Perte d’historique des ajustements organisationnels</t>
  </si>
  <si>
    <t>Historique des mises à jour des rôles inexistant ou mal suivi</t>
  </si>
  <si>
    <t>Procédure formelle de mise à jour des responsabilités de contrôle interne</t>
  </si>
  <si>
    <t>Une procédure formelle de mise à jour des rôles et responsabilités en matière de contrôle interne est-elle en place?</t>
  </si>
  <si>
    <t>Une procédure formelle de mise à jour des rôles et responsabilités en matière de contrôle interne est en place.</t>
  </si>
  <si>
    <t>Établir un suivi rigoureux des responsabilités pour éviter les erreurs de contrôle</t>
  </si>
  <si>
    <t>Absence de suivi des responsabilités, entraînant des erreurs de contrôle</t>
  </si>
  <si>
    <t>Absence de processus formel de mise à jour des responsabilités de contrôle interne</t>
  </si>
  <si>
    <t>Règlement intérieur intégrant les exigences en contrôle interne</t>
  </si>
  <si>
    <t>Mettre à jour le règlement intérieur pour assurer sa conformité réglementaire</t>
  </si>
  <si>
    <t>Non-conformité du règlement intérieur aux exigences réglementaires</t>
  </si>
  <si>
    <t>Règlement intérieur ne prenant pas en compte les exigences de contrôle interne</t>
  </si>
  <si>
    <t>Modèle de contrat de travail incluant les responsabilités en contrôle interne</t>
  </si>
  <si>
    <t>Les responsabilités de contrôle interne sont-elles incluses dans les contrats de travail ou dans le règlement intérieur?</t>
  </si>
  <si>
    <t>Les responsabilités de contrôle interne sont incluses dans les contrats de travail ou dans le règlement intérieur.</t>
  </si>
  <si>
    <t>Rédiger des contrats précis pour éviter toute ambiguïté et limiter les litiges</t>
  </si>
  <si>
    <t>Ambiguïtés contractuelles entraînant des litiges</t>
  </si>
  <si>
    <t>Contrats de travail ne précisant pas clairement les responsabilités de contrôle interne</t>
  </si>
  <si>
    <t>Manuel des procédures précisant les rôles de contrôle interne</t>
  </si>
  <si>
    <t>Renforcer la formation et le suivi sur l’application des processus de contrôle</t>
  </si>
  <si>
    <t>Non-respect des processus de contrôle interne</t>
  </si>
  <si>
    <t>Manuel des procédures de contrôle interne non mis à jour</t>
  </si>
  <si>
    <t>Fiches de fonction incluant les responsabilités en contrôle interne</t>
  </si>
  <si>
    <t>Chaque poste dispose-t-il d’une fiche de fonction détaillant ses responsabilités en matière de contrôle interne?</t>
  </si>
  <si>
    <t>Chaque poste dispose d’une fiche de fonction détaillant ses responsabilités en matière de contrôle interne.</t>
  </si>
  <si>
    <t>Établir des fiches de responsabilité détaillées pour chaque acteur du contrôle</t>
  </si>
  <si>
    <t>Manque de clarté dans l’attribution des responsabilités de contrôle</t>
  </si>
  <si>
    <t>Fiches de fonction en contrôle interne incomplètes ou mal définies</t>
  </si>
  <si>
    <t>Portail interne avec accès aux responsabilités en contrôle interne</t>
  </si>
  <si>
    <t>Faciliter l’accès aux informations de contrôle interne par un portail centralisé</t>
  </si>
  <si>
    <t>Difficulté d’accès aux informations sur le contrôle interne</t>
  </si>
  <si>
    <t>Portail interne peu accessible ou contenant des informations erronées</t>
  </si>
  <si>
    <t>Organigramme fonctionnel des rôles et responsabilités en contrôle interne</t>
  </si>
  <si>
    <t>Un organigramme fonctionnel précisant les rôles et responsabilités en matière de contrôle interne est-il disponible et accessible à tous?</t>
  </si>
  <si>
    <t>Un organigramme fonctionnel précisant les rôles et responsabilités en matière de contrôle interne est disponible et accessible à tous.</t>
  </si>
  <si>
    <t>S’assurer que les responsabilités de chaque collaborateur en
 matière de contrôle interne sont clairement définies, documentées
 et communiquées à l’ensemble de l’organisation</t>
  </si>
  <si>
    <t>Spécification des objectifs appropriés</t>
  </si>
  <si>
    <t>Évaluation des Risques</t>
  </si>
  <si>
    <t>Clarifier et formaliser les rôles et responsabilités en contrôle interne</t>
  </si>
  <si>
    <t>Confusion sur les rôles et responsabilités en contrôle interne</t>
  </si>
  <si>
    <t>Organigramme fonctionnel mal défini ou obsolète</t>
  </si>
  <si>
    <t>Documentation des ajustements des politiques RH en fonction des évolutions du secteur</t>
  </si>
  <si>
    <t>Réaligner la politique RH avec les réalités du marché et les attentes des employés</t>
  </si>
  <si>
    <t>Décalage entre la politique RH et les réalités du secteur</t>
  </si>
  <si>
    <t>Politique RH non ajustée aux évolutions du secteur</t>
  </si>
  <si>
    <t>Rapports de veille RH sur les meilleures pratiques du secteur</t>
  </si>
  <si>
    <t>Une veille est-elle réalisée sur les meilleures pratiques du secteur pour assurer l’adéquation des politiques RH?</t>
  </si>
  <si>
    <t>Une veille est réalisée sur les meilleures pratiques du secteur pour assurer l’adéquation des politiques RH.</t>
  </si>
  <si>
    <t>Mettre en place des audits RH réguliers pour identifier les axes d’optimisation</t>
  </si>
  <si>
    <t>Perte d’opportunités d’optimisation des pratiques RH</t>
  </si>
  <si>
    <t>Veille RH inefficace ou non intégrée dans les décisions stratégiques</t>
  </si>
  <si>
    <t>Documents validant l’implication du Conseil dans la gestion des talents</t>
  </si>
  <si>
    <t>Sensibiliser et impliquer davantage le Conseil dans les décisions RH</t>
  </si>
  <si>
    <t>Faible engagement du Conseil dans les questions stratégiques RH</t>
  </si>
  <si>
    <t>Manque d’implication du Conseil d’Administration dans la gestion des talents</t>
  </si>
  <si>
    <t>Comptes rendus des réunions du Conseil d’Administration sur la gestion des talents</t>
  </si>
  <si>
    <t>Le Conseil d’Administration est-il impliqué dans la validation des stratégies de gestion des talents?</t>
  </si>
  <si>
    <t>Le Conseil d’Administration est impliqué dans la validation des stratégies de gestion des talents.</t>
  </si>
  <si>
    <t>Adapter les politiques RH aux évolutions du marché et aux tendances sectorielles</t>
  </si>
  <si>
    <t>Décisions RH non adaptées aux évolutions du marché</t>
  </si>
  <si>
    <t>Étude des évolutions du marché RH inexploitée ou inexacte</t>
  </si>
  <si>
    <t>Étude des évolutions du marché et besoins internes</t>
  </si>
  <si>
    <t>Mettre en place une gestion des talents proactive pour anticiper les besoins</t>
  </si>
  <si>
    <t>Gestion des talents inadéquate, entraînant des pertes de compétences</t>
  </si>
  <si>
    <t>Rapport d’analyse des talents incomplet ou biaisé</t>
  </si>
  <si>
    <t>Rapport d’analyse de la gestion des talents</t>
  </si>
  <si>
    <t>La gestion des talents est-elle régulièrement revue et adaptée en fonction des évolutions du marché et des besoins internes?</t>
  </si>
  <si>
    <t>La gestion des talents est régulièrement revue et adaptée en fonction des évolutions du marché et des besoins internes.</t>
  </si>
  <si>
    <t>Optimiser les outils de suivi des performances RH pour une meilleure gestion</t>
  </si>
  <si>
    <t>Pilotage inefficace des performances RH</t>
  </si>
  <si>
    <t>Tableau de bord RH mal conçu ou mal mis à jour</t>
  </si>
  <si>
    <t>Tableau de bord de suivi des KPI RH</t>
  </si>
  <si>
    <t>Définir des indicateurs RH pertinents et alignés avec les besoins stratégiques</t>
  </si>
  <si>
    <t>Mauvaise prise de décision RH due à des indicateurs non pertinents</t>
  </si>
  <si>
    <t>Indicateurs de performance RH non représentatifs des besoins réels</t>
  </si>
  <si>
    <t>Liste des indicateurs de performance RH (KPI)</t>
  </si>
  <si>
    <t>Des indicateurs de performance (KPI) sont-ils mis en place pour mesurer l’impact des politiques RH?</t>
  </si>
  <si>
    <t>Des indicateurs de performance (KPI) sont mis en place pour mesurer l’impact des politiques RH.</t>
  </si>
  <si>
    <t>Documentation des objectifs RH alignés avec la vision de l’organisation</t>
  </si>
  <si>
    <t>Aligner les pratiques RH avec la vision et les objectifs de l’organisation</t>
  </si>
  <si>
    <t>Difficulté à atteindre les objectifs stratégiques de l’organisation.</t>
  </si>
  <si>
    <t>Stratégie RH globale non alignée avec les besoins réels de l’organisation.</t>
  </si>
  <si>
    <t>Stratégie RH globale validée par la direction</t>
  </si>
  <si>
    <t>Une stratégie RH globale est-elle définie et alignée avec la vision et les objectifs de l’organisation?</t>
  </si>
  <si>
    <t>Une stratégie RH globale est définie et alignée avec la vision et les objectifs de l’organisation.</t>
  </si>
  <si>
    <t>S’assurer que les processus d’attraction, de formation et de
 fidélisation des talents sont alignés avec les objectifs stratégiques de
 l’organisation, en garantissant qu'ils contribuent à la performance
 globale</t>
  </si>
  <si>
    <t>Renforcer la communication interne sur la stratégie RH et ses objectifs</t>
  </si>
  <si>
    <t>Stratégie RH mal perçue par les employés et la direction.</t>
  </si>
  <si>
    <t>Plan d’ajustement des formations et carrières basé sur des données erronées.</t>
  </si>
  <si>
    <t>Plan d’ajustement des formations et opportunités de carrière</t>
  </si>
  <si>
    <t>Adapter les formations et accompagnements aux évolutions du marché</t>
  </si>
  <si>
    <t>Inefficacité des actions de formation et d’accompagnement.</t>
  </si>
  <si>
    <t>Résultats des évaluations de performance mal analysés ou non pris en compte.</t>
  </si>
  <si>
    <t>Analyse des résultats des évaluations de performance</t>
  </si>
  <si>
    <t>Les résultats des évaluations sont-ils utilisés pour ajuster les formations et les opportunités de carrière?</t>
  </si>
  <si>
    <t>Les résultats des évaluations sont utilisés pour ajuster les formations et les opportunités de carrière.</t>
  </si>
  <si>
    <t>Aligner la stratégie RH avec les besoins réels de développement des talents</t>
  </si>
  <si>
    <t>Stratégie de formation et d’évolution mal ajustée.</t>
  </si>
  <si>
    <t>Outil de suivi des performances individuelles non exploité ou mal conçu.</t>
  </si>
  <si>
    <t>Outil de suivi des performances individuelles</t>
  </si>
  <si>
    <t>Former les évaluateurs à des méthodes objectives et transparentes</t>
  </si>
  <si>
    <t>Évaluations biaisées menant à des décisions injustes.</t>
  </si>
  <si>
    <t>Système de notation des performances biaisé ou non standardisé.</t>
  </si>
  <si>
    <t>Système de notation ou feedback des performances</t>
  </si>
  <si>
    <t>Un système de notation ou de feedback est-il mis en place pour suivre l’évolution des performances individuelles?</t>
  </si>
  <si>
    <t>Un système de notation ou de feedback est mis en place pour suivre l’évolution des performances individuelles.</t>
  </si>
  <si>
    <t>Mettre en place un suivi continu et individualisé des collaborateurs</t>
  </si>
  <si>
    <t>Difficulté à suivre l’évolution des collaborateurs.</t>
  </si>
  <si>
    <t>Processus de suivi des plans de développement inefficace ou inexistant.</t>
  </si>
  <si>
    <t>Processus documenté de suivi des plans de développement</t>
  </si>
  <si>
    <t>Personnaliser les plans de développement en fonction des besoins individuels</t>
  </si>
  <si>
    <t>Plans de développement mal adaptés aux besoins individuels.</t>
  </si>
  <si>
    <t>Plan de développement personnalisé mal adapté aux besoins individuels.</t>
  </si>
  <si>
    <t>Modèle de plan de développement personnalisé</t>
  </si>
  <si>
    <t>Chaque évaluation inclut-elle un plan de développement personnalisé pour aider les collaborateurs à progresser?</t>
  </si>
  <si>
    <t>Chaque évaluation inclut un plan de développement personnalisé pour aider les collaborateurs à progresser.</t>
  </si>
  <si>
    <t>Clarifier les attentes en matière de performance pour chaque poste</t>
  </si>
  <si>
    <t>Mauvaise compréhension des attentes en termes de performance.</t>
  </si>
  <si>
    <t>Communication interne sur les critères d’évaluation insuffisante ou ambiguë.</t>
  </si>
  <si>
    <t>Communication interne sur les critères d’évaluation</t>
  </si>
  <si>
    <t>Définir des indicateurs de performance alignés avec les attentes stratégiques</t>
  </si>
  <si>
    <t>Critères de performance jugés incohérents ou peu adaptés.</t>
  </si>
  <si>
    <t>Grille des critères d’évaluation non objective ou mal appliquée.</t>
  </si>
  <si>
    <t>Grille des critères d’évaluation de la performance</t>
  </si>
  <si>
    <t>Les critères d’évaluation sont-ils définis et communiqués aux collaborateurs pour assurer la transparence?</t>
  </si>
  <si>
    <t>Les critères d’évaluation sont définis et communiqués aux collaborateurs pour assurer la transparence.</t>
  </si>
  <si>
    <t>Établir des critères d’évaluation clairs et partagés pour garantir l’équité</t>
  </si>
  <si>
    <t>Évaluations perçues comme injustes ou subjectives.</t>
  </si>
  <si>
    <t>Formulaire d’évaluation de la performance mal conçu ou subjectif.</t>
  </si>
  <si>
    <t>Modèle de formulaire d’évaluation de la performance</t>
  </si>
  <si>
    <t>Utiliser des données objectives pour guider les décisions RH</t>
  </si>
  <si>
    <t>Prise de décision RH mal éclairée sur les évaluations annuelles.</t>
  </si>
  <si>
    <t>Rapport annuel des entretiens d’évaluation mal consolidé.</t>
  </si>
  <si>
    <t>Rapport annuel des entretiens d’évaluation</t>
  </si>
  <si>
    <t>Des entretiens d’évaluation de la performance sont-ils réalisés au moins une fois par an?</t>
  </si>
  <si>
    <t>Des entretiens d’évaluation de la performance sont réalisés au moins une fois par an.</t>
  </si>
  <si>
    <t>Vérifier que des évaluations régulières de la performance des
 collaborateurs sont menées, avec des retours constructifs et des
 opportunités de développement, afin d’assurer leur progression
 professionnelle</t>
  </si>
  <si>
    <t>Améliorer la communication interne sur les opportunités de carrière</t>
  </si>
  <si>
    <t>Opportunités professionnelles méconnues ou sous-exploitées.</t>
  </si>
  <si>
    <t>Opportunités d’évolution professionnelle non communiquées ou limitées.</t>
  </si>
  <si>
    <t>Liste des opportunités d’évolution professionnelle disponibles</t>
  </si>
  <si>
    <t>Encourager et faciliter la mobilité interne par des parcours structurés</t>
  </si>
  <si>
    <t>Mobilité interne limitée, freinant l’évolution des talents.</t>
  </si>
  <si>
    <t>Processus de mobilité interne mal défini ou peu accessible.</t>
  </si>
  <si>
    <t>Processus de mobilité interne</t>
  </si>
  <si>
    <t>Les collaborateurs bénéficient-ils d’opportunités de mobilité interne et d’évolution professionnelle?</t>
  </si>
  <si>
    <t>Les collaborateurs bénéficient d’opportunités de mobilité interne et d’évolution professionnelle</t>
  </si>
  <si>
    <t>Développer des programmes de rétention pour les talents clés</t>
  </si>
  <si>
    <t>Difficulté à retenir les talents clés.</t>
  </si>
  <si>
    <t>Analyse des causes des départs des employés incomplète ou ignorée.</t>
  </si>
  <si>
    <t>Rapports d’analyse des causes des départs</t>
  </si>
  <si>
    <t>Mettre en place une stratégie proactive pour anticiper et limiter les départs</t>
  </si>
  <si>
    <t>Augmentation du taux de départs non anticipé.</t>
  </si>
  <si>
    <t>Suivi du taux de turnover inexact ou insuffisamment analysé.</t>
  </si>
  <si>
    <t>Suivi et analyse du taux de turnover</t>
  </si>
  <si>
    <t>Un suivi des taux de turnover est-il effectué et analysé afin d’identifier les causes des départs?</t>
  </si>
  <si>
    <t>Un suivi des taux de turnover est effectué et analysé afin d’identifier les causes des départs.</t>
  </si>
  <si>
    <t>Adapter les plans d’action RH aux besoins réels des employés et de l’entreprise</t>
  </si>
  <si>
    <t>Plans d’action RH inefficaces ou inadaptés.</t>
  </si>
  <si>
    <t>Plan d’action RH basé sur des retours d’enquête insuffisants ou mal interprétés.</t>
  </si>
  <si>
    <t>Plan d’action RH basé sur les retours des enquêtes</t>
  </si>
  <si>
    <t>Améliorer la transparence et la communication sur les actions RH</t>
  </si>
  <si>
    <t>Perte de confiance des employés dans la gestion RH.</t>
  </si>
  <si>
    <t>Enquêtes de satisfaction et d’engagement des employés mal réalisées ou biaisées.</t>
  </si>
  <si>
    <t>Résultats des enquêtes de satisfaction et d’engagement des employés</t>
  </si>
  <si>
    <t>L’organisation réalise-t-elle des enquêtes de satisfaction et d’engagement des employés pour ajuster ses politiques RH?</t>
  </si>
  <si>
    <t>L’organisation réalise des enquêtes de satisfaction et d’engagement des employés pour ajuster ses politiques RH.</t>
  </si>
  <si>
    <t>Valoriser les réussites et contributions des employés de manière formelle</t>
  </si>
  <si>
    <t>Frustration due à un manque de reconnaissance.</t>
  </si>
  <si>
    <t>Critères d’attribution des primes et promotions peu transparents.</t>
  </si>
  <si>
    <t>Grille des critères pour l’attribution des primes et promotions</t>
  </si>
  <si>
    <t>Renforcer la motivation par des actions de reconnaissance et d’engagement</t>
  </si>
  <si>
    <t>Démotivation et baisse de l’engagement des employés.</t>
  </si>
  <si>
    <t>Politique de reconnaissance des employés inéquitable ou mal communiquée.</t>
  </si>
  <si>
    <t>Politique de reconnaissance des employés</t>
  </si>
  <si>
    <t>Des dispositifs de reconnaissance (primes, promotions, avantages) existent-ils et sont-ils accessibles selon des critères transparents?</t>
  </si>
  <si>
    <t>Des dispositifs de reconnaissance (primes, promotions, avantages) existent et sont accessibles selon des critères transparents.</t>
  </si>
  <si>
    <t>Aligner les opportunités de carrière avec les attentes des collaborateurs</t>
  </si>
  <si>
    <t>Insatisfaction des collaborateurs face aux perspectives de carrière.</t>
  </si>
  <si>
    <t>Procédure de mise à jour des plans de carrière mal définie.</t>
  </si>
  <si>
    <t>Procédure de mise à jour des plans de carrière</t>
  </si>
  <si>
    <t>Mettre en place des parcours de formation favorisant l’évolution professionnelle</t>
  </si>
  <si>
    <t>Stagnation professionnelle des employés.</t>
  </si>
  <si>
    <t>Plan de développement de carrière non structuré ou inégalement appliqué.</t>
  </si>
  <si>
    <t>Plan de développement de carrière des employés</t>
  </si>
  <si>
    <t>Un plan de développement de carrière est-il défini pour chaque employé et mis à jour régulièrement?</t>
  </si>
  <si>
    <t>Un plan de développement de carrière est défini pour chaque employé et mis à jour régulièrement.</t>
  </si>
  <si>
    <t>S’assurer que des mécanismes de fidélisation des talents sont en
 place, tels que des parcours de carrière, des avantages compétitifs
 et des opportunités de développement personnel, pour encourager
 les collaborateurs à rester au sein de l’organisation</t>
  </si>
  <si>
    <t>Établir un processus d’analyse continue des besoins en formation</t>
  </si>
  <si>
    <t>Difficulté à identifier les améliorations nécessaires.</t>
  </si>
  <si>
    <t>Analyse des impacts des formations sur les compétences inexistante ou insuffisante.</t>
  </si>
  <si>
    <t>Analyse des impacts des formations sur les compétences</t>
  </si>
  <si>
    <t>Définir des indicateurs d’évaluation pour mesurer l’impact des formations</t>
  </si>
  <si>
    <t>Investissement en formation sans mesure d’impact.</t>
  </si>
  <si>
    <t>Rapports d’évaluation post-formation non exploités.</t>
  </si>
  <si>
    <t>Rapports d’évaluation post-formation</t>
  </si>
  <si>
    <t>Des évaluations post-formation sont-elles réalisées pour mesurer l’impact des formations sur les compétences des employés?</t>
  </si>
  <si>
    <t>Des évaluations post-formation sont réalisées pour mesurer l’impact des formations sur les compétences des employés.</t>
  </si>
  <si>
    <t>Garantir la conformité des attestations aux standards professionnels</t>
  </si>
  <si>
    <t>Attestations non conformes aux standards professionnels.</t>
  </si>
  <si>
    <t>Modèle d’attestation non standardisé ou mal délivré.</t>
  </si>
  <si>
    <t>Modèle d’attestation délivrée aux participants</t>
  </si>
  <si>
    <t>Mettre en place un système de suivi des formations centralisé et accessible</t>
  </si>
  <si>
    <t>Manque de visibilité sur l’historique des formations suivies.</t>
  </si>
  <si>
    <t>Registre des participations aux formations inexact ou incomplet.</t>
  </si>
  <si>
    <t>Registre de suivi des participations aux formations</t>
  </si>
  <si>
    <t>La participation aux formations est-elle suivie et des attestations sont délivrées pour garantir la conformité?</t>
  </si>
  <si>
    <t>La participation aux formations est suivie et des attestations sont délivrées pour garantir la conformité.</t>
  </si>
  <si>
    <t>Clarifier et communiquer régulièrement sur l’offre de formation disponible</t>
  </si>
  <si>
    <t>Confusion sur l’offre de formation disponible.</t>
  </si>
  <si>
    <t>Guide d’accès aux formations non mis à jour ou mal communiqué.</t>
  </si>
  <si>
    <t>Guide d’accès aux formations disponibles</t>
  </si>
  <si>
    <t>Faciliter l’accès aux formations pour garantir l’égalité des chances</t>
  </si>
  <si>
    <t>Difficultés d’accès à la formation pour les employés.</t>
  </si>
  <si>
    <t>Dysfonctionnements ou accessibilité limitée de la plateforme de formation.</t>
  </si>
  <si>
    <t>Plateforme de formation en ligne et en présentiel</t>
  </si>
  <si>
    <t>Les collaborateurs ont-ils accès à des formations adaptées à leur poste via des plateformes en ligne ou en présentiel?</t>
  </si>
  <si>
    <t>Les collaborateurs ont accès à des formations adaptées à leur poste via des plateformes en ligne ou en présentiel.</t>
  </si>
  <si>
    <t>Mettre en place un suivi rigoureux pour évaluer l’impact des formations</t>
  </si>
  <si>
    <t>Suivi des formations difficile ou erroné.</t>
  </si>
  <si>
    <t>Outil de suivi des formations inefficace ou non utilisé.</t>
  </si>
  <si>
    <t>Outil de suivi des formations obligatoires par collaborateur</t>
  </si>
  <si>
    <t>Assurer une conformité stricte aux obligations légales en matière de formation</t>
  </si>
  <si>
    <t>Non-respect des obligations légales en matière de formation.</t>
  </si>
  <si>
    <t>Catalogue des formations obligatoires mal défini ou non mis à jour.</t>
  </si>
  <si>
    <t>Catalogue des formations obligatoires</t>
  </si>
  <si>
    <t>Les formations obligatoires sont-elles identifiées et suivies par l’ensemble des collaborateurs concernés?</t>
  </si>
  <si>
    <t>Les formations obligatoires sont identifiées et suivies par l’ensemble des collaborateurs concernés.</t>
  </si>
  <si>
    <t>Aligner les formations avec les objectifs stratégiques de l’organisation</t>
  </si>
  <si>
    <t>Désalignement entre formation et besoins stratégiques.</t>
  </si>
  <si>
    <t>Liste des formations stratégiques incomplète ou obsolète.</t>
  </si>
  <si>
    <t>Liste des formations stratégiques alignées sur les objectifs de l’organisation</t>
  </si>
  <si>
    <t>Mettre en place des plans de formation adaptés aux besoins des employés</t>
  </si>
  <si>
    <t>Faible montée en compétence des employés.</t>
  </si>
  <si>
    <t>Plan de formation non aligné avec la stratégie de l’organisation.</t>
  </si>
  <si>
    <t>Plan de formation annuel validé par la direction</t>
  </si>
  <si>
    <t>Un plan de formation annuel est-il défini et validé par la direction en fonction des besoins stratégiques?</t>
  </si>
  <si>
    <t>Un plan de formation annuel est défini et validé par la direction en fonction des besoins stratégiques.</t>
  </si>
  <si>
    <t>Vérifier que l’organisation met en place des programmes de
 formation continue pour ses collaborateurs, en particulier dans les
 domaines stratégiques comme la gestion des systèmes
 d'information et la cybersécurité</t>
  </si>
  <si>
    <t>Développer des KPIs pour mesurer la performance des nouvelles recrues</t>
  </si>
  <si>
    <t>Indicateurs de performance des nouvelles recrues inexistants ou inexploitables.</t>
  </si>
  <si>
    <t>Indicateurs de performance des nouvelles recrues</t>
  </si>
  <si>
    <t>Suivre et accompagner les nouvelles recrues pour garantir leur intégration</t>
  </si>
  <si>
    <t>Suivi de l’intégration des nouvelles recrues déficient.</t>
  </si>
  <si>
    <t>Suivi de la qualité des nouvelles recrues</t>
  </si>
  <si>
    <t>Un suivi est-il réalisé sur la qualité des nouvelles recrues en termes de performance et d’adéquation avec les besoins de l’organisation?</t>
  </si>
  <si>
    <t>Un suivi est réalisé sur la qualité des nouvelles recrues en termes de performance et d’adéquation avec les besoins de l’organisation.</t>
  </si>
  <si>
    <t>Définir des indicateurs de performance pour évaluer la qualité du recrutement</t>
  </si>
  <si>
    <t>Évaluation de l’efficacité du recrutement absente ou insuffisante.</t>
  </si>
  <si>
    <t>Rapports d’évaluation de l’efficacité du recrutement</t>
  </si>
  <si>
    <t>Réaliser régulièrement des audits sur l’efficacité du processus de recrutement</t>
  </si>
  <si>
    <t>Audit du processus de recrutement inexistant ou inefficace.</t>
  </si>
  <si>
    <t>Processus documenté d’audit du recrutement</t>
  </si>
  <si>
    <t>Le processus de recrutement est-il documenté et audité régulièrement pour garantir son efficacité?</t>
  </si>
  <si>
    <t>Le processus de recrutement est documenté et audité régulièrement pour garantir son efficacité.</t>
  </si>
  <si>
    <t>Formaliser des accords avec les partenaires pour structurer les recrutements</t>
  </si>
  <si>
    <t>Absence d’accords formels avec les partenaires de recrutement.</t>
  </si>
  <si>
    <t>Convention ou accord cadre avec les partenaires de recrutement</t>
  </si>
  <si>
    <t>Développer des partenariats stratégiques pour élargir les opportunités de recrutement</t>
  </si>
  <si>
    <t>Manque de partenariats stratégiques pour le recrutement.</t>
  </si>
  <si>
    <t>Liste des partenariats avec des établissements de formation et plateformes de recrutement</t>
  </si>
  <si>
    <t>Des partenariats existent-ils avec des établissements de formation ou des plateformes spécialisées pour attirer les talents?</t>
  </si>
  <si>
    <t>Des partenariats existent avec des établissements de formation ou des plateformes spécialisées pour attirer les talents.</t>
  </si>
  <si>
    <t>Mettre en place une méthodologie rigoureuse pour évaluer les compétences des candidats</t>
  </si>
  <si>
    <t>Évaluation des compétences des candidats non fiable.</t>
  </si>
  <si>
    <t>Grille d’évaluation des compétences et guide des entretiens</t>
  </si>
  <si>
    <t>Standardiser et encadrer les processus de recrutement</t>
  </si>
  <si>
    <t>Processus de recrutement non standardisé ou inégalitaire.</t>
  </si>
  <si>
    <t>Processus standardisé de recrutement</t>
  </si>
  <si>
    <t>Chaque recrutement suit-il un processus standardisé incluant des évaluations de compétences et des entretiens structurés?</t>
  </si>
  <si>
    <t>Chaque recrutement suit un processus standardisé incluant des évaluations de compétences et des entretiens structurés.</t>
  </si>
  <si>
    <t>Définir des critères clairs et objectifs pour la sélection des candidats</t>
  </si>
  <si>
    <t>Critères de sélection des candidats mal définis.</t>
  </si>
  <si>
    <t>Documentation précisant les critères de sélection des candidats</t>
  </si>
  <si>
    <t>Réviser et adapter régulièrement la politique de recrutement aux besoins réels</t>
  </si>
  <si>
    <t>Politique de recrutement inadaptée ou obsolète.</t>
  </si>
  <si>
    <t>Politique de recrutement officielle</t>
  </si>
  <si>
    <t>L’organisation dispose-elle d’une politique de recrutement officielle précisant les critères de sélection des candidats?</t>
  </si>
  <si>
    <t>L’organisation dispose d’une politique de recrutement officielle précisant les critères de sélection des candidats.</t>
  </si>
  <si>
    <t>S’assurer que l’organisation dispose de processus clairs et
 formalisés pour attirer des talents qualifiés dans les domaines
 nécessaires à son fonctionnement, y compris pour les systèmes
 d’information</t>
  </si>
  <si>
    <t>Compétences des individus</t>
  </si>
  <si>
    <t>Maintenir une liste à jour et fiable des parties prenantes concernées</t>
  </si>
  <si>
    <t>Liste des parties prenantes informées incomplète ou erronée.</t>
  </si>
  <si>
    <t>Liste des parties prenantes informées lors des modifications</t>
  </si>
  <si>
    <t>Assurer une notification systématique des modifications aux parties prenantes</t>
  </si>
  <si>
    <t>Notification des modifications aux parties prenantes défaillante.</t>
  </si>
  <si>
    <t>Procédure de notification des modifications de structure aux parties prenantes</t>
  </si>
  <si>
    <t>Les modifications de structure sont-elles notifiées aux parties prenantes concernées?</t>
  </si>
  <si>
    <t>Les modifications de structure sont notifiées aux parties prenantes concernées</t>
  </si>
  <si>
    <t>Mettre en place un calendrier strict de mise à jour des documents</t>
  </si>
  <si>
    <t>Non-respect des délais de mise à jour des documents.</t>
  </si>
  <si>
    <t>Rapports de conformité sur la mise à jour des documents</t>
  </si>
  <si>
    <t>Renforcer le contrôle des documents organisationnels pour garantir leur fiabilité</t>
  </si>
  <si>
    <t>Contrôle des documents organisationnels insuffisant.</t>
  </si>
  <si>
    <t>Plan de contrôle régulier des documents organisationnels</t>
  </si>
  <si>
    <t>Des contrôles réguliers sont-ils effectués pour s'assurer que les documents sont à jour ?</t>
  </si>
  <si>
    <t>Des contrôles réguliers sont effectués pour s'assurer que les documents sont à jour</t>
  </si>
  <si>
    <t>Instaurer un système d’archivage conforme aux normes en vigueur</t>
  </si>
  <si>
    <t>Archivage des documents mal géré ou non conforme.</t>
  </si>
  <si>
    <t>Procédure de gestion et d’archivage des documents</t>
  </si>
  <si>
    <t>Définir une politique claire et rigoureuse de conservation des documents</t>
  </si>
  <si>
    <t>Conservation des documents organisationnels non maîtrisée.</t>
  </si>
  <si>
    <t>Politique de conservation des documents organisationnels</t>
  </si>
  <si>
    <t>Une politique de conservation des documents organisationnels est-elle définie et appliquée?</t>
  </si>
  <si>
    <t>Une politique de conservation des documents organisationnels est définie et appliquée</t>
  </si>
  <si>
    <t>Justifier et documenter chaque décision de modification structurelle</t>
  </si>
  <si>
    <t>Décisions de modification de structure non justifiées.</t>
  </si>
  <si>
    <t>Documentation des motifs et décisions associées aux modifications</t>
  </si>
  <si>
    <t>Mettre en place un suivi rigoureux des modifications structurelles</t>
  </si>
  <si>
    <t>Historique des modifications structurelles mal tenu.</t>
  </si>
  <si>
    <t>Registre des modifications structurelles archivées</t>
  </si>
  <si>
    <t>Toute modification est-elle archivée avec les motifs et décisions associées ?</t>
  </si>
  <si>
    <t>Toute modification est archivée avec les motifs et décisions associées</t>
  </si>
  <si>
    <t>Établir un accès sécurisé et encadré aux documents organisationnels</t>
  </si>
  <si>
    <t>Accès aux documents organisationnels restreint ou non encadré.</t>
  </si>
  <si>
    <t>Procédure d’accès aux documents organisationnels</t>
  </si>
  <si>
    <t>Centraliser et organiser efficacement les documents organisationnels</t>
  </si>
  <si>
    <t>Documents organisationnels mal centralisés ou dispersés.</t>
  </si>
  <si>
    <t>Référentiel des documents organisationnels centralisés</t>
  </si>
  <si>
    <t>Les documents organisationnels sont-ils centralisés et accessibles ?</t>
  </si>
  <si>
    <t>Les documents organisationnels sont centralisés et accessibles</t>
  </si>
  <si>
    <t>Vérifier que les structures, les rattachements et les responsabilités
 sont clairement documentés et accessibles pour consultation,
 garantissant une traçabilité des décisions organisationnelles</t>
  </si>
  <si>
    <t>Optimiser les supports et méthodes de communication organisationnelle</t>
  </si>
  <si>
    <t>Communications organisationnelles peu efficaces ou ambiguës.</t>
  </si>
  <si>
    <t>Audit de la clarté et de l’efficacité des communications organisationnelles</t>
  </si>
  <si>
    <t>Structurer un plan de communication interne cohérent et efficace</t>
  </si>
  <si>
    <t>Plan de communication interne mal structuré.</t>
  </si>
  <si>
    <t>Plan de communication interne sur la structure organisationnelle</t>
  </si>
  <si>
    <t>La clarté de la communication sur la structure est-elle réalisée?</t>
  </si>
  <si>
    <t>La clarté de la communication sur la structure est réalisée</t>
  </si>
  <si>
    <t>Aligner la politique RH avec la stratégie et les évolutions organisationnelles</t>
  </si>
  <si>
    <t>Politique RH non alignée avec les besoins organisationnels.</t>
  </si>
  <si>
    <t>Politique interne définissant le rôle des référents RH</t>
  </si>
  <si>
    <t>Clarifier les missions et les responsabilités des référents RH</t>
  </si>
  <si>
    <t>Manque de clarté sur les rôles des référents RH.</t>
  </si>
  <si>
    <t>Liste des référents RH désignés pour la structure organisationnelle</t>
  </si>
  <si>
    <t>Un référent RH est-il désigné pour répondre aux questions sur la structure organisationnelle ?</t>
  </si>
  <si>
    <t>Un référent RH est désigné pour répondre aux questions sur la structure organisationnelle</t>
  </si>
  <si>
    <t>Augmenter l’attractivité des sessions de sensibilisation pour garantir la participation</t>
  </si>
  <si>
    <t>Faible participation aux sessions de sensibilisation.</t>
  </si>
  <si>
    <t>Rapports de participation aux sessions de sensibilisation</t>
  </si>
  <si>
    <t>Renforcer les campagnes de sensibilisation sur les changements organisationnels</t>
  </si>
  <si>
    <t>Sensibilisation aux changements organisationnels insuffisante.</t>
  </si>
  <si>
    <t>Programme des sessions de sensibilisation sur les changements organisationnels</t>
  </si>
  <si>
    <t>Des sessions de sensibilisation sont-elles organisées pour expliquer les changements et responsabilités?</t>
  </si>
  <si>
    <t>Des sessions de sensibilisation sont organisées pour expliquer les changements et responsabilités</t>
  </si>
  <si>
    <t>Adapter les messages de communication interne aux différents publics</t>
  </si>
  <si>
    <t>Messages de communication interne inadaptés ou mal diffusés.</t>
  </si>
  <si>
    <t>Exemples de communications internes diffusées lors des changements</t>
  </si>
  <si>
    <t>Améliorer les canaux de communication pour diffuser les mises à jour organisationnelles</t>
  </si>
  <si>
    <t>Communication interne des mises à jour organisationnelles inefficace.</t>
  </si>
  <si>
    <t>Procédure de communication interne des mises à jour organisationnelles</t>
  </si>
  <si>
    <t>Une communication interne est-elle diffusée à chaque mise à jour de la structure organisationnelle?</t>
  </si>
  <si>
    <t>Une communication interne est diffusée à chaque mise à jour de la structure organisationnelle</t>
  </si>
  <si>
    <t>Veiller à ce que le portail interne reflète fidèlement la structure actuelle</t>
  </si>
  <si>
    <t>Portail interne ne reflétant pas la structure actuelle.</t>
  </si>
  <si>
    <t>Portail interne ou support officiel contenant l’organigramme</t>
  </si>
  <si>
    <t>Assurer une mise à jour régulière et précise de l’organigramme</t>
  </si>
  <si>
    <t>Organigramme non mis à jour ou incohérent.</t>
  </si>
  <si>
    <t>Organigramme officiel de la structure organisationnelle</t>
  </si>
  <si>
    <t>L'organigramme de la structure organisationnelle est-elle accessible à tous les collaborateurs via un portail interne ou tout autre support officiel?</t>
  </si>
  <si>
    <t>L'organigramme de la structure organisationnelle est accessible à tous les collaborateurs via un portail interne ou tout autre support officiel</t>
  </si>
  <si>
    <t>S’assurer que des mécanismes sont en place pour communiquer la
 structure organisationnelle à tous les collaborateurs, afin qu'ils
 comprennent clairement leurs rôles et leurs responsabilités</t>
  </si>
  <si>
    <t>Développer des indicateurs pour mesurer l’efficacité des nouvelles structures</t>
  </si>
  <si>
    <t>Difficulté à mesurer l’efficacité des nouvelles structures</t>
  </si>
  <si>
    <t>Suivi des impacts des changements sur la performance insuffisant</t>
  </si>
  <si>
    <t>Tableaux de bord des impacts des changements sur la performance</t>
  </si>
  <si>
    <t>Évaluer systématiquement la pertinence des changements avant leur mise en œuvre</t>
  </si>
  <si>
    <t>Absence d’évaluation de la pertinence des changements</t>
  </si>
  <si>
    <t>Indicateurs de performance des changements non définis</t>
  </si>
  <si>
    <t>Indicateurs de performance des changements organisationnels</t>
  </si>
  <si>
    <t>Des indicateurs de performance évaluent-ils les impacts des changements effectués?</t>
  </si>
  <si>
    <t>Des indicateurs de performance évaluent les impacts des changements effectués</t>
  </si>
  <si>
    <t>Renforcer la traçabilité des décisions organisationnelles</t>
  </si>
  <si>
    <t>Détérioration de la traçabilité des décisions organisationnelles</t>
  </si>
  <si>
    <t>Absence de procédure d’archivage des documents de justification</t>
  </si>
  <si>
    <t>Procédure d’archivage et d’accès aux documents justifiant les évolutions</t>
  </si>
  <si>
    <t>Mettre en place un système de surveillance des décisions du Conseil</t>
  </si>
  <si>
    <t>Manque de contrôle et de surveillance par le Conseil</t>
  </si>
  <si>
    <t>Accès limité du Conseil aux documents de justification des changements</t>
  </si>
  <si>
    <t>Accès direct du Conseil aux documents de justification des changements</t>
  </si>
  <si>
    <t>le Conseil dispose-t-il d'un accès direct aux documents justifiants l'évolution organisationnelle?</t>
  </si>
  <si>
    <t>le Conseil dispose d'un accès direct aux documents justifiants l'évolution organisationnelle</t>
  </si>
  <si>
    <t>Renforcer les mécanismes de contrôle des décisions</t>
  </si>
  <si>
    <t>Risques accrus d’arbitraire dans les décisions</t>
  </si>
  <si>
    <t>Documentation des justifications incomplète ou inexistante</t>
  </si>
  <si>
    <t>Documentation des justifications des changements avant validation</t>
  </si>
  <si>
    <t>Justifier chaque modification structurelle par des analyses précises</t>
  </si>
  <si>
    <t>Modifications non justifiées pouvant fragiliser l’organisation</t>
  </si>
  <si>
    <t>Justification des modifications organisationnelles absente ou insuffisante</t>
  </si>
  <si>
    <t>Mécanisme de justification des modifications organisationnelles</t>
  </si>
  <si>
    <t>Un mécanisme de justification des modifications est-il en place avant l'approbation?</t>
  </si>
  <si>
    <t>Un mécanisme de justification des modifications est en place avant l'approbation</t>
  </si>
  <si>
    <t>Assurer un archivage structuré et accessible des évolutions organisationnelles</t>
  </si>
  <si>
    <t>Perte d’historique des évolutions organisationnelles</t>
  </si>
  <si>
    <t>Registre des modifications organisationnelles non mis à jour</t>
  </si>
  <si>
    <t>Registre des modifications organisationnelles</t>
  </si>
  <si>
    <t>Aligner les décisions stratégiques avec les changements réalisés</t>
  </si>
  <si>
    <t>Désalignement entre les changements réalisés et les décisions validées</t>
  </si>
  <si>
    <t>Liste des changements approuvés incomplète ou erronée</t>
  </si>
  <si>
    <t>Liste actualisée des changements approuvés</t>
  </si>
  <si>
    <t>Une liste des changements approuvés est-elle tenue et mise à jour?</t>
  </si>
  <si>
    <t>Une liste des changements approuvés est tenue et mise à jour</t>
  </si>
  <si>
    <t>Centraliser et sécuriser l’accès aux informations stratégiques</t>
  </si>
  <si>
    <t>Perte d’informations essentielles pour la prise de décision stratégique</t>
  </si>
  <si>
    <t>Discussions du Conseil sur les changements non documentées</t>
  </si>
  <si>
    <t>Compte-rendu des discussions du Conseil sur les changements</t>
  </si>
  <si>
    <t>Renforcer la transparence et le reporting envers le Conseil d’administration</t>
  </si>
  <si>
    <t>Manque de transparence envers le Conseil d’administration</t>
  </si>
  <si>
    <t>Modifications organisationnelles non présentées au Conseil</t>
  </si>
  <si>
    <t>Présentation officielle des modifications organisationnelles au Conseil</t>
  </si>
  <si>
    <t>Toute modification de la structure fait-elle l'objet d'une présentation officielle au Conseil?</t>
  </si>
  <si>
    <t>Toute modification de la structure fait l'objet d'une présentation officielle au Conseil</t>
  </si>
  <si>
    <t>Vérifier que le management reçoit l’approbation du Conseil pour les
 modifications de la structure organisationnelle, afin d’assurer une
 supervision adéquate des changements importants</t>
  </si>
  <si>
    <t>Mettre en place un plan de gestion des échecs pour réagir rapidement</t>
  </si>
  <si>
    <t>Faible réactivité en cas d’échec d’un changement</t>
  </si>
  <si>
    <t>Absence d’analyse des performances après un changement</t>
  </si>
  <si>
    <t>Rapports d’analyse des performances après changement</t>
  </si>
  <si>
    <t>Évaluer les impacts des changements sur la productivité et la cohésion</t>
  </si>
  <si>
    <t>Impact négatif des changements sur la productivité et la cohésion</t>
  </si>
  <si>
    <t>Évaluation post-changement inexistante ou inadaptée</t>
  </si>
  <si>
    <t>Évaluations post-changement des impacts organisationnels</t>
  </si>
  <si>
    <t>Des évaluations post-changement mesurent-elles l'impact de ceux-ci sur l'efficacité organisationnelle?</t>
  </si>
  <si>
    <t>Des évaluations post-changement mesurent l'impact de ceux-ci sur l'efficacité organisationnelle</t>
  </si>
  <si>
    <t>Mettre en place une communication proactive et transparente sur les changements</t>
  </si>
  <si>
    <t>Communication inefficace entraînant des rumeurs et incertitudes</t>
  </si>
  <si>
    <t>Diffusion des informations sur les changements incomplète ou retardée</t>
  </si>
  <si>
    <t>Rapports de diffusion des informations sur les changements</t>
  </si>
  <si>
    <t>Accompagner les employés dans le changement avec des formations adaptées</t>
  </si>
  <si>
    <t>Résistance des employés face aux changements</t>
  </si>
  <si>
    <t>Communication des changements aux collaborateurs inefficace</t>
  </si>
  <si>
    <t>Procédure de communication des changements aux collaborateurs</t>
  </si>
  <si>
    <t>Les collaborateurs sont-ils informés rapidement des changements dans la structure?</t>
  </si>
  <si>
    <t>Les collaborateurs sont informés rapidement des changements dans la structure</t>
  </si>
  <si>
    <t>Assurer une conformité continue aux exigences légales et réglementaires</t>
  </si>
  <si>
    <t>Non-conformité légale et risques juridiques</t>
  </si>
  <si>
    <t>Analyse d’impact des évolutions non réalisée ou insuffisante</t>
  </si>
  <si>
    <t>Rapports d’analyse d’impact des évolutions sur l’organisation</t>
  </si>
  <si>
    <t>Mettre en place un dispositif de veille réglementaire pour anticiper les risques</t>
  </si>
  <si>
    <t>Mauvaise anticipation des risques liés aux nouvelles réglementations</t>
  </si>
  <si>
    <t>Manque de veille sur les évolutions réglementaires et économiques</t>
  </si>
  <si>
    <t>Veille stratégique sur les évolutions réglementaires et économiques</t>
  </si>
  <si>
    <t>Une veille stratégique est-elle menée pour adapter la structure aux évolutions réglementaires et économiques?</t>
  </si>
  <si>
    <t>Une veille stratégique est menée pour adapter la structure aux évolutions réglementaires et économiques</t>
  </si>
  <si>
    <t>Mettre en place un suivi détaillé des évolutions structurelles</t>
  </si>
  <si>
    <t>Perte de traçabilité des évolutions structurelles</t>
  </si>
  <si>
    <t>Absence de traçabilité des changements validés</t>
  </si>
  <si>
    <t>Liste des changements validés par la direction et/ou le Conseil</t>
  </si>
  <si>
    <t>Aligner les changements avec la stratégie globale de l’organisation</t>
  </si>
  <si>
    <t>Changements non conformes aux orientations stratégiques</t>
  </si>
  <si>
    <t>Changements organisationnels non validés par la direction</t>
  </si>
  <si>
    <t>Procédure de validation des changements organisationnels</t>
  </si>
  <si>
    <t>Les changements organisationnels sont-ils soumis à une validation par la direction et/ou le Conseil?</t>
  </si>
  <si>
    <t>Les changements organisationnels sont soumis à une validation par la direction et/ou le Conseil</t>
  </si>
  <si>
    <t>Évaluer systématiquement les impacts des réorganisations avant mise en œuvre</t>
  </si>
  <si>
    <t>Mauvaise anticipation des impacts des réorganisations</t>
  </si>
  <si>
    <t>Suivi insuffisant des mises à jour organisationnelles</t>
  </si>
  <si>
    <t>Rapports de suivi des mises à jour</t>
  </si>
  <si>
    <t>Rendre l’organisation plus flexible et adaptable aux évolutions du marché</t>
  </si>
  <si>
    <t>Organisation rigide et difficile à adapter aux évolutions</t>
  </si>
  <si>
    <t>Mise à jour de la structure organisationnelle non planifiée</t>
  </si>
  <si>
    <t>Plan de mise à jour de la structure organisationnelle</t>
  </si>
  <si>
    <t>Une mise à jour régulière de la structure organisationnelle est-elle effectuée ?</t>
  </si>
  <si>
    <t>Une mise à jour régulière de la structure organisationnelle est effectuée</t>
  </si>
  <si>
    <t>S’assurer que la structure organisationnelle est régulièrement revue
 et mise à jour pour tenir compte des changements dans
 l’environnement interne ou externe de l’organisation</t>
  </si>
  <si>
    <t>Améliorer la gouvernance en clarifiant les processus décisionnels</t>
  </si>
  <si>
    <t>Incohérences dans la gouvernance et pertes de contrôle</t>
  </si>
  <si>
    <t>Liste des décisions validées incomplète ou erronée</t>
  </si>
  <si>
    <t>Registre des décisions validées</t>
  </si>
  <si>
    <t>Valider systématiquement les décisions importantes avant leur application</t>
  </si>
  <si>
    <t>Décisions non validées et risques de dérives</t>
  </si>
  <si>
    <t>Absence de validation hiérarchique des décisions importantes</t>
  </si>
  <si>
    <t>Procédure de validation des décisions importantes par la hiérarchie</t>
  </si>
  <si>
    <t>Les décisions importantes sont-elles validées par des niveaux hiérarchiques appropriés?</t>
  </si>
  <si>
    <t>Les décisions importantes sont validées par des niveaux hiérarchiques appropriés</t>
  </si>
  <si>
    <t>Assurer une gestion des carrières basée sur des processus équitables</t>
  </si>
  <si>
    <t>Manque de transparence dans la gestion des carrières</t>
  </si>
  <si>
    <t>Décisions de promotion non documentées</t>
  </si>
  <si>
    <t>Documentation des décisions de promotion</t>
  </si>
  <si>
    <t>Définir des critères objectifs et transparents pour les promotions</t>
  </si>
  <si>
    <t>Promotions attribuées sur des critères non objectifs</t>
  </si>
  <si>
    <t>Processus d’évaluation des promotions et nominations inadapté</t>
  </si>
  <si>
    <t>Processus d’évaluation des compétences pour promotions et nominations</t>
  </si>
  <si>
    <t>Un processus formel d'évaluation des compétences est-il mis en place pour les promotions et nominatons?</t>
  </si>
  <si>
    <t>Un processus formel d'évaluation des compétences est mis en place pour les promotions et nominatons</t>
  </si>
  <si>
    <t>Limiter la concentration des pouvoirs par des mécanismes de surveillance</t>
  </si>
  <si>
    <t>Faible contrôle sur la concentration des pouvoirs</t>
  </si>
  <si>
    <t>Absence de plan de mitigation des risques liés à l’accumulation de pouvoirs</t>
  </si>
  <si>
    <t>Plan de mitigation des risques liés à l’accumulation de pouvoirs</t>
  </si>
  <si>
    <t>Mettre en place un dispositif de contrôle pour prévenir les abus de pouvoir</t>
  </si>
  <si>
    <t>Risque d’abus de pouvoir et de fraudes internes</t>
  </si>
  <si>
    <t>Accumulation excessive de pouvoirs non contrôlée</t>
  </si>
  <si>
    <t>Registre des cumuls de pouvoirs excessifs</t>
  </si>
  <si>
    <t>Un suivi est-il réalisé pour éviter toute accumulation excessive de pouvoirs?</t>
  </si>
  <si>
    <t>Un suivi est réalisé pour éviter toute accumulation excessive de pouvoirs</t>
  </si>
  <si>
    <t>Assurer un suivi rigoureux des ajustements organisationnels</t>
  </si>
  <si>
    <t>Inefficacité des ajustements organisationnels</t>
  </si>
  <si>
    <t>Manque d’ajustements suite aux évaluations des compétences</t>
  </si>
  <si>
    <t>Compte-rendu des ajustements effectués suite aux évaluations</t>
  </si>
  <si>
    <t>Mettre en place un système d’évaluation continue des performances</t>
  </si>
  <si>
    <t>Faibles performances et incohérence dans l’exécution des tâches</t>
  </si>
  <si>
    <t>Absence d’évaluation régulière de l’adéquation compétences-responsabilités</t>
  </si>
  <si>
    <t>Évaluation périodique de l’adéquation compétences-responsabilités</t>
  </si>
  <si>
    <t>Une évaluation périodique de l'adéquation entre les compétences et les responsabilités est-elle effectuée?</t>
  </si>
  <si>
    <t>Une évaluation périodique de l'adéquation entre les compétences et les responsabilités est effectuée</t>
  </si>
  <si>
    <t>Renforcer la formation et le recrutement pour combler les postes clés</t>
  </si>
  <si>
    <t>Manque de personnel compétent pour certains postes clés</t>
  </si>
  <si>
    <t>Validation des compétences incomplète ou erronée</t>
  </si>
  <si>
    <t>Rapport de validation des compétences requises</t>
  </si>
  <si>
    <t>Optimiser la gestion des ressources humaines selon les besoins organisationnels</t>
  </si>
  <si>
    <t>Affectation inefficace des ressources humaines</t>
  </si>
  <si>
    <t>Désalignement entre compétences et responsabilités</t>
  </si>
  <si>
    <t>Matrice d’alignement entre compétences et responsabilités</t>
  </si>
  <si>
    <t>Les responsabilités sont-elles alignées avec les descriptions de poste et les compétences requises ?</t>
  </si>
  <si>
    <t>Les responsabilités sont alignées avec les descriptions de poste et les compétences requises</t>
  </si>
  <si>
    <t>Vérifier que les responsabilités et les pouvoirs sont attribués de
 manière appropriée, en fonction des compétences et des objectifs
 stratégiques de l’organisation</t>
  </si>
  <si>
    <t>Instaurer des contrôles qualité pour réduire les erreurs et améliorer la productivité</t>
  </si>
  <si>
    <t>Erreurs fréquentes et perte de productivité</t>
  </si>
  <si>
    <t>Faible compréhension des responsabilités au sein de l’organisation</t>
  </si>
  <si>
    <t>Enquête annuelle sur la compréhension des responsabilités</t>
  </si>
  <si>
    <t>Clarifier et documenter la répartition des responsabilités</t>
  </si>
  <si>
    <t>Ambiguïté dans la répartition des tâches et des responsabilités</t>
  </si>
  <si>
    <t>Manque de confirmation formelle des responsabilités par les employés</t>
  </si>
  <si>
    <t>Formulaire de confirmation des responsabilités par les employés</t>
  </si>
  <si>
    <t>Les employés confirment-ils qu'ils comprennent leurs responsabilités ?</t>
  </si>
  <si>
    <t>Les employés confirment qu'ils comprennent leurs responsabilités</t>
  </si>
  <si>
    <t>Mettre en place un cadre clair de délégation des pouvoirs</t>
  </si>
  <si>
    <t>Attribution illégitime de pouvoirs et prise de décisions inappropriées</t>
  </si>
  <si>
    <t>Liste des délégations non validée par la direction</t>
  </si>
  <si>
    <t>Liste des délégations validées par la direction</t>
  </si>
  <si>
    <t>Définir des critères objectifs et transparents pour la prise de décision</t>
  </si>
  <si>
    <t>Risques de prises de décision arbitraires et non conformes</t>
  </si>
  <si>
    <t>Délégations de pouvoir mal encadrées</t>
  </si>
  <si>
    <t>Document des délégations de pouvoir</t>
  </si>
  <si>
    <t>Les délégations de pouvoir sont-elles documentées et validées par la direction ?</t>
  </si>
  <si>
    <t>Les délégations de pouvoir sont documentées et validées par la direction</t>
  </si>
  <si>
    <t>Renforcer la sensibilisation et garantir la confidentialité du système de signalement</t>
  </si>
  <si>
    <t>Perte de confiance des employés dans le système de signalement</t>
  </si>
  <si>
    <t>Signalements d’incohérences non traités ou ignorés</t>
  </si>
  <si>
    <t>Registre des signalements et actions de correction</t>
  </si>
  <si>
    <t>Renforcer les dispositifs de contrôle pour détecter et corriger rapidement les dysfonctionnements</t>
  </si>
  <si>
    <t>Dysfonctionnements non détectés et persistants</t>
  </si>
  <si>
    <t>Absence de mécanisme de signalement des incohérences organisationnelles</t>
  </si>
  <si>
    <t>Procédure de signalement des incohérences organisationnelles</t>
  </si>
  <si>
    <t>Le signalement de toute ambiguité ou incohérence dans la structure est-il possible ?</t>
  </si>
  <si>
    <t>Le signalement de toute ambiguité ou incohérence dans la structure est possible</t>
  </si>
  <si>
    <t>Établir un cadre formel de responsabilisation pour identifier les fautes.</t>
  </si>
  <si>
    <t>Difficulté à identifier les responsabilités en cas d’erreur</t>
  </si>
  <si>
    <t>Responsabilités mal définies ou non documentées</t>
  </si>
  <si>
    <t>Documentation des responsabilités associées à chaque poste</t>
  </si>
  <si>
    <t>Définir des fiches de poste précises pour limiter les conflits entre collaborateurs.</t>
  </si>
  <si>
    <t>Conflits entre collaborateurs en raison d’un manque de clarté des fonctions</t>
  </si>
  <si>
    <t>Manque de clarté dans les fiches de fonction</t>
  </si>
  <si>
    <t>Fiches de fonction détaillées par poste</t>
  </si>
  <si>
    <t>Chaque poste dispose-t-il d'une fiche de fonction précisant les rôles et responsabilités?</t>
  </si>
  <si>
    <t>Chaque poste dispose d'une fiche de fonction précisant les rôles et responsabilités</t>
  </si>
  <si>
    <t>Optimiser l’organisation interne pour améliorer la coordination et l’efficacité.</t>
  </si>
  <si>
    <t>Désorganisation interne et perte d’efficacité</t>
  </si>
  <si>
    <t>Absence de procédure claire pour la mise à jour de l’organigramme</t>
  </si>
  <si>
    <t>Procédure de mise à jour de l’organigramme</t>
  </si>
  <si>
    <t>Clarifier les rôles et responsabilités de chaque acteur du contrôle interne.</t>
  </si>
  <si>
    <t>Confusion sur la répartition des rôles et responsabilités</t>
  </si>
  <si>
    <t>Organigramme non mis à jour ou inexact</t>
  </si>
  <si>
    <t>Organigramme officiel de l’organisation</t>
  </si>
  <si>
    <t>Un organigramme officiel détaillé est-il disponible et mis à jour régulièrement?</t>
  </si>
  <si>
    <t>Un organigramme officiel détaillé est disponible et mis à jourr égulièrement</t>
  </si>
  <si>
    <t>S’assurer que la structure organisationnelle est clairement définie,
 incluant les rattachements hiérarchiques, les rôles, les
 responsabilités et les pouvoirs de chaque collaborateur</t>
  </si>
  <si>
    <t>Structures, autorités et responsabilités</t>
  </si>
  <si>
    <t>Appliquer des sanctions en cas d’ingérence avérée dans le contrôle interne.</t>
  </si>
  <si>
    <t>Maintien d’influences externes compromettant l’intégrité du contrôle interne.</t>
  </si>
  <si>
    <t>Signalements d’ingérence ignorés ou non traités.</t>
  </si>
  <si>
    <t>Registre des signalements et actions correctives</t>
  </si>
  <si>
    <t>Instaurer un canal de signalement anonyme pour encourager la remontée des alertes.</t>
  </si>
  <si>
    <t>Peur de représailles empêchant les signalements d’ingérence.</t>
  </si>
  <si>
    <t>Absence d’un mécanisme efficace pour signaler les tentatives d’ingérence.</t>
  </si>
  <si>
    <t>Procédure de signalement des tentatives d’ingérence</t>
  </si>
  <si>
    <t>Une procédure de signalement est-elle disponible pour signaler toute tentative d'ingérence?</t>
  </si>
  <si>
    <t>Une procédure de signalement sont disponibles pour signaler toute tentative d'ingérence</t>
  </si>
  <si>
    <t>Mettre en place des contrôles indépendants pour assurer l’objectivité des décisions.</t>
  </si>
  <si>
    <t>Conflits d’intérêts nuisant à l’objectivité des contrôles.</t>
  </si>
  <si>
    <t>Politique d’incitation favorisant des comportements non éthiques.</t>
  </si>
  <si>
    <t>Grille d’incitation pour éviter les conflits d’intérêts</t>
  </si>
  <si>
    <t>Revoir les politiques de rémunération pour éviter les conflits d’intérêts.</t>
  </si>
  <si>
    <t>Incitations monétaires favorisant des pratiques contraires à l’éthique.</t>
  </si>
  <si>
    <t>Rémunération des responsables du contrôle interne influencée par des conflits d’intérêts.</t>
  </si>
  <si>
    <t>Politique de rémunération des responsables du contrôle interne</t>
  </si>
  <si>
    <t>Des rémunérations et incitations des responsables du contrôle interne sont-elles structurées pour éviter tout conflit d'intérêts ?</t>
  </si>
  <si>
    <t>Des rémunérations et incitations des responsables du contrôle interne sont structurées pour éviter tout conflit d'intérêts</t>
  </si>
  <si>
    <t>Renforcer les mécanismes de contrôle pour limiter l’influence des parties externes.</t>
  </si>
  <si>
    <t>Décisions prises sous influence externe, réduisant la fiabilité des contrôles.</t>
  </si>
  <si>
    <t>Critères d’indépendance et d’objectivité non respectés.</t>
  </si>
  <si>
    <t>Liste des critères d’indépendance et d’objectivité définis</t>
  </si>
  <si>
    <t>Élaborer une charte d’éthique pour encadrer les décisions du contrôle interne.</t>
  </si>
  <si>
    <t>Contrôle interne influencé par des décisions biaisées.</t>
  </si>
  <si>
    <t>Manque d’indépendance et d’objectivité dans la gestion du contrôle interne.</t>
  </si>
  <si>
    <t>Charte d’indépendance et d’objectivité</t>
  </si>
  <si>
    <t>Des critères d'indépendance et d'objectivité sont-ils définis pour ces responsables?</t>
  </si>
  <si>
    <t>Des critères d'indépendance et d'objectivité sont définis pour ces responsables</t>
  </si>
  <si>
    <t>Mettre en place un suivi des formations pour garantir leur efficacité et leur pertinence.</t>
  </si>
  <si>
    <t>Suivi des compétences non assuré, impactant l’efficacité des formations.</t>
  </si>
  <si>
    <t>Suivi des formations suivi de manière irrégulière.</t>
  </si>
  <si>
    <t>Rapports de suivi des formations suivies</t>
  </si>
  <si>
    <t>Organiser des formations continues pour renforcer les compétences des responsables.</t>
  </si>
  <si>
    <t>Manque de compétences et adaptation insuffisante aux nouvelles exigences.</t>
  </si>
  <si>
    <t>Formation continue des responsables du contrôle interne insuffisante.</t>
  </si>
  <si>
    <t>Plan de formation continue pour les responsables du contrôle interne</t>
  </si>
  <si>
    <t>Le Conseil veille-t-il à la mise en place de formations continues pour garantir l'expertise des responsables du contrôle interne ?</t>
  </si>
  <si>
    <t>Le Conseil veille à la mise en place de formations continues pour garantir l'expertise des responsables du contrôle interne</t>
  </si>
  <si>
    <t>Mettre en place des critères de promotion basés sur la compétence et les résultats.</t>
  </si>
  <si>
    <t>Promotion ou maintien de responsables inefficaces.</t>
  </si>
  <si>
    <t>Critères d’évaluation des responsables mal définis.</t>
  </si>
  <si>
    <t>Critères d’évaluation des performances des responsables du contrôle interne</t>
  </si>
  <si>
    <t>Instaurer un système d’évaluation des performances des responsables du contrôle interne.</t>
  </si>
  <si>
    <t>Performance des responsables du contrôle interne mal évaluée.</t>
  </si>
  <si>
    <t>Évaluations annuelles des responsables du contrôle interne partielles ou subjectives.</t>
  </si>
  <si>
    <t>Évaluations annuelles des responsables du contrôle interne</t>
  </si>
  <si>
    <t>Une évaluation périodique des responsables du contrôle interne est-elle réalisé par le Conseil?</t>
  </si>
  <si>
    <t>Une évaluation périodique des responsables du contrôle interne est réalisé par le Conseil</t>
  </si>
  <si>
    <t>Vérifier que le Conseil évalue régulièrement la performance des
 responsables du contrôle interne et veille à ce que leurs actions
 soient indépendantes et objectives</t>
  </si>
  <si>
    <t>Renforcer l’implication du Conseil dans le suivi des mesures correctives.</t>
  </si>
  <si>
    <t>Affaiblissement du contrôle exercé par le Conseil.</t>
  </si>
  <si>
    <t>Manque d’implication du Conseil dans le suivi des actions correctives.</t>
  </si>
  <si>
    <t>Procès-verbaux des réunions du Conseil sur les actions correctives</t>
  </si>
  <si>
    <t>Effectuer des audits réguliers pour évaluer l’efficacité des mesures de redressement.</t>
  </si>
  <si>
    <t>Échec des mesures de redressement et persistance des problèmes.</t>
  </si>
  <si>
    <t>Plans d’action correctifs non suivis ou mal exécutés.</t>
  </si>
  <si>
    <t>Rapports de suivi des plans d’action correctifs</t>
  </si>
  <si>
    <t>Le conseil suit-il la mise en place des plans d'action correctifs?</t>
  </si>
  <si>
    <t>Le conseil suit la mise en place des plans d'action correctifs</t>
  </si>
  <si>
    <t>Définir des règles précises pour l’application des sanctions et les faire respecter.</t>
  </si>
  <si>
    <t>Incohérences dans l’application des sanctions et contestations possibles.</t>
  </si>
  <si>
    <t>Absence de traçabilité des sanctions appliquées.</t>
  </si>
  <si>
    <t>Registre des sanctions appliquées</t>
  </si>
  <si>
    <t>Standardiser les critères de traitement pour garantir l’équité et la transparence.</t>
  </si>
  <si>
    <t>Risque de traitements préférentiels ou arbitraires.</t>
  </si>
  <si>
    <t>Application incohérente des sanctions en cas de non-respect des contrôles internes.</t>
  </si>
  <si>
    <t>Politique de sanctions en cas de non-respect des contrôles internes</t>
  </si>
  <si>
    <t>Des sanctions sont-elles prévues en cas de manquement répété au dispositif de contrôle interne?</t>
  </si>
  <si>
    <t>Des sanctions sont prévues en cas de manquement répété au dispositif de contrôle interne</t>
  </si>
  <si>
    <t>Établir des indicateurs de suivi clairs pour mesurer l’avancement des actions correctives.</t>
  </si>
  <si>
    <t>Manque de visibilité sur l’état des actions correctives.</t>
  </si>
  <si>
    <t>Manque de transparence sur l’état des actions correctives.</t>
  </si>
  <si>
    <t>Tableau de bord des actions correctives mises en œuvre</t>
  </si>
  <si>
    <t>Mettre en place un suivi rigoureux des erreurs et assurer leur correction systématique.</t>
  </si>
  <si>
    <t>Répétition des erreurs et failles non corrigées.</t>
  </si>
  <si>
    <t>Suivi insuffisant des mesures correctives mises en place.</t>
  </si>
  <si>
    <t>Rapports de suivi des mesures correctives</t>
  </si>
  <si>
    <t>Les responsables concernés rendent-ils compte régulièrement des mesures correctives mises en place?</t>
  </si>
  <si>
    <t>Les responsables concernés doivent rendre compte régulièrement des mesures correctives mises en place</t>
  </si>
  <si>
    <t>Mettre en place un plan de continuité des activités et des protocoles d’urgence pour garantir une réaction rapide aux incidents</t>
  </si>
  <si>
    <t>Gestion des incidents peu réactive, impactant la continuité des activités.</t>
  </si>
  <si>
    <t>Traitement des incidents de contrôle interne non structuré.</t>
  </si>
  <si>
    <t>Plan de traitement des incidents de contrôle interne</t>
  </si>
  <si>
    <t>Adopter une approche proactive de gestion des incidents avec une analyse approfondie des causes profondes</t>
  </si>
  <si>
    <t>Récurrence des mêmes incidents sans solution durable.</t>
  </si>
  <si>
    <t>Gestion des dysfonctionnements mal encadrée.</t>
  </si>
  <si>
    <t>Procédure officielle de gestion des dysfonctionnements</t>
  </si>
  <si>
    <t>Une procédure officielle est-elle mise en place pour traiter les dysfonctionnements dans le contrôle interne?</t>
  </si>
  <si>
    <t>Une procédure officielle est mise en place pour traiter les dysfonctionnements dans le contrôle interne</t>
  </si>
  <si>
    <t>Réaliser des revues régulières des processus et favoriser une culture de remise en question des pratiques obsolètes</t>
  </si>
  <si>
    <t>Maintien de processus inefficaces.</t>
  </si>
  <si>
    <t>Audits inefficaces dans l’évaluation des actions correctives.</t>
  </si>
  <si>
    <t>Rapport d’audit mesurant l’efficacité des actions correctives</t>
  </si>
  <si>
    <t>Établir un suivi des actions correctives avec des indicateurs de performance et des délais précis</t>
  </si>
  <si>
    <t>Faible correction des failles identifiées.</t>
  </si>
  <si>
    <t>Absence de suivi de l’efficacité des mesures correctives.</t>
  </si>
  <si>
    <t>Évaluation post-mise en œuvre des mesures correctives</t>
  </si>
  <si>
    <t>Une évaluation de l'efficacité des mesures correctives est-elle effectuée après leur mise en œuvre ?</t>
  </si>
  <si>
    <t>Une évaluation de l'efficacité des mesures correctives est effectuée après leur mise en œuvre</t>
  </si>
  <si>
    <t>S’assurer que le Conseil prend des mesures appropriées lorsque
 des dysfonctionnements ou des lacunes dans le contrôle interne
 sont identifiés, y compris la mise en place de plans d’action
 correctifs</t>
  </si>
  <si>
    <t>Élaborer un plan de gestion des risques et organiser des exercices de simulation régulièrement</t>
  </si>
  <si>
    <t>Manque de préparation face aux risques majeurs.</t>
  </si>
  <si>
    <t>Intégration partielle des analyses de risques aux décisions du Conseil.</t>
  </si>
  <si>
    <t>Analyses de risques intégrées aux décisions du Conseil</t>
  </si>
  <si>
    <t>Soumettre les décisions stratégiques à une validation multi-niveaux avant leur mise en œuvre</t>
  </si>
  <si>
    <t>Risque de décisions inefficaces ou nuisibles.</t>
  </si>
  <si>
    <t>Évaluation biaisée ou incomplète des décisions stratégiques.</t>
  </si>
  <si>
    <t>Rapports d’évaluation des décisions stratégiques</t>
  </si>
  <si>
    <t>Les décisions stratégiques du Conseil intègrent-elles systématiquement une analyse des risques et du contrôle interne?</t>
  </si>
  <si>
    <t>Les décisions stratégiques du Conseil intègrent systématiquement une analyse des risques et du contrôle interne</t>
  </si>
  <si>
    <t>Mettre en place un processus d’évaluation continue et encourager l’innovation organisationnelle</t>
  </si>
  <si>
    <t>Perte d’opportunités d’amélioration des processus.</t>
  </si>
  <si>
    <t>Manque de retour d’expérience structuré.</t>
  </si>
  <si>
    <t>Mécanisme de feedback structuré (ex: enquêtes, réunions dédiées)</t>
  </si>
  <si>
    <t>Instaurer un canal de communication interne efficace avec des comptes rendus systématiques des décisions prises</t>
  </si>
  <si>
    <t>Rupture de communication et décisions mal relayées.</t>
  </si>
  <si>
    <t>Mauvaise communication entre le Conseil et les responsables du contrôle interne.</t>
  </si>
  <si>
    <t>Documentation des échanges entre le Conseil et les responsables du contrôle interne</t>
  </si>
  <si>
    <t>Des mécanismes de feedback entre le Conseil et les responables du contrôle interne sont-ils en place?</t>
  </si>
  <si>
    <t>Des meécanisme de feedback entre le Conseil et les responables du contrôle interne sont en place</t>
  </si>
  <si>
    <t>Mettre en place un comité de conformité chargé d’identifier et de préparer l’organisation aux changements réglementaires</t>
  </si>
  <si>
    <t>Mauvaise anticipation des risques liés aux nouvelles réglementations.</t>
  </si>
  <si>
    <t>Analyse insuffisante des impacts des réglementations.</t>
  </si>
  <si>
    <t>Rapports d’analyse de l’impact des réglementations sur l’organisation</t>
  </si>
  <si>
    <t>Développer un programme de conformité et former les équipes aux exigences légales</t>
  </si>
  <si>
    <t>Risques de non-conformité et sanctions légales.</t>
  </si>
  <si>
    <t>Non-prise en compte des évolutions réglementaires.</t>
  </si>
  <si>
    <t>Procès-verbaux des discussions sur les évolutions réglementaires</t>
  </si>
  <si>
    <t>Le Conseil participe-t-il activement aux discussions sur l'évolution des réglementations et leur impact sur le contrôle interne?</t>
  </si>
  <si>
    <t>Le Conseil participe activement aux discussions sur l'évolution des réglementations et leur impact sur le contrôle interne</t>
  </si>
  <si>
    <t>Exiger des analyses approfondies et des études d’impact avant toute prise de décision majeure</t>
  </si>
  <si>
    <t>Prises de décisions basées sur des informations incomplètes.</t>
  </si>
  <si>
    <t>Manque de clarté dans les discussions stratégiques sur le contrôle interne.</t>
  </si>
  <si>
    <t>Compte-rendu des discussions stratégiques sur le contrôle interne</t>
  </si>
  <si>
    <t>Assurer une veille réglementaire et économique active et mettre à jour les stratégies en conséquence</t>
  </si>
  <si>
    <t>Non-adaptation aux évolutions du contexte économique et réglementaire.</t>
  </si>
  <si>
    <t>Absence de mise à jour des objectifs de contrôle interne.</t>
  </si>
  <si>
    <t>Rapport de la revue annuelle des objectifs de contrôle interne</t>
  </si>
  <si>
    <t>Une revue annuelle des objectifs de contrôle interne est-elle réalisée par le Conseil?</t>
  </si>
  <si>
    <t>Une revue annuelle des objectifs de contrôle interne est réalisée par le Conseil</t>
  </si>
  <si>
    <t>Associer systématiquement les contrôleurs internes aux décisions stratégiques</t>
  </si>
  <si>
    <t>Faible intégration des contrôles internes dans la gestion stratégique.</t>
  </si>
  <si>
    <t>Mauvais alignement entre les objectifs du contrôle interne et la stratégie globale.</t>
  </si>
  <si>
    <t>Alignement des objectifs de contrôle interne avec la stratégie de l’organisation</t>
  </si>
  <si>
    <t>Renforcer le contrôle interne par des tests réguliers et des exercices de simulation des risques</t>
  </si>
  <si>
    <t>Inefficacité du contrôle interne face aux risques majeurs.</t>
  </si>
  <si>
    <t>Objectifs du contrôle interne mal définis ou inadaptés.</t>
  </si>
  <si>
    <t>Objectifs du contrôle interne validés par le Conseil</t>
  </si>
  <si>
    <t>Les objectifs de contrôle interne sont-ils définis en lien avec les orientations stratégiques valisées par le Conseil?</t>
  </si>
  <si>
    <t>Les objectifs de contrôle interne sont définis en lien avec les orientations stratégiques valisées par le Conseil</t>
  </si>
  <si>
    <t>Vérifier que le Conseil joue un rôle actif dans la définition des
 objectifs et des critères de performance du contrôle interne, et qu’il
 veille à leur alignement avec les objectifs stratégiques de
 l’organisation</t>
  </si>
  <si>
    <t>Mettre en place une politique de communication interne et externe favorisant la transparence</t>
  </si>
  <si>
    <t>Communication limitée et manque de transparence.</t>
  </si>
  <si>
    <t>Dialogue limité entre le conseil et les auditeurs</t>
  </si>
  <si>
    <t>Registre des questions et réponses entre le Conseil et les auditeurs</t>
  </si>
  <si>
    <t>Définir un cadre structuré pour les audits avec des listes de questions prédéfinies et pertinentes</t>
  </si>
  <si>
    <t>Questions critiques non posées aux auditeurs internes.</t>
  </si>
  <si>
    <t>Manque d’efficacité dans l’interrogation des auditeurs internes</t>
  </si>
  <si>
    <t>Procédure d’interrogation des auditeurs internes</t>
  </si>
  <si>
    <t>Les membres du Conseil ont-ils la possibilité d'interroger directement les auditeurs internes sur leurs conclusions ?</t>
  </si>
  <si>
    <t>Les membres du Conseil ont la possibilité d'interroger directement les auditeurs internes sur leurs conclusions</t>
  </si>
  <si>
    <t>Documenter systématiquement les décisions stratégiques avec des critères et des justifications claires</t>
  </si>
  <si>
    <t>Difficulté à suivre et justifier les décisions prises.</t>
  </si>
  <si>
    <t>Documentation incomplète des décisions stratégiques</t>
  </si>
  <si>
    <t>Documentation des décisions stratégiques du Conseil</t>
  </si>
  <si>
    <t>Automatiser la mise à jour des données et garantir l’accès à des informations en temps réel</t>
  </si>
  <si>
    <t>Décisions stratégiques basées sur des données obsolètes.</t>
  </si>
  <si>
    <t>Résultats d’audit non pris en compte dans la stratégie</t>
  </si>
  <si>
    <t>Rapports stratégiques intégrant les résultats des audits</t>
  </si>
  <si>
    <t>Les conclusions des audits sont-elles intégrées dans les décisions stratégiques du conseil?</t>
  </si>
  <si>
    <t>Les conclusions des audits sont intégrées dans les décisions stratégiques du conseil</t>
  </si>
  <si>
    <t>Mettre en œuvre une démarche d’amélioration continue avec des revues régulières des processus internes</t>
  </si>
  <si>
    <t>Absence d’amélioration continue des dispositifs internes.</t>
  </si>
  <si>
    <t>Absence de suivi des actions correctives</t>
  </si>
  <si>
    <t>Instaurer un système de contrôle permanent et de retour d’expérience pour éviter la récurrence des erreurs</t>
  </si>
  <si>
    <t>Répétition des erreurs et des non-conformités.</t>
  </si>
  <si>
    <t>Recommandations d’audit non mises en application</t>
  </si>
  <si>
    <t>Plan de suivi des recommandations</t>
  </si>
  <si>
    <t>Un suivi des recommandations et des plans d'action est-il effectué par le conseil?</t>
  </si>
  <si>
    <t>Un suivi des recommandations et des plans d'action est effectué par le conseil</t>
  </si>
  <si>
    <t>Suivre les recommandations issues des audits et assurer leur mise en œuvre effective</t>
  </si>
  <si>
    <t>Difficulté à exploiter les audits pour améliorer les contrôles.</t>
  </si>
  <si>
    <t>Exploitation inefficace des audits en réunion</t>
  </si>
  <si>
    <t>Rapports de synthèse des audits internes discutés en réunion</t>
  </si>
  <si>
    <t>Standardiser la préparation des réunions en définissant un ordre du jour détaillé et structuré.</t>
  </si>
  <si>
    <t>Mauvaise préparation des réunions et décisions hâtives.</t>
  </si>
  <si>
    <t>Ordre du jour des réunions d’audit mal structuré</t>
  </si>
  <si>
    <t>Ordre du jour des sessions d’examen des audits</t>
  </si>
  <si>
    <t>Le Conseil organise-t-il des sessions d'examen dédiées aux résultats des audits internes?</t>
  </si>
  <si>
    <t>Le Conseil organise des sessions d'examen dédiées aux résultats des audits internes</t>
  </si>
  <si>
    <t>Instaurer des délais stricts pour la prise de décision et anticiper les risques associés.</t>
  </si>
  <si>
    <t>Retards dans la prise de décision et risques non couverts.</t>
  </si>
  <si>
    <t>Manque de rigueur dans la planification des rapports</t>
  </si>
  <si>
    <t>Planification des envois périodiques des rapports</t>
  </si>
  <si>
    <t>Mettre en place un système centralisé pour garantir la conservation et l’accessibilité des données critiques.</t>
  </si>
  <si>
    <t>Perte d’informations critiques pour le pilotage stratégique.</t>
  </si>
  <si>
    <t>Transmission incomplète ou tardive des rapports d’audit</t>
  </si>
  <si>
    <t>Procédure de transmission des rapports d’audit</t>
  </si>
  <si>
    <t>Une fréquence minimale de transmission des rapports d'audit interne au Conseil est-elle définie (ex: trimestrielle)?</t>
  </si>
  <si>
    <t>Une fréquence minimale de transmission des rapports d'audit interne au Conseil est définie (ex: trimestrielle)</t>
  </si>
  <si>
    <t>S’assurer que le Conseil reçoit régulièrement des rapports détaillés
 sur l’efficacité du dispositif de contrôle interne et qu'il est impliqué
 dans l’évaluation des résultats des audits internes</t>
  </si>
  <si>
    <t>Adopter une politique de sélection et d’évaluation stricte des prestataires externes.</t>
  </si>
  <si>
    <t>Prestataires externes inadaptés ou conflits d’intérêts cachés.</t>
  </si>
  <si>
    <t>Engagement avec des consultants externes à risque</t>
  </si>
  <si>
    <t>Contrats et accords avec des consultants externes</t>
  </si>
  <si>
    <t>Mettre en place un processus de sélection rigoureux des prestataires avec des critères objectifs</t>
  </si>
  <si>
    <t>Manque d’expertise pour la prise de décisions.</t>
  </si>
  <si>
    <t>Manque d’accès à des experts et consultants qualifiés</t>
  </si>
  <si>
    <t>Liste des experts et consultants accessibles au Conseil</t>
  </si>
  <si>
    <t>Le conseil dispose-t-il d'un accès indépendant aux experts et consultants externes?</t>
  </si>
  <si>
    <t>Le conseil dispose d'un accès indépendant aux experts et consultants externes</t>
  </si>
  <si>
    <t>Développer un programme de formation continue pour améliorer les compétences en gouvernance.</t>
  </si>
  <si>
    <t>Manque de compétences et mauvaise gouvernance.</t>
  </si>
  <si>
    <t>Niveau de formation des membres du conseil inadéquat</t>
  </si>
  <si>
    <t>Plan de formation des membres du Conseil</t>
  </si>
  <si>
    <t>Suivre les actions engagées à l’aide d’indicateurs de performance clairs et mesurables.</t>
  </si>
  <si>
    <t>Incapacité à mener à bien les actions prévues.</t>
  </si>
  <si>
    <t>Budget du conseil inadapté aux objectifs stratégiques</t>
  </si>
  <si>
    <t>Budget prévisionnel du Conseil</t>
  </si>
  <si>
    <t>Un budget spécifique est-il alloué pour la formation des membres du Conseil sur les risques et le contrôle interne?</t>
  </si>
  <si>
    <t>Un budget spécifique est alloué pour la formation des membres du Conseil sur les risques et le contrôle interne</t>
  </si>
  <si>
    <t>Renforcer la collaboration entre les différentes instances de contrôle pour améliorer la coordination.</t>
  </si>
  <si>
    <t>Manque de coordination et inefficacité des contrôles.</t>
  </si>
  <si>
    <t>Coordination insuffisante entre le conseil et le contrôle interne</t>
  </si>
  <si>
    <t>Calendrier des réunions du Conseil avec les responsables du contrôle interne</t>
  </si>
  <si>
    <t>Définir des objectifs stratégiques précis en s’appuyant sur des données analytiques fiables.</t>
  </si>
  <si>
    <t>Stratégies mal définies et décisions non fondées sur des faits</t>
  </si>
  <si>
    <t>Prises de décisions stratégiques mal documentées</t>
  </si>
  <si>
    <t>Procès-verbaux des réunions du Conseil</t>
  </si>
  <si>
    <t>Des réunions régulières avec les responsables du contrôle interne sont-elles organisées ?</t>
  </si>
  <si>
    <t>Des réunions régulières avec les responsables du contrôle interne sont organisées</t>
  </si>
  <si>
    <t>Établir un contrôle externe pour garantir l’objectivité et la fiabilité des audits.</t>
  </si>
  <si>
    <t>Manque de fiabilité des audits, risque d’amendes</t>
  </si>
  <si>
    <t>Audits externes non impartiaux ou mal réalisés</t>
  </si>
  <si>
    <t>Rapports d’audit externe</t>
  </si>
  <si>
    <t>Utiliser des auditeurs indépendants et des méthodologies rigoureuses pour garantir la qualité des audits</t>
  </si>
  <si>
    <t>Audits inefficaces, fausses évaluations des risques</t>
  </si>
  <si>
    <t>Audits internes non conformes aux standards</t>
  </si>
  <si>
    <t>Un accès diret aux rapports d'audit interne et externe est-il garanti pour tous les membres du conseil?</t>
  </si>
  <si>
    <t>Un accès diret aux rapports d'audit interne et externe est garanti pour tous les membres du conseil</t>
  </si>
  <si>
    <t>Améliorer les processus de contrôle interne pour limiter les erreurs et les pertes financières.</t>
  </si>
  <si>
    <t>Multiplication des erreurs et des pertes financières</t>
  </si>
  <si>
    <t>Identification et gestion des risques internes déficientes</t>
  </si>
  <si>
    <t>Tableaux de bord des indicateurs de contrôle interne</t>
  </si>
  <si>
    <t>Créer une cartographie des risques et mettre en place des plans d’action préventifs.</t>
  </si>
  <si>
    <t>Faible capacité à anticiper et gérer les risques</t>
  </si>
  <si>
    <t>Absence de suivi des indicateurs de contrôle interne</t>
  </si>
  <si>
    <t>Rapports de suivi du contrôle interne</t>
  </si>
  <si>
    <t>Existe-t-il un système de reporting structuré permettant au Conseil de suivre les évolutions du coontrôle interne?</t>
  </si>
  <si>
    <t>Un système de reporting structuré permet au Conseil de suivre les évolutions du coontrôle interne</t>
  </si>
  <si>
    <t>Vérifier que le Conseil dispose des ressources et des informations
 nécessaires pour surveiller efficacement la mise en place et le bon
 fonctionnement du dispositif de contrôle interne</t>
  </si>
  <si>
    <t>Limiter les interactions avec les parties externes susceptibles d’influencer les décisions.</t>
  </si>
  <si>
    <t>Manipulation des décisions par des parties externes</t>
  </si>
  <si>
    <t>Influence excessive de certaines parties prenantes</t>
  </si>
  <si>
    <t>Politique sur l’indépendance des membres du conseil</t>
  </si>
  <si>
    <t>Instaurer un audit périodique de la gouvernance afin d’identifier et corriger les dysfonctionnements.</t>
  </si>
  <si>
    <t>Dysfonctionnements dans la gouvernance et gestion inefficace</t>
  </si>
  <si>
    <t>Gouvernance non alignée avec les meilleures pratiques</t>
  </si>
  <si>
    <t>Charte de gouvernance de l’organisation</t>
  </si>
  <si>
    <t>Une charte de gouvernance définit-elle les critères d'indépendance des membres du conseil?</t>
  </si>
  <si>
    <t>Une charte de gouvernance définit les critères d'indépendance des membres du conseil</t>
  </si>
  <si>
    <t>Mettre en place un programme de formation sur l’éthique pour les décideurs de l’entreprise.</t>
  </si>
  <si>
    <t>Prise de décisions non éthiques et atteinte à la réputation</t>
  </si>
  <si>
    <t>Conflits d’intérêts non déclarés ou mal gérés</t>
  </si>
  <si>
    <t>Procédure de gestion des conflits d’intérêts</t>
  </si>
  <si>
    <t>Renforcer la transparence des décisions du conseil en publiant des rapports détaillés.</t>
  </si>
  <si>
    <t>Remise en question de la crédibilité des décisions du conseil</t>
  </si>
  <si>
    <t>Engagements d’indépendance non respectés</t>
  </si>
  <si>
    <t>Registre des conflits d’intérêts déclarés</t>
  </si>
  <si>
    <t>Les conflits d'intérêts potentiels sont-ils déclarés et documentés?</t>
  </si>
  <si>
    <t>Les conflits d'intérêts potentiels sont déclarés et documentés</t>
  </si>
  <si>
    <t>Mettre en place des règles garantissant l’indépendance et l’objectivité des membres du conseil.</t>
  </si>
  <si>
    <t>Perte d’indépendance du conseil et manque d’objectivité</t>
  </si>
  <si>
    <t>Indépendance des membres du conseil non garantie</t>
  </si>
  <si>
    <t>Registre des engagements d’indépendance</t>
  </si>
  <si>
    <t>Élaborer un cadre éthique rigoureux pour éviter toute influence indue dans la prise de décision.</t>
  </si>
  <si>
    <t>Décisions biaisées par des intérêts personnels</t>
  </si>
  <si>
    <t>Conflits d’intérêts non détectés</t>
  </si>
  <si>
    <t>Déclarations annuelles d’indépendance signées</t>
  </si>
  <si>
    <t>Les membres du Conseil signent-ils une déclaration annuelle d'indépendance?</t>
  </si>
  <si>
    <t>Les membres du Conseil signent une déclaration annuelle d'indépendance</t>
  </si>
  <si>
    <t>Rendre public le processus de sélection des membres du conseil et assurer son impartialité.</t>
  </si>
  <si>
    <t>Manque de légitimité du processus de sélection du conseil</t>
  </si>
  <si>
    <t>Sélection des membres du conseil non documentée</t>
  </si>
  <si>
    <t>Rapport d’activité du comité de sélection</t>
  </si>
  <si>
    <t>Définir des critères de sélection objectifs et transparents pour les membres du conseil.</t>
  </si>
  <si>
    <t>Désignation de membres incompétents ou influencés</t>
  </si>
  <si>
    <t>Processus de nomination des membres du conseil biaisé</t>
  </si>
  <si>
    <t>Procédure de nomination des membres du conseil</t>
  </si>
  <si>
    <t>La sélection des membres du Conseil se fait-elle par un comité indépendant?</t>
  </si>
  <si>
    <t>La sélection des membres du Conseil se fait par un comité indépendant</t>
  </si>
  <si>
    <t>Effectuer des contrôles réguliers pour assurer la conformité des statuts aux réglementations en vigueur.</t>
  </si>
  <si>
    <t>Risques juridiques liés à la non-conformité des statuts</t>
  </si>
  <si>
    <t>Statuts non conformes aux réglementations en vigueur</t>
  </si>
  <si>
    <t>Statuts de l’organisation</t>
  </si>
  <si>
    <t>Mettre en place un comité indépendant pour examiner les conflits d’intérêts et garantir l’équité.</t>
  </si>
  <si>
    <t>Suspicion de favoritisme ou de conflits d’intérêts</t>
  </si>
  <si>
    <t>Manque de transparence sur la composition du conseil</t>
  </si>
  <si>
    <t>Liste des membres du conseil et de leurs fonctions</t>
  </si>
  <si>
    <t>La majorité des membres du conseil ne détient-elle aucun poste opérationnel au sein de l'organisation?</t>
  </si>
  <si>
    <t>La majorité des membres du conseil ne détient aucun poste opérationnel au sein de l'organisation</t>
  </si>
  <si>
    <t>S’assurer que le Conseil est composé de membres indépendants du
 management, avec une structure de gouvernance claire garantissant
 cette indépendance</t>
  </si>
  <si>
    <t>Le Conseil fait preuve d’indépendance vis-à-vis du management</t>
  </si>
  <si>
    <t>Établir une procédure claire et documentée pour le traitement des signalements.</t>
  </si>
  <si>
    <t>Traitement arbitraire des signalements sans cadre défini</t>
  </si>
  <si>
    <t>Procédure de traitement des signalements mal définie</t>
  </si>
  <si>
    <t>Procédure de traitement des signalements</t>
  </si>
  <si>
    <t>Mettre en place des contrôles croisés pour éviter les conflits d’intérêts</t>
  </si>
  <si>
    <t>Perte de données et difficulté à suivre les signalements</t>
  </si>
  <si>
    <t>Traçabilité défaillante des signalements et décisions</t>
  </si>
  <si>
    <t>Registre des signalements et décisions associées</t>
  </si>
  <si>
    <t>Chaque signalement est-il traité de manière impartiale?</t>
  </si>
  <si>
    <t>Chaque signalement est traité de manière impartiale</t>
  </si>
  <si>
    <t>Encourager la remontée d’informations par des incitations positives</t>
  </si>
  <si>
    <t>Faible implication des employés dans la prévention des fraudes</t>
  </si>
  <si>
    <t>Faible sensibilisation au signalement des infractions</t>
  </si>
  <si>
    <t>Supports de sensibilisation sur le signalement</t>
  </si>
  <si>
    <t>Rendre les procédures d’alerte plus accessibles et compréhensibles</t>
  </si>
  <si>
    <t>Manque de circulation de l’information sur les signalements</t>
  </si>
  <si>
    <t>Canaux de communication interne inefficaces</t>
  </si>
  <si>
    <t>Documentation des canaux de communication interne</t>
  </si>
  <si>
    <t>Les employés sont-ils informés de l'existence du canal de signalement?</t>
  </si>
  <si>
    <t>Les employés sont informés de l'existence du canal de signalement</t>
  </si>
  <si>
    <t>Former régulièrement les équipes en charge du traitement des signalements</t>
  </si>
  <si>
    <t>Récidive des infractions faute de mesures correctives adaptées</t>
  </si>
  <si>
    <t>Mesures insuffisantes suite aux signalements analysés</t>
  </si>
  <si>
    <t>Rapport d’analyse des signalements et mesures prises</t>
  </si>
  <si>
    <t>Intégrer une plateforme numérique pour faciliter le suivi des infractions éthiques</t>
  </si>
  <si>
    <t>Dissuasion des lanceurs d’alerte et faible détection des fraudes</t>
  </si>
  <si>
    <t>Protection des lanceurs d’alerte insuffisante</t>
  </si>
  <si>
    <t>Charte de protection des lanceurs d’alerte</t>
  </si>
  <si>
    <t>Le système garantit-il la confidentialité et l'absence des représailles pour les lanceurs d'alertes?</t>
  </si>
  <si>
    <t>Le système garantit la confidentialité et l'absence des représailles pour les lanceurs d'alertes</t>
  </si>
  <si>
    <t>Sanctionner les délais non respectés pour le traitement des signalements</t>
  </si>
  <si>
    <t>Inefficacité du système de signalement face aux nouvelles menaces</t>
  </si>
  <si>
    <t>Processus de signalement rigide et peu évolutif</t>
  </si>
  <si>
    <t>Plan d’amélioration continue du processus de signalement</t>
  </si>
  <si>
    <t>Améliorer la traçabilité des signalements et garantir un suivi efficace</t>
  </si>
  <si>
    <t>Sanctions réglementaires pour non-respect des délais de traitement</t>
  </si>
  <si>
    <t>Retards excessifs dans le traitement des signalements</t>
  </si>
  <si>
    <t>Rapport de suivi des délais de traitement des signalements</t>
  </si>
  <si>
    <t>Le signalements sont-ils analysés rapidement , avec des délais définis pour chaque étape?</t>
  </si>
  <si>
    <t>Le signalements sont analysés rapidement , avec des délais définis pour chaque étape</t>
  </si>
  <si>
    <t>Créer un environnement de travail qui encourage la prévention des fraudes</t>
  </si>
  <si>
    <t>Perte de confiance des employés et parties prenantes</t>
  </si>
  <si>
    <t>Canaux de signalement inaccessibles ou non sécurisés</t>
  </si>
  <si>
    <t>Documentation du canal de signalement</t>
  </si>
  <si>
    <t>Favoriser la communication transparente sur les signalements et leurs traitements</t>
  </si>
  <si>
    <t>Réduction du nombre de signalements par crainte de représailles</t>
  </si>
  <si>
    <t>Anonymat des lanceurs d’alerte mal protégé</t>
  </si>
  <si>
    <t>Procédure de gestion des signalements anonymes</t>
  </si>
  <si>
    <t>Un canal de signalement anonyme est-il disponible ?</t>
  </si>
  <si>
    <t>Un canal de signalement anonyme est disponible</t>
  </si>
  <si>
    <t>Vérifier que des procédures existent pour signaler anonymement et en toute sécurité les violations des principes éthiques.</t>
  </si>
  <si>
    <t>Protéger et encourager les lanceurs d’alerte pour garantir un meilleur signalement</t>
  </si>
  <si>
    <t>Augmentation du risque de fraudes et d’infractions</t>
  </si>
  <si>
    <t>Manque d’anticipation des tendances des infractions</t>
  </si>
  <si>
    <t>Rapports d’analyse des tendances des infractions</t>
  </si>
  <si>
    <t>Mettre en place un cadre strict pour la détection et la prévention des fraudes</t>
  </si>
  <si>
    <t>Sensibilisation insuffisante, augmentant les infractions.</t>
  </si>
  <si>
    <t>Obsolescence du programme si les actions de sensibilisation ne sont pas renouvelées.</t>
  </si>
  <si>
    <t>Programme de sensibilisation à la prévention des infractions</t>
  </si>
  <si>
    <t>Des mesures de prévention sont-elles mises en place pour éviter la récurrence des infractions?</t>
  </si>
  <si>
    <t>Des mesures de prévention sont mises en place pour éviter la récurrence des infractions</t>
  </si>
  <si>
    <t>Renforcer la sensibilisation à travers des campagnes interactives</t>
  </si>
  <si>
    <t>Plan d’action inefficace, laissant persister les problèmes.</t>
  </si>
  <si>
    <t>Faible participation des employés,</t>
  </si>
  <si>
    <t>Plan d’action correctif des violations éthiques</t>
  </si>
  <si>
    <t>Réviser régulièrement le plan d’action pour s’assurer de son efficacité</t>
  </si>
  <si>
    <t>Récidive des infractions et manque d’amélioration des pratiques.</t>
  </si>
  <si>
    <t>Absence de communication efficace sur les infractions et mesures préventives.</t>
  </si>
  <si>
    <t>Rapport annuel sur les infractions éthiques</t>
  </si>
  <si>
    <t>Un rapport annuel sur les violations et actions correctives estil disponible ?</t>
  </si>
  <si>
    <t>Un rapport annuel sur les violations et actions correctives est disponible</t>
  </si>
  <si>
    <t>Suivre les infractions de manière stricte pour éviter les récidives</t>
  </si>
  <si>
    <t>Flou dans la gestion des infractions, réduisant l’efficacité des sanctions.</t>
  </si>
  <si>
    <t>Manque d’engagement des employés si les actions correctives sont mal suivies.</t>
  </si>
  <si>
    <t>Politique de gestion des infractions éthiques</t>
  </si>
  <si>
    <t>Clarifier les processus de gestion des infractions et assurer un suivi efficace</t>
  </si>
  <si>
    <t>Sentiment d’impunité favorisant les comportements non éthiques.</t>
  </si>
  <si>
    <t>Mesures inefficaces ou non appliquées,</t>
  </si>
  <si>
    <t>Registre des sanctions disciplinaires</t>
  </si>
  <si>
    <t>Des sanctions cohérentes et proportionées sont-elles appliquées aux contrevenants?</t>
  </si>
  <si>
    <t>Des sanctions cohérentes et proportionées sont appliquées aux contrevenants</t>
  </si>
  <si>
    <t>Appliquer des sanctions proportionnées pour dissuader les comportements non éthiques</t>
  </si>
  <si>
    <t>Manque de coordination dans le traitement des cas éthiques.</t>
  </si>
  <si>
    <t>Sous-déclaration des incidents,</t>
  </si>
  <si>
    <t>Rapports des réunions du comité d’éthique</t>
  </si>
  <si>
    <t>Mettre en place un processus clair et coordonné pour le traitement des cas éthiques</t>
  </si>
  <si>
    <t>Dysfonctionnement du comité d’éthique et décisions inefficaces.</t>
  </si>
  <si>
    <t>Application inégale des sanctions, nuisant à la cohérence disciplinaire.</t>
  </si>
  <si>
    <t>Charte du comité d’éthique</t>
  </si>
  <si>
    <t>Existe-t-il un comité d'éthique analysant toutes infractions signalées ?</t>
  </si>
  <si>
    <t>Un comité d'éthique analyse toutes infractions signalées</t>
  </si>
  <si>
    <t>Structurer et renforcer le rôle du comité d’éthique pour améliorer sa prise de décision</t>
  </si>
  <si>
    <t>Non-respect des protocoles de signalement, entraînant des abus.</t>
  </si>
  <si>
    <t>Informations incomplètes ou occultées,</t>
  </si>
  <si>
    <t>Guide des bonnes pratiques en matière de signalement</t>
  </si>
  <si>
    <t>Former les employés aux protocoles de signalement pour éviter les abus</t>
  </si>
  <si>
    <t>Faible taux de signalement des infractions éthiques.</t>
  </si>
  <si>
    <t>Gouvernance mal définie,</t>
  </si>
  <si>
    <t>Procédure de signalement des violations éthiques</t>
  </si>
  <si>
    <t>Un processus clair est-il défini pour signaler et pour traiter les violations éthiques ?</t>
  </si>
  <si>
    <t>Un processus clair est défini pour signalé pour traiter les violations éthiques</t>
  </si>
  <si>
    <t>S’assurer que l'organisation dispose d'un mécanisme de suivi et de
 gestion des violations éthiques, permettant de détecter, traiter et
 sanctionner tout comportement contraire à la charte éthique, y
 compris dans le cadre des activités liées aux systèmes
 d'information</t>
  </si>
  <si>
    <t>Encourager activement le signalement des infractions en garantissant l’anonymat</t>
  </si>
  <si>
    <t>Manque de conformité aux exigences de formation obligatoire.</t>
  </si>
  <si>
    <t>. Incompréhension des procédures,</t>
  </si>
  <si>
    <t>Rapport de suivi des formations obligatoires</t>
  </si>
  <si>
    <t>Instaurer un contrôle strict du respect des obligations de formation éthique</t>
  </si>
  <si>
    <t>Injustice perçue entre employés formés et non formés.</t>
  </si>
  <si>
    <t>Faible utilisation en raison de la peur des représailles.</t>
  </si>
  <si>
    <t>Liste des employés formés et non formés</t>
  </si>
  <si>
    <t>Un suivi des formations est-il réalisé pour identifier les personnes non formées?</t>
  </si>
  <si>
    <t>Un suivi des formations est réalisé pour identifier les personnes non formées</t>
  </si>
  <si>
    <t>Garantir une égalité de formation pour éviter les injustices perçues</t>
  </si>
  <si>
    <t>Mauvaise interprétation des résultats d’évaluation.</t>
  </si>
  <si>
    <t>Non-conformité en cas d’absence de contrôle strict des formations suivies.</t>
  </si>
  <si>
    <t>Clarifier les critères d’évaluation et assurer la transparence des résultats</t>
  </si>
  <si>
    <t>Évaluation biaisée de l’impact de la formation.</t>
  </si>
  <si>
    <t>Discrimination si l’accès à la formation est inégalement réparti.</t>
  </si>
  <si>
    <t>Questionnaires d’évaluation post-formation</t>
  </si>
  <si>
    <t>Les sessions incluent-elles des tests d'évaluation pour mesurer la compréhension des employés?</t>
  </si>
  <si>
    <t>Les sessions incluent des tests d'évaluation pour mesurer la compréhension des employés</t>
  </si>
  <si>
    <t>Établir des indicateurs objectifs pour évaluer l’impact réel des formations</t>
  </si>
  <si>
    <t>Mauvaise compréhension des enjeux éthiques dans les situations concrètes.</t>
  </si>
  <si>
    <t>Mauvaise interprétation des performances des employés formés.</t>
  </si>
  <si>
    <t>Études de cas utilisées en formation</t>
  </si>
  <si>
    <t>Organiser des mises en situation pour améliorer la compréhension des enjeux éthiques</t>
  </si>
  <si>
    <t>Manque de préparation aux dilemmes éthiques réels.</t>
  </si>
  <si>
    <t>Réponses biaisées</t>
  </si>
  <si>
    <t>Supports pédagogiques des mises en situation</t>
  </si>
  <si>
    <t>Y a-t'il des mises en situation et études de cas pour illustrer les principes éthiques ?</t>
  </si>
  <si>
    <t>Des mises en situation et études de cas pour illustrer les principes éthiques</t>
  </si>
  <si>
    <t>Sensibiliser les employés à la gestion des dilemmes éthiques à travers des cas pratiques</t>
  </si>
  <si>
    <t>Détournement ou falsification des certificats de formation.</t>
  </si>
  <si>
    <t>Exemples obsolètes,</t>
  </si>
  <si>
    <t>Certificats de formation des employés</t>
  </si>
  <si>
    <t>Renforcer la sécurité et l’authenticité des certificats de formation</t>
  </si>
  <si>
    <t>Scénarios non représentatifs des défis éthiques réels.</t>
  </si>
  <si>
    <t>Registre des participants aux formations</t>
  </si>
  <si>
    <t>Tous les employés suivent-ils une session de formation annuelle sur l'éthique?</t>
  </si>
  <si>
    <t>Tous les employés suivent une session de formation annuelle sur l'éthique</t>
  </si>
  <si>
    <t>Mettre en place un suivi régulier de l’évolution des compétences éthiques</t>
  </si>
  <si>
    <t>Absence de suivi sur l’évolution des compétences éthiques.</t>
  </si>
  <si>
    <t>Falsification ou non-reconnaissance officielle des certifications.</t>
  </si>
  <si>
    <t>Calendrier des sessions de formation</t>
  </si>
  <si>
    <t>Rendre les formations plus engageantes et adaptées aux attentes des employés</t>
  </si>
  <si>
    <t>Désengagement des employés face aux formations.</t>
  </si>
  <si>
    <t>Absence de suivi des employés formés et non formés.</t>
  </si>
  <si>
    <t>Plan de formation éthique</t>
  </si>
  <si>
    <t>Un programme de formation éthique est-il défini avec une fréquence obligatoire?</t>
  </si>
  <si>
    <t>Un programme de formation éthique est défini avec une fréquence obligatoire</t>
  </si>
  <si>
    <t>S’assurer que des actions de sensibilisation, telles que des
 formations régulières, sont mises en place pour garantir que tous les
 employés et intervenants comprennent et appliquent les principes
 éthiques dans leurs interactions avec les systèmes d'information</t>
  </si>
  <si>
    <t>Augmenter la fréquence et la qualité des formations éthiques</t>
  </si>
  <si>
    <t>Employés insuffisamment formés aux questions éthiques.</t>
  </si>
  <si>
    <t>Non-respect des échéances,</t>
  </si>
  <si>
    <t>Matériel de formation sur l’éthique</t>
  </si>
  <si>
    <t>Adapter les formations aux enjeux réels rencontrés par les employés</t>
  </si>
  <si>
    <t>Formation inefficace, ne répondant pas aux attentes.</t>
  </si>
  <si>
    <t>Inégalités dans l’accès à la formation,</t>
  </si>
  <si>
    <t>Programme d’intégration des nouvelles recrues</t>
  </si>
  <si>
    <t>Les nouvelles recrues reçoivent-ils une formation spécifique sur la charte éthique ?</t>
  </si>
  <si>
    <t>Les nouvelles recrues reçoivent une formation spécifique sur la charte éthique</t>
  </si>
  <si>
    <t>Intégrer une formation éthique obligatoire pour les nouveaux employés</t>
  </si>
  <si>
    <t>Faible culture éthique chez les nouveaux employés.</t>
  </si>
  <si>
    <t>Contenu inadapté ou dépassé,</t>
  </si>
  <si>
    <t>Rapports d’audit interne sur l’éthique</t>
  </si>
  <si>
    <t>Améliorer la transparence et l’indépendance des audits internes</t>
  </si>
  <si>
    <t>Manque de crédibilité des audits internes.</t>
  </si>
  <si>
    <t>Sensibilisation insuffisante aux valeurs éthiques dès l’arrivée.</t>
  </si>
  <si>
    <t>Tableau de bord des indicateurs éthiques</t>
  </si>
  <si>
    <t>Des indicateurs de performance mesurent-ils l'application de la charte dans les activités courantes?</t>
  </si>
  <si>
    <t>Des indicateurs de performance mesurent l'application de la charte dans les activités courantes</t>
  </si>
  <si>
    <t>Développer des indicateurs de suivi pour mesurer l’évolution des pratiques éthiques</t>
  </si>
  <si>
    <t>Incapacité à mesurer l’évolution des pratiques éthiques.</t>
  </si>
  <si>
    <t>Rapports incomplets</t>
  </si>
  <si>
    <t>Liste des référents éthiques</t>
  </si>
  <si>
    <t>Créer un réseau de référents éthiques pour mieux traiter les problématiques internes</t>
  </si>
  <si>
    <t>Absence de relais efficaces pour traiter les problématiques éthiques.</t>
  </si>
  <si>
    <t>Indicateurs mal définis</t>
  </si>
  <si>
    <t>Charte éthique</t>
  </si>
  <si>
    <t>Les collaborateurs ont-ils un référent éthique à qui poser leurs questions en cas de doute ?</t>
  </si>
  <si>
    <t>Les collaborateurs ont un référent éthique à qui poser leurs questions en cas de doute</t>
  </si>
  <si>
    <t>Proposer des formations interactives pour éviter toute mauvaise interprétation des règles éthiques</t>
  </si>
  <si>
    <t>Méconnaissance ou mauvaise interprétation des règles éthiques.</t>
  </si>
  <si>
    <t>Conflits d’intérêts si les référents ne sont pas indépendants.</t>
  </si>
  <si>
    <t>Garantir la protection des données et la conformité aux réglementations en vigueur</t>
  </si>
  <si>
    <t>Problèmes de confidentialité et de conformité juridique.</t>
  </si>
  <si>
    <t>Violation de la confidentialité des données des employés sanctionnés.</t>
  </si>
  <si>
    <t>Règlement disciplinaire</t>
  </si>
  <si>
    <t>Un processus de sanction est-il défini et appliqué en cas de non-respect des règles?</t>
  </si>
  <si>
    <t>Un processus de sanction est défini et appliqué en cas de non-respect des règles</t>
  </si>
  <si>
    <t>Mettre en place un dispositif de médiation et encourager le dialogue interne</t>
  </si>
  <si>
    <t>Climat de travail détérioré et tensions internes.</t>
  </si>
  <si>
    <t>Sanctions inappropriées,</t>
  </si>
  <si>
    <t>Évaluer et ajuster périodiquement les pratiques éthiques de l’entreprise</t>
  </si>
  <si>
    <t>Absence d’amélioration des pratiques éthiques.</t>
  </si>
  <si>
    <t>Manipulation des résultats</t>
  </si>
  <si>
    <t>Plan d’audit éthique</t>
  </si>
  <si>
    <t>Des contrôles réguliers sont-ils effectués pour vérifier le respect des règles éthiques?</t>
  </si>
  <si>
    <t>Des contrôles réguliers sont effectués pour vérifier le respect des règles éthiques</t>
  </si>
  <si>
    <t>Vérifier que des mécanismes existent pour garantir que tous les
 acteurs (employés, partenaires, prestataires) respectent cette charte
 éthique dans leurs activités professionnelles, y compris dans leur
 utilisation des systèmes d'information</t>
  </si>
  <si>
    <t>Déployer des outils de détection précoce des fraudes et renforcer les contrôles internes</t>
  </si>
  <si>
    <t>Risques de fraudes non détectés à temps.</t>
  </si>
  <si>
    <t>Couverture insuffisante des risques éthiques</t>
  </si>
  <si>
    <t>Rapport annuel du comité d’éthique</t>
  </si>
  <si>
    <t>Réaliser des enquêtes internes pour évaluer la perception de l’éthique dans l’entreprise</t>
  </si>
  <si>
    <t>Vision faussée de l’état de l’éthique dans l’entreprise.</t>
  </si>
  <si>
    <t>Omission d’incidents éthiques</t>
  </si>
  <si>
    <t>Charte de gouvernance du comité d’éthique</t>
  </si>
  <si>
    <t>Existe-t-il un comité d'éthique chargé de l'application des termes de son application et de son amélioration continue?</t>
  </si>
  <si>
    <t>Un comité d'éthique est chargé de l'application des termes de son application et de son amélioration continue</t>
  </si>
  <si>
    <t>Définir des rôles clairs et assurer l’indépendance du comité d’éthique</t>
  </si>
  <si>
    <t>Inefficacité du comité d’éthique et perte de crédibilité.</t>
  </si>
  <si>
    <t>Manque de clarté sur les missions du comité,.</t>
  </si>
  <si>
    <t>Formulaire d’adhésion aux règles éthiques</t>
  </si>
  <si>
    <t>S’assurer de la traçabilité des engagements éthiques pour limiter les risques juridiques</t>
  </si>
  <si>
    <t>Risque juridique en cas de litige sur l’engagement éthique.</t>
  </si>
  <si>
    <t>Falsification des signatures ou absence d’engagement formel.</t>
  </si>
  <si>
    <t>Registre des engagements signés par les employés</t>
  </si>
  <si>
    <t>Les employés signent-ils un engagement attestant qu'ils ont lu et compris la charte éthique?</t>
  </si>
  <si>
    <t>Les employés signent un engagement attestant qu'ils ont lu et compris la charte éthique</t>
  </si>
  <si>
    <t>Instaurer un système de documentation pour prouver l’adhésion aux principes éthiques</t>
  </si>
  <si>
    <t>Impossibilité de prouver l’adhésion aux principes éthiques.</t>
  </si>
  <si>
    <t>Non-preuve d’adhésion aux règles éthiques en cas de litige.</t>
  </si>
  <si>
    <t>Historique des versions de la charte éthique</t>
  </si>
  <si>
    <t>Clarifier les règles éthiques à travers des guides pratiques et des formations adaptées</t>
  </si>
  <si>
    <t>Confusion dans l’application des règles éthiques.</t>
  </si>
  <si>
    <t>Confusion entre les différentes versions,</t>
  </si>
  <si>
    <t>Plan de mise à jour des documents internes</t>
  </si>
  <si>
    <t>La charte éthique est-elle mise à jour régulièrement en fonction des évolutions réglementaires et organisationnelle?</t>
  </si>
  <si>
    <t>La charte éthique est mise à jour régulièrement en fonction des évolutions réglementaires et organisationnelle</t>
  </si>
  <si>
    <t>Effectuer des audits de conformité réguliers et assurer une veille réglementaire</t>
  </si>
  <si>
    <t>Non-conformité aux réglementations et aux normes internes.</t>
  </si>
  <si>
    <t>Non-prise en compte des mises à jour réglementaires, .</t>
  </si>
  <si>
    <t>Procès-verbal de validation de la charte éthique</t>
  </si>
  <si>
    <t>Communiquer régulièrement sur la charte éthique et impliquer les employés dans son élaboration</t>
  </si>
  <si>
    <t>Remise en cause de la légitimité de la charte éthique.</t>
  </si>
  <si>
    <t>Absence de traçabilité des validations,</t>
  </si>
  <si>
    <t>Charte éthique et de bonne conduite</t>
  </si>
  <si>
    <t>La charte éthique est-elle officiellement validée et mise à disposition de tous les employés?</t>
  </si>
  <si>
    <t>La charte éthique est officiellement validée et mise à disposition de tous les employés</t>
  </si>
  <si>
    <t>Mettre en place des contrôles renforcés pour limiter les fraudes et améliorer la cybersécurité</t>
  </si>
  <si>
    <t>Augmentation des risques de fraude et de cybersécurité.</t>
  </si>
  <si>
    <t>Usage inapproprié des outils informatiques.</t>
  </si>
  <si>
    <t>Politique d’utilisation des systèmes d’information</t>
  </si>
  <si>
    <t>Renforcer la sensibilisation et l’engagement des employés à l’éthique de l’entreprise</t>
  </si>
  <si>
    <t>Manque d’implication des employés dans l’éthique de l’entreprise.</t>
  </si>
  <si>
    <t>Non-respect des principes éthiques par manque de sensibilisation.</t>
  </si>
  <si>
    <t>Existe-t-il une charte couvrant tous les aspects des interactions professionnelles et des systèmes d'information?</t>
  </si>
  <si>
    <t>La charte existe et couvre tous les aspects des interactions professionnelles et des systèmes d'information</t>
  </si>
  <si>
    <t>S’assurer que l'organisation dispose d'une charte éthique formelle
 qui couvre l'ensemble des pratiques professionnelles et des
 interactions au sein de l'organisation, y compris les activités liées
 aux systèmes d'information</t>
  </si>
  <si>
    <t>Engagement envers l’intégrité et les valeurs éthiques</t>
  </si>
  <si>
    <t>Environnement de Contrôle</t>
  </si>
  <si>
    <t>Recommandations</t>
  </si>
  <si>
    <t>Conséquences</t>
  </si>
  <si>
    <t>Criticité</t>
  </si>
  <si>
    <t>Risques</t>
  </si>
  <si>
    <t>Documents Requis</t>
  </si>
  <si>
    <t>Reponses</t>
  </si>
  <si>
    <t>Questions d'évaluation</t>
  </si>
  <si>
    <t>Critères d’Évaluation</t>
  </si>
  <si>
    <t>Objectifs de Contrôle</t>
  </si>
  <si>
    <t>Points de Contrôle</t>
  </si>
  <si>
    <t>Domaines</t>
  </si>
  <si>
    <t>Audit et Contrôle des Projets Informatiques</t>
  </si>
  <si>
    <t xml:space="preserve">Objectifs et enjeux du projet </t>
  </si>
  <si>
    <t>S'assurer qu’une étude de la valeur et des études d'opportunitéet d'impacts ont été réalisé</t>
  </si>
  <si>
    <t>C</t>
  </si>
  <si>
    <t>Une étude d’opportunité a-t-elle été réalisée et validée ?</t>
  </si>
  <si>
    <t>Oui</t>
  </si>
  <si>
    <t>Étude d’opportunité, Note de cadrage</t>
  </si>
  <si>
    <t>Décisions prises sans vision globale</t>
  </si>
  <si>
    <t>Élevée</t>
  </si>
  <si>
    <t>Mauvais positionnement du projet</t>
  </si>
  <si>
    <t>Réaliser une étude d’opportunité en phase de cadrage</t>
  </si>
  <si>
    <t>Réalisation d’une étude de la valeur</t>
  </si>
  <si>
    <t>L’étude de la valeur a-t-elle permis d’identifier des axes d’amélioration ?</t>
  </si>
  <si>
    <t>Rapport d’étude de la valeur, Analyse fonctionnelle</t>
  </si>
  <si>
    <t>Gains potentiels non identifiés</t>
  </si>
  <si>
    <t>Sous-performance du projet</t>
  </si>
  <si>
    <t>Intégrer systématiquement une étude de la valeur dans la préparation</t>
  </si>
  <si>
    <t xml:space="preserve">Analyse d’impact multidimensionnelle </t>
  </si>
  <si>
    <t>Les impacts (financiers, humains, techniques) ont-ils été évalués ?</t>
  </si>
  <si>
    <t>Étude d’impact, Matrice d’impact</t>
  </si>
  <si>
    <t>Sous-estimation des contraintes</t>
  </si>
  <si>
    <t>Conflits, dérives de budget ou de planning</t>
  </si>
  <si>
    <t>Réaliser une analyse d’impact complète</t>
  </si>
  <si>
    <t>Validation formelle des études</t>
  </si>
  <si>
    <t>Les études ont-elles été validées par les parties prenantes ?</t>
  </si>
  <si>
    <t>Oui,</t>
  </si>
  <si>
    <t>Plan stratégique; Feuille de route projet</t>
  </si>
  <si>
    <t xml:space="preserve"> Absence de soutien des décideurs</t>
  </si>
  <si>
    <t>Rejet du projet en phase de mise en œuvre</t>
  </si>
  <si>
    <t xml:space="preserve">Organiser une validation formelle avec les instances clés
</t>
  </si>
  <si>
    <t>Alignement avec la stratégie de l’organisation</t>
  </si>
  <si>
    <t>L’étude montre-t-elle un alignement avec la stratégie globale ?</t>
  </si>
  <si>
    <t>oui</t>
  </si>
  <si>
    <t>Procès-verbal de validation, Liste des parties prenantes</t>
  </si>
  <si>
    <t>Projet en décalage avec les priorités</t>
  </si>
  <si>
    <t xml:space="preserve">Faible engagement des acteurs
</t>
  </si>
  <si>
    <t>Vérifier la cohérence stratégique en amont</t>
  </si>
  <si>
    <t xml:space="preserve">S’assurer qu’un bilan critique des processus existants a étéeffectué </t>
  </si>
  <si>
    <t>Existence d'un bilan des processus existants</t>
  </si>
  <si>
    <t>Un bilan critique des processus existants a-t-il été réalisé ?</t>
  </si>
  <si>
    <t>Bilan des processus, Rapport d’audit des processus</t>
  </si>
  <si>
    <t>Manque de vision globale des processus</t>
  </si>
  <si>
    <t>Absence de vision claire sur les processus à améliorer</t>
  </si>
  <si>
    <t>Effectuer un bilan des processus existants dès le début du projet.</t>
  </si>
  <si>
    <t>Analyse des points de défaillance des processus</t>
  </si>
  <si>
    <t>Les points faibles et les défaillances des processus existants ont-ils été identifiés ?</t>
  </si>
  <si>
    <t>Analyse des points de défaillance, Cartographie des processus</t>
  </si>
  <si>
    <t>Identification incomplète des points faibles</t>
  </si>
  <si>
    <t xml:space="preserve"> Inefficacité persistante des processus</t>
  </si>
  <si>
    <t xml:space="preserve">Réaliser une analyse complète des points de défaillance </t>
  </si>
  <si>
    <t>Identification des processus clés</t>
  </si>
  <si>
    <t>Les processus clés pour l’entreprise ont-ils été clairement identifiés et analysés ?</t>
  </si>
  <si>
    <t>Liste des processus clés, Plan de processus</t>
  </si>
  <si>
    <t>Omission de processus critiques pour l’organisation</t>
  </si>
  <si>
    <t xml:space="preserve"> Processus inefficaces non priorisés</t>
  </si>
  <si>
    <t>Identifier clairement les processus clés et assurer un suivi rigoureux</t>
  </si>
  <si>
    <t>Recommandations d'amélioration</t>
  </si>
  <si>
    <t>Des recommandations d’amélioration ont-elles été formulées pour chaque processus critique ?</t>
  </si>
  <si>
    <t>Rapport de recommandations, Plan d’action d’amélioration</t>
  </si>
  <si>
    <t>Recommandations non adaptées ou irréalistes</t>
  </si>
  <si>
    <t>Retard dans l'amélioration des processus clés</t>
  </si>
  <si>
    <t xml:space="preserve"> Élaborer des recommandations réalistes </t>
  </si>
  <si>
    <t>Implication des parties prenantes</t>
  </si>
  <si>
    <t>Les parties prenantes ont-elles été impliquées dans l’évaluation des processus ?</t>
  </si>
  <si>
    <t xml:space="preserve"> Compte-rendu des réunions de parties prenantes</t>
  </si>
  <si>
    <t xml:space="preserve">Résistance au changement ou manque de soutien des parties prenantes
</t>
  </si>
  <si>
    <t xml:space="preserve">Manque d’adhésion </t>
  </si>
  <si>
    <t xml:space="preserve">Impliquer activement les parties prenantes </t>
  </si>
  <si>
    <t>S’assurer que le choix de recourir à un nouveau système estobtenu après optimisation des processus concernés et vérification que cette optimisation ne suffit pas à apporter par elle-même les gains de performance attendus</t>
  </si>
  <si>
    <t>Définition des objectifs du projet</t>
  </si>
  <si>
    <t>Les objectifs du projet ont-ils été clairement définis et communiqués à toutes les parties prenantes ?</t>
  </si>
  <si>
    <t>Fiche projet, Note de cadrage</t>
  </si>
  <si>
    <t>Objectifs flous entraînant des malentendus et des dérives</t>
  </si>
  <si>
    <t xml:space="preserve"> Dérives de planning et livrables incohérents</t>
  </si>
  <si>
    <t xml:space="preserve"> Formaliser les objectifs dès la phase de cadrage</t>
  </si>
  <si>
    <t xml:space="preserve"> Partage des objectifs avec les parties prenantes</t>
  </si>
  <si>
    <t>Les objectifs du projet ont-ils été partagés de manière transparente avec toutes les parties prenantes ?</t>
  </si>
  <si>
    <t>Compte rendu de réunion de lancement, Présentation de cadrage</t>
  </si>
  <si>
    <t>Manque d’adhésion des parties prenantes</t>
  </si>
  <si>
    <t>Faible mobilisation et incompréhensions</t>
  </si>
  <si>
    <t>Organiser des ateliers et communications claires avec toutes les partie</t>
  </si>
  <si>
    <t>Validation des objectifs par les parties prenantes</t>
  </si>
  <si>
    <t>Les parties prenantes ont-elles validé les objectifs du projet ?</t>
  </si>
  <si>
    <t>Procès-verbal de comité de pilotage, Liste de validation des exigences</t>
  </si>
  <si>
    <t>Blocages ultérieurs en cas de désaccord</t>
  </si>
  <si>
    <t>Conflits en phase de réalisation</t>
  </si>
  <si>
    <t xml:space="preserve"> Impliquer les parties prenantes dans les comités de décision</t>
  </si>
  <si>
    <t>Définition du périmètre du projet</t>
  </si>
  <si>
    <t>Le périmètre du projet a-t-il été clairement défini et est-il compris par toutes les parties prenantes ?</t>
  </si>
  <si>
    <t>Document de périmètre, Cahier des charges</t>
  </si>
  <si>
    <t>Extension non maîtrisée du périmètre (effet tunnel)</t>
  </si>
  <si>
    <t>Livrables non conformes aux attentes</t>
  </si>
  <si>
    <t xml:space="preserve"> Délimiter le périmètre avec des critères d’inclusion/exclusion</t>
  </si>
  <si>
    <t>Stabilisation des objectifs et du périmètre</t>
  </si>
  <si>
    <t>Les objectifs et le périmètre du projet sont-ils stables et ne subissent-ils pas de changements fréquents ?</t>
  </si>
  <si>
    <t>Plan de gestion du périmètre, Tableau de suivi des évolutions</t>
  </si>
  <si>
    <t xml:space="preserve"> Instabilité des objectifs freinant l’avancement du projet</t>
  </si>
  <si>
    <t xml:space="preserve"> Re-travail, retards, dépassement de budget
</t>
  </si>
  <si>
    <t>Mettre en place un dispositif de gestion des évolutions</t>
  </si>
  <si>
    <t>S’assure que les objectifs et périmètres du projet sont définis,partagés et stabilisés</t>
  </si>
  <si>
    <t>Liste des acteurs identifiés</t>
  </si>
  <si>
    <t xml:space="preserve"> Les principaux acteurs du projet ont-ils été identifiés ?</t>
  </si>
  <si>
    <t>Registre des parties prenantes, Organigramme projet</t>
  </si>
  <si>
    <t>Oubli d’un acteur critique</t>
  </si>
  <si>
    <t>Conflits ou blocages</t>
  </si>
  <si>
    <t>Identifier tous les acteurs dès le démarrage</t>
  </si>
  <si>
    <t>Classification des acteurs (internes / externes / influence / décision)</t>
  </si>
  <si>
    <t>Les acteurs ont-ils été catégorisés selon leur rôle ?</t>
  </si>
  <si>
    <t>PV de validation, Note de cadrage</t>
  </si>
  <si>
    <t xml:space="preserve"> Mauvaise communication avec des parties prenantes clés</t>
  </si>
  <si>
    <t xml:space="preserve"> Moyenne</t>
  </si>
  <si>
    <t>Retards dans la validation</t>
  </si>
  <si>
    <t xml:space="preserve"> Clarifier les rôles et responsabilités</t>
  </si>
  <si>
    <t xml:space="preserve"> Validation de la liste des acteurs par la gouvernance du projet</t>
  </si>
  <si>
    <t>La liste des acteurs a-t-elle été validée ?</t>
  </si>
  <si>
    <t>Cartographie des parties prenantes, Matrice d’influence</t>
  </si>
  <si>
    <t xml:space="preserve"> Décisions prises sans consultation adéquate</t>
  </si>
  <si>
    <t xml:space="preserve"> Élevée</t>
  </si>
  <si>
    <t xml:space="preserve"> Décisions non soutenues</t>
  </si>
  <si>
    <t xml:space="preserve"> Valider formellement la liste avec la gouvernance</t>
  </si>
  <si>
    <t>Cartographie des parties prenantes réalisée</t>
  </si>
  <si>
    <t xml:space="preserve"> Une cartographie des parties prenantes est-elle disponible ?</t>
  </si>
  <si>
    <t>Plan de communication, Journal des modifications</t>
  </si>
  <si>
    <t xml:space="preserve"> Résistance au changement non anticipée</t>
  </si>
  <si>
    <t xml:space="preserve"> Manque d’adhésion</t>
  </si>
  <si>
    <t>Mettre à jour la cartographie régulièrement</t>
  </si>
  <si>
    <t>Mise à jour régulière de la liste des acteurs</t>
  </si>
  <si>
    <t>La liste des acteurs est-elle mise à jour en fonction de l’évolution du projet ?</t>
  </si>
  <si>
    <t xml:space="preserve"> Gouvernance affaiblie</t>
  </si>
  <si>
    <t xml:space="preserve"> Perte de pilotage</t>
  </si>
  <si>
    <t>Communiquer régulièrement avec les acteurs identifiés</t>
  </si>
  <si>
    <t>S’assurer que les principales orientations du système cible ontété explicitées ;</t>
  </si>
  <si>
    <t xml:space="preserve"> Exigences utilisateurs documentées et validées  </t>
  </si>
  <si>
    <t xml:space="preserve">Les besoins des utilisateurs sont-ils formellement recensés et validés ?  </t>
  </si>
  <si>
    <t xml:space="preserve">Cahier des charges fonctionnel  </t>
  </si>
  <si>
    <t xml:space="preserve">Inadéquation de la solution aux attentes réelles  </t>
  </si>
  <si>
    <t xml:space="preserve"> Non-adhésion des utilisateurs finaux  </t>
  </si>
  <si>
    <t xml:space="preserve">Impliquer les utilisateurs clés dès la phase de conception  </t>
  </si>
  <si>
    <t xml:space="preserve">Populations ciblées clairement identifiées  </t>
  </si>
  <si>
    <t xml:space="preserve">- Les populations ciblées sont-elles identifiées avec précision ?  </t>
  </si>
  <si>
    <t xml:space="preserve"> Études de besoins utilisateurs</t>
  </si>
  <si>
    <t xml:space="preserve"> Mauvaise adoption par Les utilisateurs</t>
  </si>
  <si>
    <t xml:space="preserve">Déploiement d'une solution inadaptée  </t>
  </si>
  <si>
    <t xml:space="preserve"> Formaliser Les exigences dans un document validé</t>
  </si>
  <si>
    <t xml:space="preserve"> options fonctionnelles définies et justifiées</t>
  </si>
  <si>
    <t xml:space="preserve">- Les différentes options fonctionnelles ont-elles été analysées ?  </t>
  </si>
  <si>
    <t>Grille de comparaison des options</t>
  </si>
  <si>
    <t>Fonctionnalités inutiles ou manquantes</t>
  </si>
  <si>
    <t xml:space="preserve"> Perte de temps et de ressources</t>
  </si>
  <si>
    <t>Réaliser des ateliers de recueil des besoins</t>
  </si>
  <si>
    <t>Traçabilité des besoins jusqu’aux spécifications</t>
  </si>
  <si>
    <t xml:space="preserve">- Existe-t-il un lien clair entre exigences et spécifications ?  </t>
  </si>
  <si>
    <t>Comptes rendus des ateliers utilisateurs</t>
  </si>
  <si>
    <t>Surcharge des coûts de développement</t>
  </si>
  <si>
    <t>Reprise coûteuse du développement</t>
  </si>
  <si>
    <t xml:space="preserve"> Prévoir des tests utilisateurs en amont</t>
  </si>
  <si>
    <t>- Implication des utilisateurs dans la phase de recueil</t>
  </si>
  <si>
    <t>- Les utilisateurs ont-ils été consultés lors de la définition des besoins ?</t>
  </si>
  <si>
    <t>Spécifications fonctionnelles validées</t>
  </si>
  <si>
    <t>Retards dans le projet</t>
  </si>
  <si>
    <t>Baisse de performance ou d’efficacité du système</t>
  </si>
  <si>
    <t>Mettre à jour régulièrement le cahier des charges en fonction des retours</t>
  </si>
  <si>
    <t xml:space="preserve">S’assurer que les principaux acteurs sont identifiés </t>
  </si>
  <si>
    <t xml:space="preserve"> Existence d’un plan directeur informatique validé  </t>
  </si>
  <si>
    <t xml:space="preserve"> Le plan directeur informatique est-il formalisé et accessible ?  </t>
  </si>
  <si>
    <t xml:space="preserve">Plan directeur informatique, schéma directeur SI  </t>
  </si>
  <si>
    <t xml:space="preserve"> Mauvais alignement stratégique  </t>
  </si>
  <si>
    <t xml:space="preserve">Élevée  </t>
  </si>
  <si>
    <t xml:space="preserve">Perte d’alignement stratégique  </t>
  </si>
  <si>
    <t xml:space="preserve">Aligner le projet sur le plan directeur  </t>
  </si>
  <si>
    <t xml:space="preserve">– Alignement du projet avec les axes stratégiques du plan  </t>
  </si>
  <si>
    <t xml:space="preserve">– Le projet répond-il à un ou plusieurs objectifs stratégiques du plan ?  </t>
  </si>
  <si>
    <t xml:space="preserve">– Note de cadrage, fiche projet validée  </t>
  </si>
  <si>
    <t xml:space="preserve">– Surcoûts dus à des réajustements tardifs  </t>
  </si>
  <si>
    <t xml:space="preserve">Dépenses inutiles  </t>
  </si>
  <si>
    <t xml:space="preserve">Faire valider les choix par la DSI  </t>
  </si>
  <si>
    <t xml:space="preserve">– Prise en compte des priorités définies par le plan  </t>
  </si>
  <si>
    <t xml:space="preserve">– Les priorités du plan ont-elles été prises en compte dans le projet ?  </t>
  </si>
  <si>
    <t xml:space="preserve">– Cahier des charges fonctionnel, spécifications générales  </t>
  </si>
  <si>
    <t xml:space="preserve">– Rejet du projet par la DSI ou les métiers  </t>
  </si>
  <si>
    <t xml:space="preserve">Moyenne à élevée  </t>
  </si>
  <si>
    <t xml:space="preserve">Échec du projet  </t>
  </si>
  <si>
    <t xml:space="preserve">Mettre en place une gouvernance claire  </t>
  </si>
  <si>
    <t xml:space="preserve">– Intégration des technologies et architectures cibles  </t>
  </si>
  <si>
    <t xml:space="preserve">– Le projet utilise-t-il les technologies recommandées dans le plan ?  </t>
  </si>
  <si>
    <t xml:space="preserve">– Comptes rendus de réunions DSI/métiers, PV de comité de pilotage  </t>
  </si>
  <si>
    <t xml:space="preserve">– Duplications de solutions déjà existantes  </t>
  </si>
  <si>
    <t>Élevée  </t>
  </si>
  <si>
    <t xml:space="preserve">Retards dans la mise en œuvre  </t>
  </si>
  <si>
    <t xml:space="preserve">Impliquer les métiers dès la phase de cadrage  </t>
  </si>
  <si>
    <t>– Mise à jour du plan directeur en fonction du projet</t>
  </si>
  <si>
    <t>– Le plan directeur a-t-il été mis à jour suite au lancement du projet ?</t>
  </si>
  <si>
    <t>– Étude de faisabilité, grille d’analyse de la cohérence stratégique</t>
  </si>
  <si>
    <t>– Perte de cohérence du système d’information global</t>
  </si>
  <si>
    <t>Insatisfaction des utilisateurs</t>
  </si>
  <si>
    <t>Réaliser des revues régulières de conformité au plan directeur</t>
  </si>
  <si>
    <t xml:space="preserve">S’assurer que les coûts sont évalués </t>
  </si>
  <si>
    <t xml:space="preserve">Alignement avec l’architecture technique existante  </t>
  </si>
  <si>
    <t xml:space="preserve">Le projet respecte-t-il l’architecture technique actuelle de l’organisation ?  </t>
  </si>
  <si>
    <t xml:space="preserve"> Plan directeur informatique  </t>
  </si>
  <si>
    <t xml:space="preserve"> Inadéquation de la solution aux besoins réels  </t>
  </si>
  <si>
    <t xml:space="preserve">Incohérence entre les systèmes en place  </t>
  </si>
  <si>
    <t xml:space="preserve"> Réaliser une cartographie du SI existant et cible  </t>
  </si>
  <si>
    <t xml:space="preserve">– Compatibilité avec les applications en place  </t>
  </si>
  <si>
    <t xml:space="preserve">– La solution est-elle compatible avec les logiciels déjà utilisés ?  </t>
  </si>
  <si>
    <t xml:space="preserve">– Dossier d’architecture technique  </t>
  </si>
  <si>
    <t xml:space="preserve">– Blocage de l’intégration dans l’environnement existant  </t>
  </si>
  <si>
    <t xml:space="preserve">– Surcoûts liés à des adaptations non prévues  </t>
  </si>
  <si>
    <t xml:space="preserve">– Intégrer une analyse d’impacts en amont du projet  </t>
  </si>
  <si>
    <t xml:space="preserve">– Prise en compte des projets SI futurs  </t>
  </si>
  <si>
    <t xml:space="preserve">– Le projet prend-il en compte les évolutions prévues du SI ?  </t>
  </si>
  <si>
    <t xml:space="preserve">– Schéma directeur du SI  </t>
  </si>
  <si>
    <t xml:space="preserve">– Perte de temps et de ressources  </t>
  </si>
  <si>
    <t xml:space="preserve">– Allongement des délais de mise en œuvre  </t>
  </si>
  <si>
    <t xml:space="preserve">– Impliquer les architectes SI dans la validation des choix  </t>
  </si>
  <si>
    <t xml:space="preserve">– Respect des standards technologiques internes  </t>
  </si>
  <si>
    <t xml:space="preserve">– Les technologies choisies sont-elles conformes aux standards internes ?  </t>
  </si>
  <si>
    <t xml:space="preserve">– Étude d'impact SI  </t>
  </si>
  <si>
    <t xml:space="preserve">– Complexité de maintenance accrue  </t>
  </si>
  <si>
    <t>– Difficultés d’intégration technique et fonctionnelle</t>
  </si>
  <si>
    <t xml:space="preserve">– Mettre à jour régulièrement le schéma directeur  </t>
  </si>
  <si>
    <t>– Capacité d’intégration avec les systèmes tiers</t>
  </si>
  <si>
    <t>– La solution peut-elle s’intégrer facilement aux systèmes partenaires ?</t>
  </si>
  <si>
    <t xml:space="preserve">– Cartographie applicative  </t>
  </si>
  <si>
    <t>– Rejet du projet par les utilisateurs finaux</t>
  </si>
  <si>
    <t xml:space="preserve">Retards importants dans le projet  </t>
  </si>
  <si>
    <t xml:space="preserve">Élaborer un planning directeur clair et partagé  </t>
  </si>
  <si>
    <t>S’assurer que les liens et impacts avec des projets connexes etles infrastructures (Datacenter, réseaux, etc.) sont pris en compte.</t>
  </si>
  <si>
    <t xml:space="preserve">Existence d’un planning global validé  </t>
  </si>
  <si>
    <t xml:space="preserve">Un planning directeur global a-t-il été formalisé et validé ?  </t>
  </si>
  <si>
    <t xml:space="preserve"> Planning directeur validé  </t>
  </si>
  <si>
    <t xml:space="preserve">Retards importants dans l’exécution du projet  </t>
  </si>
  <si>
    <t xml:space="preserve">Haute  </t>
  </si>
  <si>
    <t xml:space="preserve">Coordination difficile entre les équipes  </t>
  </si>
  <si>
    <t xml:space="preserve">Mettre à jour régulièrement le planning en fonction de l’avancement  </t>
  </si>
  <si>
    <t xml:space="preserve">– Cohérence entre les plannings des différentes parties prenantes  </t>
  </si>
  <si>
    <t xml:space="preserve">– Les sous-plannings métiers et techniques sont-ils alignés ?  </t>
  </si>
  <si>
    <t xml:space="preserve">– Planning détaillé par lot ou phase  </t>
  </si>
  <si>
    <t xml:space="preserve">– Manque de coordination entre les équipes  </t>
  </si>
  <si>
    <t xml:space="preserve">Surcoûts imprévus  </t>
  </si>
  <si>
    <t xml:space="preserve">Nommer un responsable du suivi de planning  </t>
  </si>
  <si>
    <t xml:space="preserve">– Suivi régulier de l’avancement  </t>
  </si>
  <si>
    <t xml:space="preserve">– Un tableau de bord de suivi est-il utilisé régulièrement ?  </t>
  </si>
  <si>
    <t xml:space="preserve">– Tableau de bord de suivi projet  </t>
  </si>
  <si>
    <t xml:space="preserve">– Conflits de ressources ou de priorités  </t>
  </si>
  <si>
    <t xml:space="preserve">Critique  </t>
  </si>
  <si>
    <t xml:space="preserve">Baisse de la qualité des livrables  </t>
  </si>
  <si>
    <t xml:space="preserve">Coordonner les jalons entre les différentes équipes  </t>
  </si>
  <si>
    <t xml:space="preserve">– Intégration des jalons critiques  </t>
  </si>
  <si>
    <t xml:space="preserve">– Les dates clés (jalons, livrables) sont-elles identifiées ?  </t>
  </si>
  <si>
    <t xml:space="preserve">– Compte-rendu de réunion de pilotage  </t>
  </si>
  <si>
    <t xml:space="preserve">– Dépassement des délais critiques  </t>
  </si>
  <si>
    <t>Non-respect des délais contractuels</t>
  </si>
  <si>
    <t>Utiliser un outil de gestion de projet collaboratif</t>
  </si>
  <si>
    <t>– Mise à jour du planning en cas de dérive</t>
  </si>
  <si>
    <t>– Le planning est-il actualisé en cas de retard ou modification ?</t>
  </si>
  <si>
    <t>– Procédure de mise à jour du planning</t>
  </si>
  <si>
    <t>– Incapacité à anticiper les dérives planning</t>
  </si>
  <si>
    <t>Haute</t>
  </si>
  <si>
    <t xml:space="preserve">Retards dans le lancement du projet  </t>
  </si>
  <si>
    <t xml:space="preserve"> Élaborer un plan de projet clair et validé dès le démarrage  </t>
  </si>
  <si>
    <t>Étude d'opportunité et expression des besoins</t>
  </si>
  <si>
    <t xml:space="preserve">s’assurer que l'expression détaillée des besoins est formaliséedans un cahier des charges fait par la MOA </t>
  </si>
  <si>
    <t xml:space="preserve">Plan de projet initial validé par toutes les parties prenantes  </t>
  </si>
  <si>
    <t xml:space="preserve">Le plan de projet a-t-il été validé par toutes les parties prenantes ?  </t>
  </si>
  <si>
    <t xml:space="preserve">Plan de projet initial  </t>
  </si>
  <si>
    <t xml:space="preserve">Dérives de planning et de coûts  </t>
  </si>
  <si>
    <t xml:space="preserve">– Dépassements budgétaires  </t>
  </si>
  <si>
    <t xml:space="preserve">– Impliquer toutes les parties prenantes dans la planification  </t>
  </si>
  <si>
    <t xml:space="preserve">– Définition claire des objectifs, livrables et jalons  </t>
  </si>
  <si>
    <t xml:space="preserve">– Les objectifs, livrables et jalons sont-ils clairement définis ?  </t>
  </si>
  <si>
    <t xml:space="preserve">– Charte de projet  </t>
  </si>
  <si>
    <t xml:space="preserve">– Mauvaise allocation des ressources  </t>
  </si>
  <si>
    <t xml:space="preserve">– Élevée  </t>
  </si>
  <si>
    <t xml:space="preserve">– Perte de confiance des parties prenantes  </t>
  </si>
  <si>
    <t xml:space="preserve">– Définir des jalons précis et mesurables  </t>
  </si>
  <si>
    <t xml:space="preserve">– Identification des ressources nécessaires (humaines, matérielles, financières)  </t>
  </si>
  <si>
    <t xml:space="preserve">– Les ressources nécessaires sont-elles identifiées et disponibles ?  </t>
  </si>
  <si>
    <t xml:space="preserve">– Matrice des responsabilités (RACI)  </t>
  </si>
  <si>
    <t xml:space="preserve">– Objectifs mal définis ou mal compris  </t>
  </si>
  <si>
    <t xml:space="preserve">– Critique  </t>
  </si>
  <si>
    <t xml:space="preserve">– Mauvaise répartition des ressources  </t>
  </si>
  <si>
    <t xml:space="preserve">– Mettre en place un outil de suivi du plan de projet  </t>
  </si>
  <si>
    <t xml:space="preserve">– Échéancier réaliste avec estimation des durées  </t>
  </si>
  <si>
    <t xml:space="preserve">– Le calendrier proposé est-il réaliste et basé sur des estimations fiables ?  </t>
  </si>
  <si>
    <t xml:space="preserve">– Planning détaillé (Gantt ou PERT)  </t>
  </si>
  <si>
    <t xml:space="preserve">– Communication inefficace entre les parties prenantes  </t>
  </si>
  <si>
    <t xml:space="preserve">– Importante  </t>
  </si>
  <si>
    <t>– Échec partiel ou total du projet</t>
  </si>
  <si>
    <t>– Prévoir des mécanismes d’ajustement en cas d’écart</t>
  </si>
  <si>
    <t>– Intégration des risques et des plans de contingence</t>
  </si>
  <si>
    <t>– Le plan prend-il en compte les risques potentiels et les solutions alternatives ?</t>
  </si>
  <si>
    <t>– Registre des risques</t>
  </si>
  <si>
    <t>– Impossibilité d’évaluer l’avancement réel du projet</t>
  </si>
  <si>
    <t>– Très élevée</t>
  </si>
  <si>
    <t xml:space="preserve"> Retards dans la livraison du projet, impactant ainsi la productivité de l'organisation.</t>
  </si>
  <si>
    <t>Mettre en place une gestion de projet rigoureuse avec un suivi régulier des étapes et des jalons.</t>
  </si>
  <si>
    <t xml:space="preserve">S’assurer que le cahier des charges préconise une solutionfonctionnellement et techniquement pertinente au regard des besoins exprimés </t>
  </si>
  <si>
    <t xml:space="preserve">Planification des ressources  </t>
  </si>
  <si>
    <t>Le plan de projet identifie-t-il toutes les ressources nécessaires (humaines, matérielles, financières) ?</t>
  </si>
  <si>
    <t>Plan de gestion du projet</t>
  </si>
  <si>
    <t xml:space="preserve"> Retard dans la réalisation des objectifs</t>
  </si>
  <si>
    <t>- Dépassement des coûts, ce qui peut entraîner des problèmes de financement ou affecter d'autres projets.</t>
  </si>
  <si>
    <t>- Assurer une bonne communication entre toutes les parties prenantes pour garantir l'alignement sur les objectifs et les attentes.</t>
  </si>
  <si>
    <t>Définition des délais</t>
  </si>
  <si>
    <t>- Le calendrier est-il clairement défini avec des dates de début et de fin précises ?</t>
  </si>
  <si>
    <t xml:space="preserve"> Diagramme de Gantt</t>
  </si>
  <si>
    <t xml:space="preserve"> Manque de coordination entre les équipes</t>
  </si>
  <si>
    <t>- Perte de la confiance des parties prenantes et des clients, diminuant la crédibilité de l'organisation.</t>
  </si>
  <si>
    <t xml:space="preserve"> Réaliser une planification détaillée avec des marges de manœuvre pour pallier les imprévus.</t>
  </si>
  <si>
    <t xml:space="preserve"> Identification des risques</t>
  </si>
  <si>
    <t>- Les risques potentiels ont-ils été identifiés et des plans de mitigation sont-ils en place ?</t>
  </si>
  <si>
    <t>Registre des risques</t>
  </si>
  <si>
    <t>Sous-estimation des ressources nécessaires</t>
  </si>
  <si>
    <t>- Augmentation des risques opérationnels, entraînant des interruptions de service ou des défauts dans les processus.</t>
  </si>
  <si>
    <t>- Prévoir des audits réguliers pour s'assurer que les plans sont respectés et apporter des ajustements si nécessaire.</t>
  </si>
  <si>
    <t>Alignement avec les objectifs stratégiques</t>
  </si>
  <si>
    <t>- Le plan de projet est-il aligné avec les objectifs stratégiques de l’organisation ?</t>
  </si>
  <si>
    <t xml:space="preserve"> plan de gestion des risques</t>
  </si>
  <si>
    <t>Non-respect des échéances du projet</t>
  </si>
  <si>
    <t>- Réduction de la satisfaction des utilisateurs finaux, qui pourrait nuire à l’adoption du système et à l’efficacité de l’entreprise.</t>
  </si>
  <si>
    <t>- Former le personnel et les utilisateurs finaux pour une transition en douceur et une meilleure adoption du système.</t>
  </si>
  <si>
    <t xml:space="preserve"> Suivi et mise à jour des plans</t>
  </si>
  <si>
    <t>- Existe-t-il un mécanisme de suivi et de mise à jour régulière du plan de projet ?</t>
  </si>
  <si>
    <t xml:space="preserve"> plan de communication interne et externe</t>
  </si>
  <si>
    <t>- Inadéquation entre le plan et la réalité terrain</t>
  </si>
  <si>
    <t xml:space="preserve"> Retard dans la mise en œuvre du projet</t>
  </si>
  <si>
    <t xml:space="preserve"> Mettre en place un processus de révision périodique des plans pour garantir leur mise à jour régulière.</t>
  </si>
  <si>
    <t xml:space="preserve">S’assurer que les exigences utilisateurs, les populations ciblées,les options et principes de gestion retenus sont précisés et priorisés </t>
  </si>
  <si>
    <t>Vérifier que les plans ont été mis à jour en fonction des évolutions du projet.</t>
  </si>
  <si>
    <t>Les plans ont-ils été mis à jour en tenant compte des évolutions récentes du projet ?</t>
  </si>
  <si>
    <t xml:space="preserve"> Rapport de révision des plans</t>
  </si>
  <si>
    <t>Risque de non-conformité</t>
  </si>
  <si>
    <t>élevée</t>
  </si>
  <si>
    <t xml:space="preserve"> Augmentation des coûts de développement</t>
  </si>
  <si>
    <t>Assurer une communication claire entre les parties prenantes pour valider les changements et ajustements nécessaires dans les plans.</t>
  </si>
  <si>
    <t>Confirmer que la révision des plans a impliqué toutes les parties prenantes pertinentes.</t>
  </si>
  <si>
    <t>- Toutes les parties prenantes concernées ont-elles été impliquées dans la révision des plans ?</t>
  </si>
  <si>
    <t xml:space="preserve"> Liste des parties prenantes et minutes des réunions de validation</t>
  </si>
  <si>
    <t xml:space="preserve"> Risque de désalignement stratégique</t>
  </si>
  <si>
    <t>Perte de confiance des parties prenantes</t>
  </si>
  <si>
    <t xml:space="preserve"> Intégrer un Suivi des indicateurs de performance pour évaluer la conformité des plans avec les objectifs du projet.</t>
  </si>
  <si>
    <t>S’assurer que les plans révisés sont communiqués à tous les membres du projet.</t>
  </si>
  <si>
    <t>- Les plans révisés ont-ils été diffusés à tous les membres du projet ?</t>
  </si>
  <si>
    <t xml:space="preserve"> plan de communication détaillant la diffusion des plans révisés</t>
  </si>
  <si>
    <t>Risque de perturbation opérationnelle</t>
  </si>
  <si>
    <t>Détérioration de la qualité des livrables</t>
  </si>
  <si>
    <t>- Prévoir une phase de validation des plans avant la mise en œuvre, avec des revues détaillées à chaque étape critique.</t>
  </si>
  <si>
    <t>Vérifier que des mécanismes de contrôle et de validation ont été appliqués lors de la révision des plans.</t>
  </si>
  <si>
    <t>- Des mécanismes de contrôle et de validation ont-ils été appliqués pour vérifier la pertinence des révisions des plans ?</t>
  </si>
  <si>
    <t>Historique des versions des plans et des révisions effectuées</t>
  </si>
  <si>
    <t xml:space="preserve"> Risque de retard dans la mise en œuvre des projets</t>
  </si>
  <si>
    <t>- Non-conformité aux exigences légales et réglementaires</t>
  </si>
  <si>
    <t>- Impliquer les experts métiers et techniques dans la révision des plans pour s'assurer qu'ils répondent aux besoins réels.</t>
  </si>
  <si>
    <t>- Confirmer que les plans révisés sont en adéquation avec les objectifs de l’organisation et les priorités actuelles.</t>
  </si>
  <si>
    <t>- Les plans révisés sont-ils alignés avec les objectifs stratégiques de l’organisation et les priorités actuelles ?</t>
  </si>
  <si>
    <t>Actes de réunion ou échanges confirmant la diffusion des plans révisés</t>
  </si>
  <si>
    <t>- Risque de non-adaptation aux nouvelles technologies</t>
  </si>
  <si>
    <t xml:space="preserve"> Retards dans la livraison du projet</t>
  </si>
  <si>
    <t xml:space="preserve"> Mettre en place des mécanismes de suivi rigoureux pour évaluer l'avancement et l'utilisation des ressources.</t>
  </si>
  <si>
    <t>S’assurer que le projet est cohérent avec le plan directeurinformatique</t>
  </si>
  <si>
    <t>Planification détaillée des ressources humaines, techniques et financières nécessaires au projet.</t>
  </si>
  <si>
    <t>Comment le plan prévoit-il la gestion des compétences et de la main-d'œuvre nécessaire pour le projet ?</t>
  </si>
  <si>
    <t xml:space="preserve">Plan de gestion des ressources humaines et matérielles  </t>
  </si>
  <si>
    <t>Sous-estimation des besoins en ressources, entraînant des retards dans le projet.</t>
  </si>
  <si>
    <t>moyen</t>
  </si>
  <si>
    <t>Dépassement du budget</t>
  </si>
  <si>
    <t>- Assurer une formation continue et un développement des compétences des équipes pour améliorer l'efficacité.</t>
  </si>
  <si>
    <t>DIdentification des contraintes de ressources et gestion proactive des risques liés à la disponibilité des ressources.</t>
  </si>
  <si>
    <t>- Est-ce que le plan détaille l'allocation des équipements et infrastructures nécessaires à l'achèvement du projet ?</t>
  </si>
  <si>
    <t xml:space="preserve">Inventaire des ressources disponibles et nécessaires pour le projet  </t>
  </si>
  <si>
    <t>- Sur-utilisation des ressources, ce qui peut entraîner une fatigue excessive et une baisse de performance des équipes.</t>
  </si>
  <si>
    <t xml:space="preserve"> Diminution de la qualité du projet</t>
  </si>
  <si>
    <t xml:space="preserve"> Utiliser des outils de gestion de projet adaptés pour mieux planifier et suivre la gestion des ressources.</t>
  </si>
  <si>
    <t>- Suivi et évaluation réguliers de l'utilisation des ressources pour garantir leur adéquation avec les objectifs du projet.</t>
  </si>
  <si>
    <t>- Quelles méthodes seront utilisées pour suivre l'utilisation des ressources et mesurer leur efficacité ?</t>
  </si>
  <si>
    <t xml:space="preserve"> Plan d'affectation des ressources  </t>
  </si>
  <si>
    <t>- Dépendance excessive à un nombre limité de ressources clés, augmentant les risques en cas d'indisponibilité.</t>
  </si>
  <si>
    <t xml:space="preserve"> Démotivation des équipes</t>
  </si>
  <si>
    <t xml:space="preserve"> Prévoir une réévaluation périodique des ressources nécessaires pour ajuster en fonction des besoins réels.</t>
  </si>
  <si>
    <t xml:space="preserve"> planification des besoins en formation et développement des compétences pour les équipes.</t>
  </si>
  <si>
    <t>- Le budget du projet est-il bien aligné avec les besoins en ressources, et prévoit-il des marges pour faire face aux imprévus ?</t>
  </si>
  <si>
    <t xml:space="preserve">Plan de charge des ressources humaines et matérielles  </t>
  </si>
  <si>
    <t>- Non-alignement entre les ressources humaines et les compétences nécessaires, ce qui peut compromettre la qualité du travail.</t>
  </si>
  <si>
    <t>- Échec du projet</t>
  </si>
  <si>
    <t>- Encourager la collaboration inter-départementale pour optimiser l'utilisation des ressources disponibles.</t>
  </si>
  <si>
    <t>- Mise en place de mécanismes de réajustement des ressources en fonction de l'évolution des besoins et des priorités du projet.</t>
  </si>
  <si>
    <t>- Quelles stratégies sont mises en place pour éviter ou atténuer les risques liés à la pénurie ou la mauvaise gestion des ressources ?</t>
  </si>
  <si>
    <t xml:space="preserve">Rapport de suivi de l'utilisation des ressources  </t>
  </si>
  <si>
    <t>- Risques liés à l'inefficacité des processus de gestion des ressources, pouvant conduire à une mauvaise allocation des ressources.</t>
  </si>
  <si>
    <t>dépassement du budget</t>
  </si>
  <si>
    <t xml:space="preserve"> Mettre en place des contrôles réguliers pour évaluer les risques tout au long du projet.  </t>
  </si>
  <si>
    <t>S’assurer que le projet est cohérent avec le SI actuel ou futur</t>
  </si>
  <si>
    <t>Identifier les risques spécifiques à la nature du projet (technologiques, financiers, humains, etc.).</t>
  </si>
  <si>
    <t>Les risques spécifiques à la nature du projet ont-ils été identifiés et documentés ?</t>
  </si>
  <si>
    <t xml:space="preserve"> Liste des risques identifiés</t>
  </si>
  <si>
    <t>Risque de retard dans la mise en œuvre du projet</t>
  </si>
  <si>
    <t xml:space="preserve"> Perturbation des opérations  </t>
  </si>
  <si>
    <t xml:space="preserve"> Former Le personnel Sur la gestion des risques liés aux systèmes et aux données.</t>
  </si>
  <si>
    <t>- Vérifier si des outils d'analyse de risques (comme des matrices de risques ou des évaluations qualitatives) sont utilisés.</t>
  </si>
  <si>
    <t>- Quels outils d'analyse des risques sont utilisés pour évaluer les risques du projet ?</t>
  </si>
  <si>
    <t>plan de gestion des risques</t>
  </si>
  <si>
    <t>Risque de Sous-estimation des ressources nécessaires</t>
  </si>
  <si>
    <t>Perte de données sensibles</t>
  </si>
  <si>
    <t>Implémenter des outils de surveillance et de détection des menaces en temps réel.</t>
  </si>
  <si>
    <t>- S'assurer que l'évaluation des risques inclut l'impact potentiel de chaque risque sur les objectifs du projet.</t>
  </si>
  <si>
    <t>- L'impact potentiel de chaque risque sur les objectifs du projet a-t-il été évalué ?</t>
  </si>
  <si>
    <t xml:space="preserve"> Matrice de risques</t>
  </si>
  <si>
    <t xml:space="preserve"> Risque de Non-conformité aux exigences réglementaires</t>
  </si>
  <si>
    <t>Sanctions juridiques ou réglementaires</t>
  </si>
  <si>
    <t>Créer un plan de réponse aux incidents pour minimiser les conséquences des risques identifiés.</t>
  </si>
  <si>
    <t>valider que des stratégies de mitigation des risques sont définies et intégrées au plan du projet.</t>
  </si>
  <si>
    <t>- Des stratégies de mitigation des risques ont-elles été définies et sont-elles intégrées dans le plan de projet ?</t>
  </si>
  <si>
    <t>- Rapport d’analyse d'impact</t>
  </si>
  <si>
    <t>Risque d’erreur humaine ou de négligence dans les actions critiques</t>
  </si>
  <si>
    <t xml:space="preserve">- Atteinte à la réputation de l'entreprise  </t>
  </si>
  <si>
    <t>- Assurer une communication régulière entre les différentes équipes pour anticiper et gérer les risques efficacement.</t>
  </si>
  <si>
    <t>- Vérifier si un suivi des risques est prévu tout au long du projet, avec des points de réévaluation réguliers.</t>
  </si>
  <si>
    <t>- Un suivi des risques est-il prévu tout au long du projet, avec des réévaluations régulières des risques ?</t>
  </si>
  <si>
    <t xml:space="preserve"> plan de mitigation des risques</t>
  </si>
  <si>
    <t>- Risque d'interruption de l'activité en cas de défaillance technique</t>
  </si>
  <si>
    <t>Effectuer des évaluations régulières de la sécurité et des performances de la technologie utilisée.</t>
  </si>
  <si>
    <t xml:space="preserve">S’assurer que la direction est bien impliquée dans le projet </t>
  </si>
  <si>
    <t xml:space="preserve">Identification des risques technologiques spécifiques  </t>
  </si>
  <si>
    <t>Quels sont les risques technologiques identifiés pour cette technologie ?</t>
  </si>
  <si>
    <t xml:space="preserve">Rapport d’évaluation des risques  </t>
  </si>
  <si>
    <t>Risque de défaillance technologique</t>
  </si>
  <si>
    <t>Interruption de service ou dégradation de la performance du système</t>
  </si>
  <si>
    <t>Mettre en place des protocoles de mise à jour et de patching réguliers pour réduire les vulnérabilités.</t>
  </si>
  <si>
    <t>Analyse de la compatibilité des technologies</t>
  </si>
  <si>
    <t>- Comment cette technologie est-elle compatible avec les autres systèmes existants ?</t>
  </si>
  <si>
    <t xml:space="preserve"> Fiche technique de la technologie utilisée</t>
  </si>
  <si>
    <t>Risque de vulnérabilité due à des lacunes dans la configuration</t>
  </si>
  <si>
    <t xml:space="preserve"> Exposition à des cyberattaques et compromission de données sensibles</t>
  </si>
  <si>
    <t>- Assurer une formation continue pour les équipes afin d'identifier rapidement les risques technologiques.</t>
  </si>
  <si>
    <t>évaluation de la robustesse de la technologie</t>
  </si>
  <si>
    <t>- Quelles sont les mesures prises pour garantir la robustesse de cette technologie face aux menaces ?</t>
  </si>
  <si>
    <t>Analyse d’impact Sur la sécurité</t>
  </si>
  <si>
    <t>Risque d’obsolescence de la technologie</t>
  </si>
  <si>
    <t>Pertes financières dues à une mauvaise gestion de la technologie</t>
  </si>
  <si>
    <t xml:space="preserve"> Mettre en œuvre une stratégie de sauvegarde des données critiques et des systèmes pour réduire les risques de perte.</t>
  </si>
  <si>
    <t xml:space="preserve"> conformité aux normes de sécurité</t>
  </si>
  <si>
    <t>- La technologie utilisée respecte-t-elle les normes de sécurité en vigueur ?</t>
  </si>
  <si>
    <t xml:space="preserve"> plan de gestion des risques technologiques</t>
  </si>
  <si>
    <t>Risque de Non-conformité aux normes de sécurité</t>
  </si>
  <si>
    <t xml:space="preserve"> Non-conformité avec les exigences réglementaires et légales</t>
  </si>
  <si>
    <t>- Adopter des solutions de sécurité adaptées et des mécanismes de contrôle d'accès pour protéger les systèmes critiques.</t>
  </si>
  <si>
    <t>- Impact de l'évolution technologique</t>
  </si>
  <si>
    <t>- Quelles sont les conséquences de l’évolution de cette technologie sur le projet ?</t>
  </si>
  <si>
    <t>Rapport d’audit des vulnérabilités</t>
  </si>
  <si>
    <t>- Risque d’attaque ciblée exploitant les failles de sécurité</t>
  </si>
  <si>
    <t>très élevée</t>
  </si>
  <si>
    <t>- Perte de confiance des utilisateurs et partenaires commerciaux</t>
  </si>
  <si>
    <t>Mettre en place un suivi régulier des risques et de leur gestion</t>
  </si>
  <si>
    <t>S’assurer que les acteurs de l'équipe projet et leursresponsabilités sont bien identifiés</t>
  </si>
  <si>
    <t>Identification des risques liés aux projets en cours</t>
  </si>
  <si>
    <t>Les risques liés aux projets en cours ont-ils été identifiés de manière exhaustive ?</t>
  </si>
  <si>
    <t>Plan de gestion des risques pour les projets en cours</t>
  </si>
  <si>
    <t xml:space="preserve"> Risque de non-identification de tous les risques</t>
  </si>
  <si>
    <t>Retard dans la livraison du projet</t>
  </si>
  <si>
    <t>- Développer des plans d'atténuation des risques pour chaque étape du projet</t>
  </si>
  <si>
    <t xml:space="preserve"> mise en place d’un processus de gestion des risques actualisé</t>
  </si>
  <si>
    <t>- Existe-t-il un processus de gestion des risques mis à jour régulièrement pour les projets en cours ?</t>
  </si>
  <si>
    <t xml:space="preserve"> Rapports d’audit ou d’évaluation des risques récents</t>
  </si>
  <si>
    <t xml:space="preserve"> Risque de Sous-estimation des risques</t>
  </si>
  <si>
    <t>Augmentation des coûts du projet</t>
  </si>
  <si>
    <t>Intégrer des outils de gestion des risques adaptés pour les projets en cours</t>
  </si>
  <si>
    <t>- Evaluation continue de l'impact des risques sur les objectifs du projet</t>
  </si>
  <si>
    <t>- Comment l'impact des risques sur les objectifs du projet est-il évalué ?</t>
  </si>
  <si>
    <t>Registre des risques ou tableau de Suivi des risques</t>
  </si>
  <si>
    <t>Risque de mauvaise gestion de la communication des risques</t>
  </si>
  <si>
    <t>Dégradation de la qualité du projet</t>
  </si>
  <si>
    <t>- Impliquer les parties prenantes dans l’identification et l’évaluation des risques</t>
  </si>
  <si>
    <t xml:space="preserve"> Documentation des risques et de leur gestion</t>
  </si>
  <si>
    <t>- Les risques identifiés sont-ils correctement documentés et suivis ?</t>
  </si>
  <si>
    <t xml:space="preserve"> Compte-rendu des réunions de gestion de projet et des risques</t>
  </si>
  <si>
    <t>Risque de mise à jour insuffisante du Registre des risques</t>
  </si>
  <si>
    <t>- Atteinte à la réputation de l'entreprise</t>
  </si>
  <si>
    <t>- Prévoir des ressources dédiées à la gestion des risques tout au long du projet</t>
  </si>
  <si>
    <t>- Mise en place de mécanismes de contrôle et d'atténuation des risques</t>
  </si>
  <si>
    <t>- Quels mécanismes de contrôle et d'atténuation des risques sont mis en place pour les projets en cours ?</t>
  </si>
  <si>
    <t>- Documentation sur les processus de gestion des risques appliqués au projet</t>
  </si>
  <si>
    <t>- Risque de non-adhérence aux politiques de gestion des risques</t>
  </si>
  <si>
    <t>- Non-conformité aux normes et réglementations</t>
  </si>
  <si>
    <t>Mettre en place une gestion proactive des risques tout au long du projet</t>
  </si>
  <si>
    <t>S’assurer que les compétences du personnel sont enadéquation avec les tâches</t>
  </si>
  <si>
    <t>Existence d'une méthode structurée d'évaluation des risques</t>
  </si>
  <si>
    <t>- Quelle méthode est utilisée pour évaluer les risques dans le cadre des projets en cours ?</t>
  </si>
  <si>
    <t>Plan de gestion des risques</t>
  </si>
  <si>
    <t>Retard dans le calendrier du projet</t>
  </si>
  <si>
    <t>Diminution de la compétitivité de l'entreprise</t>
  </si>
  <si>
    <t>- Effectuer des audits réguliers et des mises à jour sur l'évaluation des risques</t>
  </si>
  <si>
    <t>Identification des risques spécifiques liés aux projets</t>
  </si>
  <si>
    <t>- Est-ce que cette méthode est documentée et suivie régulièrement ?</t>
  </si>
  <si>
    <t>- Rapports d'analyse des risques</t>
  </si>
  <si>
    <t xml:space="preserve"> Dépassement des coûts</t>
  </si>
  <si>
    <t>Pertes financières importantes</t>
  </si>
  <si>
    <t xml:space="preserve"> Définir un plan de contingence pour chaque Risque identifié</t>
  </si>
  <si>
    <t>- Suivi de l'évolution des risques tout au long du projet</t>
  </si>
  <si>
    <t>- Les risques spécifiques de chaque projet sont-ils bien identifiés et évalués dès le début du projet ?</t>
  </si>
  <si>
    <t xml:space="preserve"> Registre des risques</t>
  </si>
  <si>
    <t>mauvaise qualité de la livraison</t>
  </si>
  <si>
    <t>- Impact négatif sur la réputation de l'entreprise</t>
  </si>
  <si>
    <t>- Former les équipes sur la gestion des risques et l'importance de leur gestion efficace</t>
  </si>
  <si>
    <t>- Implication des parties prenantes dans l'évaluation des risques</t>
  </si>
  <si>
    <t>- Existe-t-il des outils ou des mécanismes pour identifier les risques dans les différentes phases du projet ?</t>
  </si>
  <si>
    <t>tableau de bord des risques</t>
  </si>
  <si>
    <t>Pertes de données critiques</t>
  </si>
  <si>
    <t xml:space="preserve"> Blocage des opérations liées au projet</t>
  </si>
  <si>
    <t>- Assurer un suivi rigoureux des actions correctives et des ajustements dans le cadre des projets en cours</t>
  </si>
  <si>
    <t>- Mise à jour régulière des plans de gestion des risques en fonction de l'évolution des projets</t>
  </si>
  <si>
    <t>Les activités sont-elles planifiées de manière cohérente et synchronisée ?</t>
  </si>
  <si>
    <t>- Plan d'action de mitigation des risques</t>
  </si>
  <si>
    <t>- Non-conformité avec les normes de sécurité</t>
  </si>
  <si>
    <t>- Non-respect des engagements contractuels avec les clients ou partenaires</t>
  </si>
  <si>
    <t xml:space="preserve">S’assurer qu’une étude d'opportunité est validée </t>
  </si>
  <si>
    <t>Existence d’un document d’étude d’opportunité formel</t>
  </si>
  <si>
    <t>L’étude d’opportunité est-elle formalisée et disponible ?</t>
  </si>
  <si>
    <t>Oui / Non</t>
  </si>
  <si>
    <t>Étude d’opportunité validée</t>
  </si>
  <si>
    <t>Projet lancé sans justification stratégique</t>
  </si>
  <si>
    <t>Perte de temps et de ressources sur un projet non prioritaire</t>
  </si>
  <si>
    <t>Formaliser une étude d’opportunité validée par les décideurs</t>
  </si>
  <si>
    <t>Clarté de l’expression des besoins</t>
  </si>
  <si>
    <t>Les besoins métiers sont-ils clairement identifiés et documentés ?</t>
  </si>
  <si>
    <t>Cahier des charges, expression des besoins</t>
  </si>
  <si>
    <t>Solution inadaptée aux attentes des utilisateurs</t>
  </si>
  <si>
    <t>Rejet de la solution par les utilisateurs finaux</t>
  </si>
  <si>
    <t>Conduire une analyse approfondie des besoins utilisateurs</t>
  </si>
  <si>
    <t>Analyse comparative des options possibles</t>
  </si>
  <si>
    <t>Les alternatives ont-elles été étudiées et comparées ?</t>
  </si>
  <si>
    <t>Étude comparative, analyse de scénarios</t>
  </si>
  <si>
    <t>Choix d’une option non optimale</t>
  </si>
  <si>
    <t>Moyenne à élevée</t>
  </si>
  <si>
    <t>Inefficacité, coûts accrus, faible retour sur investissement</t>
  </si>
  <si>
    <t>Analyser plusieurs scénarios avec critères objectifs</t>
  </si>
  <si>
    <t>Évaluation des impacts</t>
  </si>
  <si>
    <t>Les impacts (organisationnels, techniques, financiers) ont-ils été évalués ?</t>
  </si>
  <si>
    <t>Analyse d’impact</t>
  </si>
  <si>
    <t>Sous-estimation des ressources et résistances au changement</t>
  </si>
  <si>
    <t>Difficultés d’implémentation et opposition au projet</t>
  </si>
  <si>
    <t>Réaliser une analyse d’impact exhaustive</t>
  </si>
  <si>
    <t>Le document a-t-il été validé par toutes les parties concernées ?</t>
  </si>
  <si>
    <t>PV de réunion, signatures, e-mails de validation</t>
  </si>
  <si>
    <t>Manque de consensus et de soutien</t>
  </si>
  <si>
    <t>Blocages ou conflits internes lors du déploiement</t>
  </si>
  <si>
    <t>Organiser une validation collective documentée</t>
  </si>
  <si>
    <t>S’assurer que ce document comprend les objectifs du projet</t>
  </si>
  <si>
    <t>Clarté des objectifs stratégiques</t>
  </si>
  <si>
    <t>Les objectifs du projet sont-ils clairement définis ?</t>
  </si>
  <si>
    <t>Note de cadrage, étude d’opportunité</t>
  </si>
  <si>
    <t>Flou sur la finalité du projet</t>
  </si>
  <si>
    <t>Risque de dérive, mauvaise compréhension du but recherché</t>
  </si>
  <si>
    <t>Définir clairement les objectifs dès la phase d’idéation</t>
  </si>
  <si>
    <t>Les objectifs sont-ils alignés avec la stratégie globale de l’organisation ?</t>
  </si>
  <si>
    <t>Plan stratégique, politique d’entreprise</t>
  </si>
  <si>
    <t>Projet non prioritaire ou hors contexte stratégique</t>
  </si>
  <si>
    <t>Non-adhésion de la direction, arrêt en cours de route</t>
  </si>
  <si>
    <t>Vérifier la cohérence avec la vision et les priorités de l’entreprise</t>
  </si>
  <si>
    <t>Mesurabilité des objectifs</t>
  </si>
  <si>
    <t>Les objectifs sont-ils mesurables (indicateurs, délais, résultats attendus) ?</t>
  </si>
  <si>
    <t>Tableau des objectifs, indicateurs clés</t>
  </si>
  <si>
    <t>Difficulté à piloter ou évaluer le succès du projet</t>
  </si>
  <si>
    <t>Absence de critères de réussite, flou dans l’évaluation</t>
  </si>
  <si>
    <t>Définir des objectifs SMART (Spécifiques, Mesurables, Atteignables, Réalistes, Temporels)</t>
  </si>
  <si>
    <t>Pertinence pour les parties prenantes</t>
  </si>
  <si>
    <t>Les objectifs répondent-ils aux attentes des parties prenantes clés ?</t>
  </si>
  <si>
    <t>Compte rendu d’ateliers ou entretiens</t>
  </si>
  <si>
    <t>Manque de soutien ou de motivation des équipes</t>
  </si>
  <si>
    <t>Résistances internes, perte d’engagement</t>
  </si>
  <si>
    <t>Impliquer les parties prenantes dès la définition des objectifs</t>
  </si>
  <si>
    <t>Cohérence entre les objectifs et les livrables attendus</t>
  </si>
  <si>
    <t>Les livrables prévus permettent-ils d’atteindre les objectifs fixés ?</t>
  </si>
  <si>
    <t>Matrice objectifs/livrables</t>
  </si>
  <si>
    <t>Objectifs irréalistes ou livrables non pertinents</t>
  </si>
  <si>
    <t>Décalage entre promesse et réalité du projet</t>
  </si>
  <si>
    <t>S’assurer que chaque objectif est couvert par des livrables concrets</t>
  </si>
  <si>
    <t>S’assurer que ce document comprend l'analyse des déficiencesdes systèmes existants ;</t>
  </si>
  <si>
    <t>Existence d’un diagnostic des systèmes existants</t>
  </si>
  <si>
    <t>Une analyse des systèmes en place a-t-elle été réalisée ?</t>
  </si>
  <si>
    <t>Étude d’existant, rapport d’audit</t>
  </si>
  <si>
    <t>Ignorance des faiblesses actuelles</t>
  </si>
  <si>
    <t>Répétition des erreurs passées, perte d’efficacité</t>
  </si>
  <si>
    <t>Réaliser un diagnostic complet des systèmes et processus en place</t>
  </si>
  <si>
    <t>Identification claire des déficiences</t>
  </si>
  <si>
    <t>Les lacunes, limites ou dysfonctionnements ont-ils été identifiés ?</t>
  </si>
  <si>
    <t>Rapport d’analyse, retours utilisateurs</t>
  </si>
  <si>
    <t>Sous-estimation des problèmes réels</t>
  </si>
  <si>
    <t>Le nouveau système pourrait ne pas répondre aux vrais besoins</t>
  </si>
  <si>
    <t>Documenter les déficiences à partir de sources diverses (techniques, utilisateurs)</t>
  </si>
  <si>
    <t>Implication des utilisateurs dans le diagnostic</t>
  </si>
  <si>
    <t>Les utilisateurs ont-ils participé à l’identification des déficiences ?</t>
  </si>
  <si>
    <t>Compte rendu d’ateliers ou interviews</t>
  </si>
  <si>
    <t>Diagnostic incomplet ou biaisé</t>
  </si>
  <si>
    <t>Solutions mal adaptées, rejet ou détournement du système à venir</t>
  </si>
  <si>
    <t>Associer les utilisateurs clés à l’analyse des failles</t>
  </si>
  <si>
    <t>Prise en compte des impacts de ces déficiences</t>
  </si>
  <si>
    <t>Les conséquences des dysfonctionnements actuels sont-elles analysées ?</t>
  </si>
  <si>
    <t>Étude d’impact, analyse des incidents</t>
  </si>
  <si>
    <t>Non-priorisation des améliorations critiques</t>
  </si>
  <si>
    <t>Manque de valeur ajoutée du nouveau projet</t>
  </si>
  <si>
    <t>Évaluer les impacts opérationnels, financiers, humains des déficiences actuelles</t>
  </si>
  <si>
    <t>Justification claire du projet par rapport aux déficiences</t>
  </si>
  <si>
    <t>Le projet proposé répond-il bien aux problèmes identifiés ?</t>
  </si>
  <si>
    <t>Matrice problèmes/solutions</t>
  </si>
  <si>
    <t>Mauvaise orientation du projet</t>
  </si>
  <si>
    <t>Échec partiel ou total de la solution mise en œuvre</t>
  </si>
  <si>
    <t>S’assurer que chaque déficit a une réponse prévue dans les objectifs du projet</t>
  </si>
  <si>
    <t>S’assurer que ce document comprend les enjeux et la faisabilitédu projet</t>
  </si>
  <si>
    <t>Étude d’opportunité, note de cadrage</t>
  </si>
  <si>
    <t>Sous-estimation des implications du projet</t>
  </si>
  <si>
    <t>Engagement insuffisant, priorisation inadéquate</t>
  </si>
  <si>
    <t>Décrire explicitement les enjeux liés au projet dans le document initial</t>
  </si>
  <si>
    <t>Évaluation de la faisabilité technique</t>
  </si>
  <si>
    <t>Le projet est-il techniquement réalisable avec les moyens disponibles ?</t>
  </si>
  <si>
    <t>Étude de faisabilité, audit technique</t>
  </si>
  <si>
    <t>Solutions techniquement irréalisables</t>
  </si>
  <si>
    <t>Blocage pendant la mise en œuvre</t>
  </si>
  <si>
    <t>Réaliser une étude technique approfondie avant validation</t>
  </si>
  <si>
    <t>Évaluation de la faisabilité financière</t>
  </si>
  <si>
    <t>Les ressources financières sont-elles disponibles et suffisantes ?</t>
  </si>
  <si>
    <t>Budget prévisionnel, étude de coût</t>
  </si>
  <si>
    <t>Manque de financement ou dépassement budgétaire</t>
  </si>
  <si>
    <t>Retards, réduction de périmètre ou abandon du projet</t>
  </si>
  <si>
    <t>Intégrer une analyse financière réaliste avec marges de sécurité</t>
  </si>
  <si>
    <t>Évaluation de la faisabilité organisationnelle</t>
  </si>
  <si>
    <t>L’organisation peut-elle absorber le projet (compétences, temps, gestion du changement) ?</t>
  </si>
  <si>
    <t>Plan de charge, analyse de capacité interne</t>
  </si>
  <si>
    <t>Manque de ressources humaines ou de soutien</t>
  </si>
  <si>
    <t>Résistances, surcharge des équipes, démobilisation</t>
  </si>
  <si>
    <t>Prévoir un accompagnement au changement et une gestion des ressources adaptée</t>
  </si>
  <si>
    <t>Prise en compte des risques liés à la faisabilité</t>
  </si>
  <si>
    <t>Les risques liés à la faisabilité ont-ils été identifiés et évalués ?</t>
  </si>
  <si>
    <t>Analyse de risques</t>
  </si>
  <si>
    <t>Ignorer les obstacles majeurs à la mise en œuvre</t>
  </si>
  <si>
    <t>Mise en échec partielle ou totale du projet</t>
  </si>
  <si>
    <t>Identifier, documenter et anticiper les principaux risques dès l’étude d’opportunité</t>
  </si>
  <si>
    <t>S’assurer que ce document comprend les bénéfices attendus etla rentabilité économique du projet</t>
  </si>
  <si>
    <t>Définition claire des bénéfices attendus</t>
  </si>
  <si>
    <t>Les bénéfices du projet sont-ils clairement identifiés et quantifiés ?</t>
  </si>
  <si>
    <t>Note de cadrage, business case</t>
  </si>
  <si>
    <t>Absence de vision sur les gains apportés</t>
  </si>
  <si>
    <t>Difficulté à convaincre les décideurs, perte d’adhésion</t>
  </si>
  <si>
    <t>Lister les bénéfices mesurables : gains de temps, productivité, qualité, etc.</t>
  </si>
  <si>
    <t>Alignement des bénéfices avec les objectifs de l’organisation</t>
  </si>
  <si>
    <t>Les bénéfices sont-ils en cohérence avec la stratégie et les priorités de l’organisation ?</t>
  </si>
  <si>
    <t>Plan stratégique, objectifs stratégiques</t>
  </si>
  <si>
    <t>Gains sans valeur réelle pour l’entreprise</t>
  </si>
  <si>
    <t>Résultats peu valorisables, manque de reconnaissance du projet</t>
  </si>
  <si>
    <t>Faire valider les bénéfices par les sponsors stratégiques</t>
  </si>
  <si>
    <t>Analyse de la rentabilité économique</t>
  </si>
  <si>
    <t>Une estimation du retour sur investissement (ROI) a-t-elle été faite ?</t>
  </si>
  <si>
    <t>Analyse de rentabilité, tableau de ROI</t>
  </si>
  <si>
    <t>Projet non rentable ou investissements mal justifiés</t>
  </si>
  <si>
    <t>Perte financière, arbitrage défavorable en cas de concurrence de projets</t>
  </si>
  <si>
    <t>Calculer un ROI prévisionnel réaliste basé sur des hypothèses claires</t>
  </si>
  <si>
    <t>Délai de retour sur investissement (payback)</t>
  </si>
  <si>
    <t>Le délai de retour sur investissement est-il acceptable pour l’organisation ?</t>
  </si>
  <si>
    <t>Analyse financière, projection de résultats</t>
  </si>
  <si>
    <t>Récupération tardive des fonds investis</t>
  </si>
  <si>
    <t>Difficulté à obtenir le financement initial</t>
  </si>
  <si>
    <t>Déterminer un délai de retour raisonnable selon le secteur et les standards internes</t>
  </si>
  <si>
    <t>Suivi et évaluation des bénéfices après mise en œuvre</t>
  </si>
  <si>
    <t>Un mécanisme est-il prévu pour évaluer les bénéfices réels post-projet ?</t>
  </si>
  <si>
    <t>Plan de suivi post-projet, KPIs</t>
  </si>
  <si>
    <t>Impossibilité de démontrer la valeur générée</t>
  </si>
  <si>
    <t>Remise en question des méthodes projet, perte de crédibilité</t>
  </si>
  <si>
    <t>Mettre en place un plan de mesure des bénéfices à court et moyen terme</t>
  </si>
  <si>
    <t>Planification</t>
  </si>
  <si>
    <t xml:space="preserve">S’assurer qu’il existe un planning directeur commun à tout leprojet </t>
  </si>
  <si>
    <t>Existence d’un planning directeur</t>
  </si>
  <si>
    <t>Un planning global du projet a-t-il été élaboré ?</t>
  </si>
  <si>
    <t>Planning directeur, diagramme de Gantt</t>
  </si>
  <si>
    <t>Absence de vision d’ensemble sur les délais</t>
  </si>
  <si>
    <t>Désynchronisation des équipes, retards cumulés</t>
  </si>
  <si>
    <t>Élaborer un planning directeur partagé et validé par toutes les parties</t>
  </si>
  <si>
    <t>Cohérence entre les différents jalons et livrables</t>
  </si>
  <si>
    <t>Le planning couvre-t-il l’ensemble des phases et des livrables du projet ?</t>
  </si>
  <si>
    <t>Plan de projet détaillé</t>
  </si>
  <si>
    <t>Oublis ou chevauchements entre les tâches</t>
  </si>
  <si>
    <t>Mauvaise coordination, surcharge ou inactivité de certaines équipes</t>
  </si>
  <si>
    <t>Vérifier l’exhaustivité et la cohérence des tâches dans le planning</t>
  </si>
  <si>
    <t>Partage et accessibilité du planning</t>
  </si>
  <si>
    <t>Le planning est-il connu et accessible à tous les acteurs du projet ?</t>
  </si>
  <si>
    <t>Plateforme de gestion de projet, fichiers partagés</t>
  </si>
  <si>
    <t>Communication fragmentée, mauvaise anticipation des échéances</t>
  </si>
  <si>
    <t>Retards imprévus, confusion sur les responsabilités</t>
  </si>
  <si>
    <t>Diffuser le planning via un outil collaboratif accessible en temps réel</t>
  </si>
  <si>
    <t>Mise à jour régulière du planning</t>
  </si>
  <si>
    <t>Existe-t-il un mécanisme de mise à jour du planning en fonction de l’avancement réel ?</t>
  </si>
  <si>
    <t>Journal de bord, revues de projet</t>
  </si>
  <si>
    <t>Planning obsolète, décalage entre prévisions et réalité</t>
  </si>
  <si>
    <t>Décisions prises sur des bases inexactes, perte de contrôle</t>
  </si>
  <si>
    <t>Mettre à jour le planning à chaque comité de suivi et l’ajuster en continu</t>
  </si>
  <si>
    <t>Pilotage basé sur le planning directeur</t>
  </si>
  <si>
    <t>Les instances de pilotage utilisent-elles ce planning pour suivre l’avancement ?</t>
  </si>
  <si>
    <t>Comptes rendus de réunions, tableaux de bord</t>
  </si>
  <si>
    <t>Décisions prises sans alignement sur les objectifs temporels</t>
  </si>
  <si>
    <t>Retards critiques non détectés à temps</t>
  </si>
  <si>
    <t>Intégrer le planning directeur dans les outils de pilotage du projet</t>
  </si>
  <si>
    <t>S’assurer qu’il existe un plan de projet initial</t>
  </si>
  <si>
    <t>Existence du plan de projet initial</t>
  </si>
  <si>
    <t>Un plan de projet initial a-t-il été rédigé et validé ?</t>
  </si>
  <si>
    <t>Plan de projet initial</t>
  </si>
  <si>
    <t>Démarrage du projet sans cadre structurant</t>
  </si>
  <si>
    <t>Dérives en termes de coûts, délais ou périmètre</t>
  </si>
  <si>
    <t>Produire un plan de projet dès la phase de lancement avec l'accord des parties prenantes</t>
  </si>
  <si>
    <t>Contenu du plan conforme aux standards</t>
  </si>
  <si>
    <t>Le plan couvre-t-il les dimensions clés : périmètre, planning, budget, ressources ?</t>
  </si>
  <si>
    <t>Modèle de plan de projet, documents internes</t>
  </si>
  <si>
    <t>Vision partielle ou imprécise du projet</t>
  </si>
  <si>
    <t>Mauvais pilotage, mauvaise coordination des équipes</t>
  </si>
  <si>
    <t>Structurer le plan selon un modèle éprouvé et complet</t>
  </si>
  <si>
    <t>Validation par les parties prenantes</t>
  </si>
  <si>
    <t>Le plan a-t-il été partagé et validé par les parties concernées ?</t>
  </si>
  <si>
    <t>PV de validation, mails, signatures</t>
  </si>
  <si>
    <t>Manque d’engagement et de coordination</t>
  </si>
  <si>
    <t>Risque de désaccords, changements non maîtrisés</t>
  </si>
  <si>
    <t>Organiser une réunion de validation officielle du plan de projet</t>
  </si>
  <si>
    <t>Disponibilité et accessibilité du plan</t>
  </si>
  <si>
    <t>Le document est-il accessible aux acteurs concernés par le projet ?</t>
  </si>
  <si>
    <t>Référentiel documentaire, outil collaboratif</t>
  </si>
  <si>
    <t>Outils non synchronisés, équipes mal informées</t>
  </si>
  <si>
    <t>Décalage dans les attentes ou la compréhension du projet</t>
  </si>
  <si>
    <t>Centraliser le plan dans un outil commun, mis à jour régulièrement</t>
  </si>
  <si>
    <t>Mécanisme de révision du plan</t>
  </si>
  <si>
    <t>Un processus de mise à jour du plan est-il prévu en cas d’évolution ?</t>
  </si>
  <si>
    <t>Procédure de gestion des changements</t>
  </si>
  <si>
    <t>Le plan devient obsolète face aux réalités du terrain</t>
  </si>
  <si>
    <t>Perte de pertinence du pilotage, difficultés d’adaptation</t>
  </si>
  <si>
    <t>Intégrer un processus de gestion de version et de suivi d’évolution</t>
  </si>
  <si>
    <t>S’assurer que ce plan de projet a été révisé</t>
  </si>
  <si>
    <t>Historique de révision disponible</t>
  </si>
  <si>
    <t>Le plan de projet comporte-t-il un historique des révisions ?</t>
  </si>
  <si>
    <t>Plan de projet avec versions datées</t>
  </si>
  <si>
    <t>Difficulté à suivre les évolutions du projet</t>
  </si>
  <si>
    <t>Perte de traçabilité, erreurs de pilotage</t>
  </si>
  <si>
    <t>Tenir un journal de modifications avec dates, versions, auteurs</t>
  </si>
  <si>
    <t>Fréquence de mise à jour du plan</t>
  </si>
  <si>
    <t>Le plan est-il révisé à intervalles réguliers ou à chaque étape clé ?</t>
  </si>
  <si>
    <t>Planning de révision, rapports d’avancement</t>
  </si>
  <si>
    <t>Plan obsolète utilisé comme référence</t>
  </si>
  <si>
    <t>Prises de décision fondées sur des données dépassées</t>
  </si>
  <si>
    <t>Définir un calendrier ou des événements déclencheurs de révision</t>
  </si>
  <si>
    <t>Suivi formel des mises à jour</t>
  </si>
  <si>
    <t>Les révisions sont-elles validées par les instances de pilotage ?</t>
  </si>
  <si>
    <t>PV de comités, mails de validation</t>
  </si>
  <si>
    <t>Changements non validés ou non communiqués</t>
  </si>
  <si>
    <t>Incohérence dans l’exécution, perte de contrôle</t>
  </si>
  <si>
    <t>Intégrer la révision dans le processus de gouvernance du projet</t>
  </si>
  <si>
    <t>Communication des révisions</t>
  </si>
  <si>
    <t>Les parties prenantes sont-elles informées des modifications ?</t>
  </si>
  <si>
    <t>Newsletter, notes de version, plateforme projet</t>
  </si>
  <si>
    <t>Manque d’adhésion ou de coordination entre acteurs</t>
  </si>
  <si>
    <t>Confusion dans les tâches et les délais</t>
  </si>
  <si>
    <t>Informer systématiquement toutes les parties prenantes des évolutions du plan</t>
  </si>
  <si>
    <t>Conformité aux procédures de gestion de projet</t>
  </si>
  <si>
    <t>Les révisions respectent-elles les procédures établies de gestion du changement ?</t>
  </si>
  <si>
    <t>Manuel de gestion de projet, procédures internes</t>
  </si>
  <si>
    <t>Révisions non encadrées ou incohérentes</t>
  </si>
  <si>
    <t>Perte de rigueur dans le pilotage, audit difficile</t>
  </si>
  <si>
    <t>Suivre strictement les procédures de gestion des changements et modifications</t>
  </si>
  <si>
    <t>S’assurer qu’il existe des plans détaillés</t>
  </si>
  <si>
    <t>Objectifs Clairs et Mesurables</t>
  </si>
  <si>
    <t>Les objectifs du projet sont-ils définis de manière claire et mesurable ?</t>
  </si>
  <si>
    <t>Plan de projet avec objectifs définis</t>
  </si>
  <si>
    <t>Objectifs flous ou non mesurables</t>
  </si>
  <si>
    <t>Manque de direction, difficultés à évaluer le succès</t>
  </si>
  <si>
    <t>Utiliser des critères SMART pour définir les objectifs</t>
  </si>
  <si>
    <t>Détail du Plan de Travail</t>
  </si>
  <si>
    <t>Le plan inclut-il toutes les étapes et sous-étapes du projet ?</t>
  </si>
  <si>
    <t>Plan de travail détaillé, calendrier</t>
  </si>
  <si>
    <t>Tâches non définies, retards dans l’exécution</t>
  </si>
  <si>
    <t>Désorganisation, perte de temps et ressources</t>
  </si>
  <si>
    <t>Diviser le projet en phases et sous-tâches claires</t>
  </si>
  <si>
    <t>Allocation des Ressources</t>
  </si>
  <si>
    <t>Les ressources nécessaires sont-elles bien identifiées et allouées ?</t>
  </si>
  <si>
    <t>Plan de ressources, budget</t>
  </si>
  <si>
    <t>Manque de ressources ou mauvaise allocation</t>
  </si>
  <si>
    <t>Retards, incapacité à exécuter certaines tâches</t>
  </si>
  <si>
    <t>Effectuer un audit des ressources nécessaires avant chaque phase</t>
  </si>
  <si>
    <t>Estimation du Budget</t>
  </si>
  <si>
    <t>Le budget du projet est-il détaillé et bien estimé ?</t>
  </si>
  <si>
    <t>Budget détaillé, ventilation des coûts</t>
  </si>
  <si>
    <t>Dépassement de budget, manque de prévision</t>
  </si>
  <si>
    <t>Dépassement financier, arrêt du projet</t>
  </si>
  <si>
    <t>Prendre en compte une marge d'erreur pour les imprévus</t>
  </si>
  <si>
    <t>Identification des Ressources Nécessaires</t>
  </si>
  <si>
    <t>Les ressources nécessaires sont-elles clairement identifiées ?</t>
  </si>
  <si>
    <t>Plan de ressources, inventaire des besoins</t>
  </si>
  <si>
    <t>Manque de ressources identifiées ou mal estimées</t>
  </si>
  <si>
    <t>Réaliser un inventaire détaillé des ressources nécessaires à chaque phase</t>
  </si>
  <si>
    <t>S’assurer que les plans intègrent une gestion optimale desressources</t>
  </si>
  <si>
    <t>Allocation Efficiente des Ressources</t>
  </si>
  <si>
    <t>Les ressources sont-elles allouées de manière optimale pour chaque tâche ?</t>
  </si>
  <si>
    <t>Plan de travail détaillé, allocation des ressources</t>
  </si>
  <si>
    <t>Mauvaise utilisation des ressources, gaspillage</t>
  </si>
  <si>
    <t>Pertes de temps et d'argent, tâches non complètes</t>
  </si>
  <si>
    <t>Optimiser la répartition des ressources et ajuster au besoin</t>
  </si>
  <si>
    <t>Suivi des Ressources</t>
  </si>
  <si>
    <t>Existe-t-il un suivi en temps réel de l’utilisation des ressources ?</t>
  </si>
  <si>
    <t>Outils de suivi des ressources, tableaux de bord</t>
  </si>
  <si>
    <t>Non-suivi des ressources, erreurs dans leur gestion</t>
  </si>
  <si>
    <t>Retards, surcharge de certaines ressources</t>
  </si>
  <si>
    <t>Utiliser un outil de gestion de ressources et des rapports de suivi réguliers</t>
  </si>
  <si>
    <t>Adaptabilité des Ressources</t>
  </si>
  <si>
    <t>Les ressources peuvent-elles être ajustées rapidement si nécessaire ?</t>
  </si>
  <si>
    <t>Plan de gestion des ressources, procédures de réajustement</t>
  </si>
  <si>
    <t>Manque de flexibilité dans l'ajustement des ressources</t>
  </si>
  <si>
    <t>Inefficacité, risques de surcharge ou pénurie de ressources</t>
  </si>
  <si>
    <t>Prévoir des procédures d’adaptation pour ajuster rapidement les ressources</t>
  </si>
  <si>
    <t>Compétences des Ressources Humaines</t>
  </si>
  <si>
    <t>Les compétences des ressources humaines sont-elles bien adaptées aux tâches ?</t>
  </si>
  <si>
    <t>Profil des ressources humaines, analyse des compétences</t>
  </si>
  <si>
    <t>Manque de compétences pour certaines tâches critiques</t>
  </si>
  <si>
    <t>Retards, mauvaise qualité du travail, réajustement des équipes</t>
  </si>
  <si>
    <t>Assurer des formations et des ajustements des compétences avant l’affectation des tâches</t>
  </si>
  <si>
    <t>Identification des Risques</t>
  </si>
  <si>
    <t>Les risques liés à la nature du projet ont-ils été identifiés ?</t>
  </si>
  <si>
    <t>Plan de gestion des risques, analyse SWOT</t>
  </si>
  <si>
    <t>Risques non identifiés ou sous-estimés</t>
  </si>
  <si>
    <t>Impacts imprévus, retard ou échec du projet</t>
  </si>
  <si>
    <t>Réaliser une analyse complète des risques liés à chaque phase du projet</t>
  </si>
  <si>
    <t>S’assurer qu’il existe une évaluation des risques liés à la naturedu projet</t>
  </si>
  <si>
    <t>Analyse des Risques Spécifiques</t>
  </si>
  <si>
    <t>Les risques spécifiques à la nature du projet ont-ils été analysés en détail ?</t>
  </si>
  <si>
    <t>Étude des risques, rapports d'analyse</t>
  </si>
  <si>
    <t>Manque d'analyse spécifique aux caractéristiques du projet</t>
  </si>
  <si>
    <t>Échec du projet, dépassement de budget</t>
  </si>
  <si>
    <t>Identifier et analyser les risques particuliers en fonction de la nature du projet</t>
  </si>
  <si>
    <t>Évaluation de l'Impact des Risques</t>
  </si>
  <si>
    <t>L'impact des risques identifiés a-t-il été évalué en fonction de leur gravité ?</t>
  </si>
  <si>
    <t>Matrices d'évaluation des risques</t>
  </si>
  <si>
    <t>Risques non hiérarchisés, impact mal évalué</t>
  </si>
  <si>
    <t>Prises de décision inadaptées, mauvaise gestion des priorités</t>
  </si>
  <si>
    <t>Prioriser les risques en fonction de leur impact et probabilité</t>
  </si>
  <si>
    <t>Plan de Mitigation des Risques</t>
  </si>
  <si>
    <t>Existe-t-il des stratégies de mitigation pour les risques identifiés ?</t>
  </si>
  <si>
    <t>Plan de mitigation des risques, stratégies de contingence</t>
  </si>
  <si>
    <t>Absence de plans de mitigation, retards importants</t>
  </si>
  <si>
    <t>Pertes financières, échec dans l'exécution du projet</t>
  </si>
  <si>
    <t>Développer des plans de mitigation et contingence pour chaque risque majeur</t>
  </si>
  <si>
    <t>Suivi des Risques</t>
  </si>
  <si>
    <t>Les risques sont-ils régulièrement suivis et réévalués ?</t>
  </si>
  <si>
    <t>Rapports de suivi des risques, tableaux de bord</t>
  </si>
  <si>
    <t>Risques non suivis, évolution non prise en compte</t>
  </si>
  <si>
    <t>Incapacité à réagir aux risques nouveaux ou évolutifs</t>
  </si>
  <si>
    <t>Mettre en place un processus de suivi continu et de réévaluation des risques</t>
  </si>
  <si>
    <t>Compatibilité Technologique</t>
  </si>
  <si>
    <t>La technologie utilisée est-elle compatible avec les systèmes existants ?</t>
  </si>
  <si>
    <t>Analyse de compatibilité, schéma d’architecture</t>
  </si>
  <si>
    <t>Incompatibilités, conflits techniques</t>
  </si>
  <si>
    <t>Retards, surcoûts, échec d'intégration</t>
  </si>
  <si>
    <t>Réaliser une étude de compatibilité technique en amont</t>
  </si>
  <si>
    <t xml:space="preserve">S’assurer qu’il existe une évaluation des risques liés à latechnologie utilisée </t>
  </si>
  <si>
    <t>Maturité de la Technologie</t>
  </si>
  <si>
    <t>La technologie est-elle éprouvée et stable ?</t>
  </si>
  <si>
    <t>Fiche technique, retours d’expérience</t>
  </si>
  <si>
    <t>Dépendance à une technologie immature ou instable</t>
  </si>
  <si>
    <t>Bugs, interruptions de service, mauvaise performance</t>
  </si>
  <si>
    <t>Choisir des technologies matures ou prévoir des phases de test approfondi</t>
  </si>
  <si>
    <t>Sécurité de la Technologie</t>
  </si>
  <si>
    <t>Les risques de cybersécurité ont-ils été identifiés et évalués ?</t>
  </si>
  <si>
    <t>Analyse de sécurité, plan de gestion des risques</t>
  </si>
  <si>
    <t>Failles de sécurité, données exposées</t>
  </si>
  <si>
    <t>Perte de données, atteinte à la réputation</t>
  </si>
  <si>
    <t>Intégrer un audit de sécurité et des protocoles de protection</t>
  </si>
  <si>
    <t>Maintenance et Support</t>
  </si>
  <si>
    <t>Existe-t-il un support technique fiable et une maintenance prévue ?</t>
  </si>
  <si>
    <t>Contrat de support, plan de maintenance</t>
  </si>
  <si>
    <t>Absence de maintenance, dépendance à un fournisseur</t>
  </si>
  <si>
    <t>Blocages en cas de panne, obsolescence</t>
  </si>
  <si>
    <t>Privilégier des technologies avec un support pérenne</t>
  </si>
  <si>
    <t>Évolutivité et pérennité</t>
  </si>
  <si>
    <t>La technologie peut-elle évoluer avec les besoins futurs du projet ?</t>
  </si>
  <si>
    <t>Plan d’évolution, documentation technique</t>
  </si>
  <si>
    <t>Technologie vite dépassée, non évolutive</t>
  </si>
  <si>
    <t>Nécessité de tout refondre à moyen terme</t>
  </si>
  <si>
    <t>Choisir des technologies évolutives et ouvertes</t>
  </si>
  <si>
    <t xml:space="preserve">S’assurer qu’il existe une évaluation des risques liés aux projetsen cours </t>
  </si>
  <si>
    <t>Inventaire des projets actifs</t>
  </si>
  <si>
    <t>Un recensement complet des projets en cours est-il disponible ?</t>
  </si>
  <si>
    <t>Portefeuille de projets, registre des projets</t>
  </si>
  <si>
    <t>Oubli de projets critiques, gestion partielle</t>
  </si>
  <si>
    <t>Risques non identifiés, gestion incohérente</t>
  </si>
  <si>
    <t>Tenir un registre à jour de tous les projets en cours</t>
  </si>
  <si>
    <t>Analyse des interdépendances</t>
  </si>
  <si>
    <t>Les interactions entre projets sont-elles analysées ?</t>
  </si>
  <si>
    <t>Analyse d’impact croisé, diagrammes de dépendance</t>
  </si>
  <si>
    <t>Conflits de ressources ou d’échéances entre projets</t>
  </si>
  <si>
    <t>Retards, surcharge ou doublons</t>
  </si>
  <si>
    <t>Identifier et planifier les dépendances et ressources partagées</t>
  </si>
  <si>
    <t>Suivi des risques transverses</t>
  </si>
  <si>
    <t>Existe-t-il un suivi des risques communs à plusieurs projets ?</t>
  </si>
  <si>
    <t>Registre des risques transverses, rapports consolidés</t>
  </si>
  <si>
    <t>Risques ignorés ou mal répartis</t>
  </si>
  <si>
    <t>Manque de coordination dans la réponse au risque</t>
  </si>
  <si>
    <t>Centraliser le suivi des risques transverses entre projets</t>
  </si>
  <si>
    <t>Impact des projets en difficulté</t>
  </si>
  <si>
    <t>Les projets en difficulté sont-ils identifiés et leurs impacts évalués ?</t>
  </si>
  <si>
    <t>Tableau de bord projet, reporting</t>
  </si>
  <si>
    <t>Effet domino sur d’autres projets</t>
  </si>
  <si>
    <t>Désorganisation globale du portefeuille</t>
  </si>
  <si>
    <t>Mettre en place un système d’alerte et de gestion de crise</t>
  </si>
  <si>
    <t>Révisions périodiques des risques</t>
  </si>
  <si>
    <t>Les risques sont-ils réévalués régulièrement à l’échelle du portefeuille ?</t>
  </si>
  <si>
    <t>Revue de portefeuille, PV de comités</t>
  </si>
  <si>
    <t>Évolution des risques non détectée</t>
  </si>
  <si>
    <t>Décisions basées sur des informations dépassées</t>
  </si>
  <si>
    <t>Programmer des revues périodiques des risques au niveau global</t>
  </si>
  <si>
    <t xml:space="preserve">S’assurer qu’il existe une évaluation des risques liés aux délais </t>
  </si>
  <si>
    <t>Analyse des délais critiques</t>
  </si>
  <si>
    <t>Les étapes critiques ont-elles été identifiées et analysées ?</t>
  </si>
  <si>
    <t>Diagramme de Gantt, chemin critique</t>
  </si>
  <si>
    <t>Non-identification des jalons critiques</t>
  </si>
  <si>
    <t>Retards majeurs non anticipés</t>
  </si>
  <si>
    <t>Identifier clairement les jalons et le chemin critique dans le planning</t>
  </si>
  <si>
    <t>Estimation réaliste des durées</t>
  </si>
  <si>
    <t>Les durées des tâches sont-elles basées sur des données réalistes ?</t>
  </si>
  <si>
    <t>Planning détaillé, historiques de projets</t>
  </si>
  <si>
    <t>Sous-estimation des délais</t>
  </si>
  <si>
    <t>Glissement de calendrier, surcharge des équipes</t>
  </si>
  <si>
    <t>Utiliser des références passées ou des experts métier pour estimer les durées</t>
  </si>
  <si>
    <t>Gestion des marges et imprévus</t>
  </si>
  <si>
    <t>Des marges de sécurité sont-elles prévues dans le planning ?</t>
  </si>
  <si>
    <t>Planning avec marges, plan de contingence</t>
  </si>
  <si>
    <t>Aucune flexibilité face aux imprévus</t>
  </si>
  <si>
    <t>Blocages, effet domino</t>
  </si>
  <si>
    <t>Intégrer des buffers dans le planning global et aux étapes critiques</t>
  </si>
  <si>
    <t>Suivi de l'avancement</t>
  </si>
  <si>
    <t>Existe-t-il un mécanisme de suivi régulier de l’avancement ?</t>
  </si>
  <si>
    <t>Rapports d’avancement, tableaux de bord</t>
  </si>
  <si>
    <t>Retards non détectés à temps</t>
  </si>
  <si>
    <t>Décisions tardives, désorganisation</t>
  </si>
  <si>
    <t>Mettre en place un suivi hebdomadaire et des points de contrôle</t>
  </si>
  <si>
    <t>Analyse des causes de retard</t>
  </si>
  <si>
    <t>Les causes potentielles de retard ont-elles été identifiées ?</t>
  </si>
  <si>
    <t>Analyse de risque, retour d'expérience</t>
  </si>
  <si>
    <t>Risques liés aux fournisseurs, dépendances externes</t>
  </si>
  <si>
    <t>Prolongement des délais</t>
  </si>
  <si>
    <t>Identifier les facteurs internes/externes de risque de retard et prévoir des actions</t>
  </si>
  <si>
    <t>S’assurer qu’il existe une évaluation des risques liés à lasynchronisation des activités</t>
  </si>
  <si>
    <t>Coordination entre les tâches</t>
  </si>
  <si>
    <t>Les dépendances entre les tâches ont-elles été clairement identifiées ?</t>
  </si>
  <si>
    <t>Diagramme de Gantt, planning des tâches</t>
  </si>
  <si>
    <t>Démarrage prématuré ou retardé des activités</t>
  </si>
  <si>
    <t>Désynchronisation, retards en chaîne</t>
  </si>
  <si>
    <t>Cartographier toutes les dépendances et mettre en place un séquencement rigoureux</t>
  </si>
  <si>
    <t>Synchronisation entre équipes/projets</t>
  </si>
  <si>
    <t>Les équipes ou projets interdépendants sont-ils synchronisés dans le planning ?</t>
  </si>
  <si>
    <t>Planning global, réunions de coordination</t>
  </si>
  <si>
    <t>Conflits de ressources ou blocages mutuels</t>
  </si>
  <si>
    <t>Perte d’efficacité, retards croisés</t>
  </si>
  <si>
    <t>Mettre en place des points de synchronisation réguliers</t>
  </si>
  <si>
    <t>Suivi de l’exécution synchronisée</t>
  </si>
  <si>
    <t>Y a-t-il un mécanisme pour suivre l’alignement des activités en temps réel ?</t>
  </si>
  <si>
    <t>Tableaux de bord, outils collaboratifs</t>
  </si>
  <si>
    <t>Problèmes non détectés à temps</t>
  </si>
  <si>
    <t>Dérives non maîtrisées, accumulation de retards</t>
  </si>
  <si>
    <t>Utiliser des outils de gestion en temps réel et des alertes automatiques</t>
  </si>
  <si>
    <t>Planification des points de passage communs</t>
  </si>
  <si>
    <t>Des jalons communs sont-ils définis pour assurer la synchronisation ?</t>
  </si>
  <si>
    <t>Planning avec jalons, feuille de route projet</t>
  </si>
  <si>
    <t>Manque de coordination dans les livrables partagés</t>
  </si>
  <si>
    <t>Incohérences entre les résultats attendus</t>
  </si>
  <si>
    <t>Définir des jalons clés partagés entre les équipes / projets</t>
  </si>
  <si>
    <t>Gestion des écarts de synchronisation</t>
  </si>
  <si>
    <t>Un plan de correction est-il prévu en cas de désynchronisation ?</t>
  </si>
  <si>
    <t>Scénarios de contingence, procédures de rattrapage</t>
  </si>
  <si>
    <t>Difficulté à réagir aux écarts de coordination</t>
  </si>
  <si>
    <t>S’assurer que les acteurs se sont engagés à respecter leplanning général du projet</t>
  </si>
  <si>
    <t>Validation formelle du planning</t>
  </si>
  <si>
    <t>Les parties prenantes ont-elles validé le planning général ?</t>
  </si>
  <si>
    <t>Planning signé, PV de validation</t>
  </si>
  <si>
    <t>Désengagement, contestation des délais</t>
  </si>
  <si>
    <t>Retards, refus de responsabilité</t>
  </si>
  <si>
    <t>Obtenir une validation écrite de tous les acteurs clés</t>
  </si>
  <si>
    <t>Clarté des responsabilités et délais</t>
  </si>
  <si>
    <t>Les responsabilités et délais sont-ils clairement définis ?</t>
  </si>
  <si>
    <t>RACI, planning détaillé</t>
  </si>
  <si>
    <t>Ambiguïté dans les tâches assignées</t>
  </si>
  <si>
    <t>Blocages, non-respect des échéances</t>
  </si>
  <si>
    <t>Détailler les rôles et responsabilités dans le planning</t>
  </si>
  <si>
    <t>Engagement contractuel ou moral</t>
  </si>
  <si>
    <t>Existe-t-il un engagement contractuel ou moral au respect des délais ?</t>
  </si>
  <si>
    <t>Contrats, chartes de projet</t>
  </si>
  <si>
    <t>Faible motivation à respecter les échéances</t>
  </si>
  <si>
    <t>Diminution de l’efficacité collective</t>
  </si>
  <si>
    <t>Intégrer des clauses d’engagement dans les documents de cadrage</t>
  </si>
  <si>
    <t>Communication et sensibilisation</t>
  </si>
  <si>
    <t>Les acteurs sont-ils bien informés des enjeux liés au respect du planning ?</t>
  </si>
  <si>
    <t>Comptes-rendus de réunions, supports de sensibilisation</t>
  </si>
  <si>
    <t>Sous-estimation des délais ou mauvaise priorisation</t>
  </si>
  <si>
    <t>Manque d'implication, retard involontaire</t>
  </si>
  <si>
    <t>Renforcer la communication sur les impacts d’un non-respect du planning</t>
  </si>
  <si>
    <t>Suivi de l’engagement dans le temps</t>
  </si>
  <si>
    <t>Y a-t-il un suivi régulier du respect des engagements ?</t>
  </si>
  <si>
    <t>Rapports d’avancement, alertes planning</t>
  </si>
  <si>
    <t>Laxisme, baisse progressive de l’implication</t>
  </si>
  <si>
    <t>Accumulation de retards</t>
  </si>
  <si>
    <t>Mettre en place des revues périodiques et des alertes en cas de dérive</t>
  </si>
  <si>
    <t>Instances de pilotage</t>
  </si>
  <si>
    <t>S’assurer que la structure de pilotage est formalisée et connuede tous les acteurs</t>
  </si>
  <si>
    <t>Existence d’une structure de gouvernance</t>
  </si>
  <si>
    <t>Une structure de pilotage a-t-elle été formellement définie ?</t>
  </si>
  <si>
    <t>Organigramme, charte de gouvernance</t>
  </si>
  <si>
    <t>Flou organisationnel, absence de responsabilités claires</t>
  </si>
  <si>
    <t>Mauvaise coordination, décisions conflictuelles</t>
  </si>
  <si>
    <t>Définir officiellement les organes de pilotage et leurs rôles</t>
  </si>
  <si>
    <t>Rôles et responsabilités précisés</t>
  </si>
  <si>
    <t>Les rôles des instances de pilotage sont-ils clairement définis ?</t>
  </si>
  <si>
    <t>RACI, fiches de rôle</t>
  </si>
  <si>
    <t>Chevauchements, tâches non assumées</t>
  </si>
  <si>
    <t>Incohérence dans la prise de décision</t>
  </si>
  <si>
    <t>Documenter les responsabilités dans une matrice claire</t>
  </si>
  <si>
    <t>Communication de la structure aux parties</t>
  </si>
  <si>
    <t>La structure de pilotage est-elle communiquée à tous les acteurs du projet ?</t>
  </si>
  <si>
    <t>Note de service, réunion de lancement</t>
  </si>
  <si>
    <t>Méconnaissance des circuits de décision</t>
  </si>
  <si>
    <t>Perte de temps, sollicitations non pertinentes</t>
  </si>
  <si>
    <t>Présenter la structure dans les réunions et documents de démarrage</t>
  </si>
  <si>
    <t>Accès aux documents de gouvernance</t>
  </si>
  <si>
    <t>Les documents de pilotage sont-ils accessibles à tous les acteurs concernés ?</t>
  </si>
  <si>
    <t>Répertoire partagé, plateforme projet</t>
  </si>
  <si>
    <t>Manque de transparence, confusion</t>
  </si>
  <si>
    <t>Tensions entre équipes, erreurs de gestion</t>
  </si>
  <si>
    <t>Centraliser les documents sur une plateforme accessible et actualisée</t>
  </si>
  <si>
    <t>Suivi de l’adhésion à la structure</t>
  </si>
  <si>
    <t>Y a-t-il un suivi ou des retours sur la compréhension de la structure ?</t>
  </si>
  <si>
    <t>Compte-rendus de réunions, enquêtes internes</t>
  </si>
  <si>
    <t>Faible appropriation de la structure</t>
  </si>
  <si>
    <t>Décrochage de certains acteurs, non-respect des circuits</t>
  </si>
  <si>
    <t>Réaliser des rappels réguliers et proposer des sessions de clarification si nécessaire</t>
  </si>
  <si>
    <t>S’assurer que les différentes instances de pilotage connaissentleurs niveaux de délégation</t>
  </si>
  <si>
    <t>Définition formelle des niveaux de délégation</t>
  </si>
  <si>
    <t>Les niveaux de délégation sont-ils clairement définis pour chaque instance ?</t>
  </si>
  <si>
    <t>Charte de gouvernance, fiches de rôle</t>
  </si>
  <si>
    <t>Confusion des rôles, décisions hors périmètre</t>
  </si>
  <si>
    <t>Décisions invalides, conflits internes</t>
  </si>
  <si>
    <t>Définir précisément les pouvoirs délégués à chaque instance de pilotage</t>
  </si>
  <si>
    <t>Communication des règles de délégation</t>
  </si>
  <si>
    <t>Ces niveaux sont-ils communiqués à tous les membres des instances ?</t>
  </si>
  <si>
    <t>Notes de service, réunions de cadrage</t>
  </si>
  <si>
    <t>Mauvaise interprétation ou méconnaissance des responsabilités</t>
  </si>
  <si>
    <t>Blocages décisionnels ou excès d’autorité</t>
  </si>
  <si>
    <t>Présenter et expliquer les règles à l’ensemble des membres concernés</t>
  </si>
  <si>
    <t>Documentation des décisions autorisées</t>
  </si>
  <si>
    <t>Les types de décisions que chaque instance peut prendre sont-ils documentés ?</t>
  </si>
  <si>
    <t>Tableau de délégation, manuel de gouvernance</t>
  </si>
  <si>
    <t>Surcharge ou paralysie de certaines instances</t>
  </si>
  <si>
    <t>Allongement des délais de validation</t>
  </si>
  <si>
    <t>Lister les actes décisionnels autorisés par instance</t>
  </si>
  <si>
    <t>Respect des niveaux de délégation</t>
  </si>
  <si>
    <t>Les décisions prises respectent-elles les niveaux établis ?</t>
  </si>
  <si>
    <t>PV de réunion, audit interne</t>
  </si>
  <si>
    <t>Dérives ou contournement des règles de gouvernance</t>
  </si>
  <si>
    <t>Désorganisation, tensions entre acteurs</t>
  </si>
  <si>
    <t>Mettre en place un contrôle régulier des décisions prises</t>
  </si>
  <si>
    <t>Révision périodique des délégations</t>
  </si>
  <si>
    <t>Les niveaux de délégation sont-ils revus régulièrement ?</t>
  </si>
  <si>
    <t>Procès-verbaux de comité, grille de délégation</t>
  </si>
  <si>
    <t>Inadéquation entre délégation et réalité du projet</t>
  </si>
  <si>
    <t>Décisions trop lentes ou trop concentrées</t>
  </si>
  <si>
    <t>Prévoir une réévaluation périodique selon les évolutions du projet</t>
  </si>
  <si>
    <t>S’assurer que les objectifs des délégations sont atteints</t>
  </si>
  <si>
    <t>Définition claire des objectifs délégués</t>
  </si>
  <si>
    <t>Les objectifs associés à chaque délégation sont-ils clairement définis ?</t>
  </si>
  <si>
    <t>Fiches de délégation, plan d’action</t>
  </si>
  <si>
    <t>Objectifs mal compris ou mal suivis</t>
  </si>
  <si>
    <t>Échec des missions, mauvaise évaluation des performances</t>
  </si>
  <si>
    <t>Formuler des objectifs SMART et les formaliser dans les documents de délégation</t>
  </si>
  <si>
    <t>Suivi des indicateurs de performance</t>
  </si>
  <si>
    <t>Existe-t-il des indicateurs permettant de mesurer l’atteinte des objectifs ?</t>
  </si>
  <si>
    <t>Tableau de bord, KPIs, rapports périodiques</t>
  </si>
  <si>
    <t>Absence de suivi structuré</t>
  </si>
  <si>
    <t>Impossible de savoir si les objectifs sont atteints</t>
  </si>
  <si>
    <t>Associer des KPIs clairs à chaque mission déléguée</t>
  </si>
  <si>
    <t>Évaluation régulière des résultats</t>
  </si>
  <si>
    <t>Les résultats des délégations sont-ils évalués régulièrement ?</t>
  </si>
  <si>
    <t>Rapports d’audit, comptes-rendus d’évaluation</t>
  </si>
  <si>
    <t>Manque de réajustement</t>
  </si>
  <si>
    <t>Dérive prolongée, sous-performance</t>
  </si>
  <si>
    <t>Mettre en place des revues périodiques de performance</t>
  </si>
  <si>
    <t>Feedback et ajustement des objectifs</t>
  </si>
  <si>
    <t>Un retour d’expérience est-il organisé pour adapter les délégations ?</t>
  </si>
  <si>
    <t>Compte-rendus de réunions, synthèses d’analyse</t>
  </si>
  <si>
    <t>Résistance au changement, objectifs figés</t>
  </si>
  <si>
    <t>Inadéquation entre objectifs et réalité du terrain</t>
  </si>
  <si>
    <t>Intégrer des mécanismes d’adaptation continue</t>
  </si>
  <si>
    <t>Reconnaissance des performances atteintes</t>
  </si>
  <si>
    <t>Les acteurs reçoivent-ils un retour ou une reconnaissance lorsqu’ils atteignent les objectifs ?</t>
  </si>
  <si>
    <t>Rapports RH, systèmes de reconnaissance</t>
  </si>
  <si>
    <t>Démotivation, baisse d’engagement</t>
  </si>
  <si>
    <t>Perte de confiance dans le système de délégation</t>
  </si>
  <si>
    <t>Valoriser les réussites pour renforcer l’adhésion et la responsabilisation</t>
  </si>
  <si>
    <t>S’assurer qu’il existe un comité de pilotage</t>
  </si>
  <si>
    <t>Existence formelle du comité de pilotage</t>
  </si>
  <si>
    <t>Un comité de pilotage a-t-il été mis en place et officialisé ?</t>
  </si>
  <si>
    <t>PV de constitution, charte de gouvernance</t>
  </si>
  <si>
    <t>Flou dans la direction stratégique</t>
  </si>
  <si>
    <t>Absence de décisions claires, désorientation du projet</t>
  </si>
  <si>
    <t>Constituer officiellement le comité dès le lancement du projet</t>
  </si>
  <si>
    <t>Composition adéquate du comité</t>
  </si>
  <si>
    <t>Le comité regroupe-t-il les parties prenantes clés du projet ?</t>
  </si>
  <si>
    <t>Liste des membres, organigramme projet</t>
  </si>
  <si>
    <t>Représentation partielle ou déséquilibrée</t>
  </si>
  <si>
    <t>Mauvaise représentativité, décisions biaisées</t>
  </si>
  <si>
    <t>Intégrer des profils complémentaires et décisionnaires</t>
  </si>
  <si>
    <t>Rôles et missions clairement définis</t>
  </si>
  <si>
    <t>Les rôles du comité sont-ils explicitement définis ?</t>
  </si>
  <si>
    <t>Charte de fonctionnement, RACI</t>
  </si>
  <si>
    <t>Confusion dans les responsabilités</t>
  </si>
  <si>
    <t>Décisions contradictoires ou non assumées</t>
  </si>
  <si>
    <t>Définir les attributions stratégiques, décisionnelles et de suivi</t>
  </si>
  <si>
    <t>Fréquence des réunions planifiée</t>
  </si>
  <si>
    <t>Un calendrier régulier des réunions du comité est-il établi ?</t>
  </si>
  <si>
    <t>Planning des réunions, convocations</t>
  </si>
  <si>
    <t>Perte de suivi, réactivité insuffisante</t>
  </si>
  <si>
    <t>Décalage entre pilotage et réalité du terrain</t>
  </si>
  <si>
    <t>Programmer des réunions périodiques avec ordre du jour clair</t>
  </si>
  <si>
    <t>Traçabilité des décisions prises</t>
  </si>
  <si>
    <t>Les décisions du comité sont-elles formalisées et diffusées ?</t>
  </si>
  <si>
    <t>PV de réunion, comptes-rendus, tableaux de suivi</t>
  </si>
  <si>
    <t>Manque de visibilité sur les orientations prises</t>
  </si>
  <si>
    <t>Perte de contrôle, incompréhension entre acteurs</t>
  </si>
  <si>
    <t>Rédiger systématiquement des PV et les partager aux équipes concernées</t>
  </si>
  <si>
    <t>S’assurer qu’il existe un comité de projet</t>
  </si>
  <si>
    <t>Mise en place formelle du comité</t>
  </si>
  <si>
    <t>Un comité de projet a-t-il été officiellement constitué ?</t>
  </si>
  <si>
    <t>PV de constitution, note de service</t>
  </si>
  <si>
    <t>Absence de coordination opérationnelle</t>
  </si>
  <si>
    <t>Retards, perte de cohérence dans les actions</t>
  </si>
  <si>
    <t>Constituer un comité avec des représentants des équipes clés</t>
  </si>
  <si>
    <t>Représentation des différentes fonctions</t>
  </si>
  <si>
    <t>Le comité inclut-il les fonctions concernées par la mise en œuvre ?</t>
  </si>
  <si>
    <t>Organigramme projet, liste des membres</t>
  </si>
  <si>
    <t>Déséquilibre dans la gestion du projet</t>
  </si>
  <si>
    <t>Mauvaise prise en compte des besoins métier</t>
  </si>
  <si>
    <t>Veiller à une représentation pluridisciplinaire dans le comité</t>
  </si>
  <si>
    <t>Définition des rôles et responsabilités</t>
  </si>
  <si>
    <t>Les missions et responsabilités des membres sont-elles bien définies ?</t>
  </si>
  <si>
    <t>Fiches de mission, charte de fonctionnement</t>
  </si>
  <si>
    <t>Chevauchement ou vide de responsabilités</t>
  </si>
  <si>
    <t>Inefficacité, tensions internes</t>
  </si>
  <si>
    <t>Clarifier les rôles dans un document partagé et validé</t>
  </si>
  <si>
    <t>Tenue régulière des réunions</t>
  </si>
  <si>
    <t>Le comité de projet se réunit-il de façon régulière ?</t>
  </si>
  <si>
    <t>Planning des réunions, convocations, PV</t>
  </si>
  <si>
    <t>Manque de suivi de l'avancement</t>
  </si>
  <si>
    <t>Pilotage réactif au lieu de proactif</t>
  </si>
  <si>
    <t>Planifier des réunions périodiques avec des comptes-rendus systématiques</t>
  </si>
  <si>
    <t>Diffusion des décisions opérationnelles</t>
  </si>
  <si>
    <t>Les décisions du comité sont-elles formalisées et partagées aux équipes ?</t>
  </si>
  <si>
    <t>Comptes-rendus, plateformes collaboratives</t>
  </si>
  <si>
    <t>Décisions mal comprises ou non appliquées</t>
  </si>
  <si>
    <t>Mauvaise exécution des tâches</t>
  </si>
  <si>
    <t>Assurer la diffusion claire et rapide des décisions prises par le comité de projet</t>
  </si>
  <si>
    <t xml:space="preserve">S’assurer qu’il existe un comité des utilisateurs ou, a minima,une participation des utilisateurs </t>
  </si>
  <si>
    <t>Existence d’un comité des utilisateurs</t>
  </si>
  <si>
    <t>Un comité des utilisateurs a-t-il été constitué pour suivre le projet ?</t>
  </si>
  <si>
    <t>PV de constitution, liste des membres</t>
  </si>
  <si>
    <t>Absence de retour des utilisateurs</t>
  </si>
  <si>
    <t>Manque d’adéquation entre produit final et besoins</t>
  </si>
  <si>
    <t>Créer un comité d’utilisateurs dès le début du projet</t>
  </si>
  <si>
    <t>Représentation diversifiée des utilisateurs</t>
  </si>
  <si>
    <t>Les utilisateurs clés sont-ils représentés au sein du comité ?</t>
  </si>
  <si>
    <t>Liste des participants, organigramme</t>
  </si>
  <si>
    <t>Mauvaise couverture des besoins des différents groupes</t>
  </si>
  <si>
    <t>Sous-estimation des besoins de certains utilisateurs</t>
  </si>
  <si>
    <t>Inclure des représentants des différents groupes d’utilisateurs dans le comité</t>
  </si>
  <si>
    <t>Implication régulière des utilisateurs</t>
  </si>
  <si>
    <t>Les utilisateurs participent-ils régulièrement aux réunions de suivi ?</t>
  </si>
  <si>
    <t>Comptes-rendus, calendrier des réunions</t>
  </si>
  <si>
    <t>Isolement des utilisateurs dans le processus de décision</t>
  </si>
  <si>
    <t>Solutions non adaptées aux attentes des utilisateurs</t>
  </si>
  <si>
    <t>Planifier des sessions de retour régulières avec les utilisateurs</t>
  </si>
  <si>
    <t>Collecte de feedback des utilisateurs</t>
  </si>
  <si>
    <t>Un processus formalisé existe-t-il pour recueillir les retours des utilisateurs ?</t>
  </si>
  <si>
    <t>Enquêtes, interviews, rapports de satisfaction</t>
  </si>
  <si>
    <t>Manque de feedback, besoins non pris en compte</t>
  </si>
  <si>
    <t>Décisions mal orientées, mauvaise acceptation du produit</t>
  </si>
  <si>
    <t>Mettre en place des outils de collecte de feedback (enquêtes, interviews, etc.)</t>
  </si>
  <si>
    <t>Communication des résultats aux utilisateurs</t>
  </si>
  <si>
    <t>Les résultats des comités et des décisions sont-ils partagés avec les utilisateurs ?</t>
  </si>
  <si>
    <t>Mémos, newsletters, rapports de suivi</t>
  </si>
  <si>
    <t>Isolement des utilisateurs par rapport aux décisions</t>
  </si>
  <si>
    <t>Non-adoption, faible implication des utilisateurs</t>
  </si>
  <si>
    <t>Assurer une communication transparente et régulière sur les avancées et décisions du projet</t>
  </si>
  <si>
    <t xml:space="preserve">S’assurer que les participants aux différents comités sontreprésentatifs et ont le bon niveau de décision </t>
  </si>
  <si>
    <t>Représentativité des participants</t>
  </si>
  <si>
    <t>Les participants sont-ils représentatifs des différents départements ou groupes concernés ?</t>
  </si>
  <si>
    <t>Manque de diversité dans les points de vue</t>
  </si>
  <si>
    <t>Décisions biaisées, incompréhension des besoins de certains groupes</t>
  </si>
  <si>
    <t>Assurer une représentation équilibrée de toutes les parties prenantes</t>
  </si>
  <si>
    <t>Niveau de décision adapté</t>
  </si>
  <si>
    <t>Les participants ont-ils le niveau de décision nécessaire pour prendre des mesures concrètes ?</t>
  </si>
  <si>
    <t>Organigramme, fiches de rôle</t>
  </si>
  <si>
    <t>Décisions retardées ou non appliquées</t>
  </si>
  <si>
    <t>Lenteur dans la mise en œuvre, perte de temps</t>
  </si>
  <si>
    <t>Identifier clairement les niveaux de décision et les responsabilités de chaque membre</t>
  </si>
  <si>
    <t>Compétence des participants</t>
  </si>
  <si>
    <t>Les membres des comités possèdent-ils les compétences nécessaires pour prendre des décisions éclairées ?</t>
  </si>
  <si>
    <t>CV des membres, évaluations de compétence</t>
  </si>
  <si>
    <t>Manque de compétences techniques ou stratégiques</t>
  </si>
  <si>
    <t>Décisions inappropriées ou mal informées</t>
  </si>
  <si>
    <t>Sélectionner des participants ayant les compétences adéquates pour chaque domaine</t>
  </si>
  <si>
    <t>Autorité des participants</t>
  </si>
  <si>
    <t>Les membres des comités ont-ils l'autorité pour faire appliquer leurs décisions ?</t>
  </si>
  <si>
    <t>Procès-verbaux, chartes de gouvernance</t>
  </si>
  <si>
    <t>Absence de pouvoir décisionnel réel</t>
  </si>
  <si>
    <t>Absence d'exécution, conflits d'autorité</t>
  </si>
  <si>
    <t>Donner de l'autorité décisionnelle aux participants clé du projet</t>
  </si>
  <si>
    <t>Revue périodique de la composition du comité</t>
  </si>
  <si>
    <t>La composition du comité est-elle revue régulièrement pour garantir sa pertinence ?</t>
  </si>
  <si>
    <t>Compte-rendu des revues, rapport d’audit interne</t>
  </si>
  <si>
    <t>Composition obsolète, déséquilibre des responsabilités</t>
  </si>
  <si>
    <t>Décisions non adaptées aux évolutions du projet</t>
  </si>
  <si>
    <t>Revoir la composition du comité à chaque phase clé du projet</t>
  </si>
  <si>
    <t xml:space="preserve">S’assurer que les participants ne sont pas trop nombreux, auCameroun un texte du Premier Ministre encadre le nombre de participants aux comités, commissions et groupe de travail </t>
  </si>
  <si>
    <t>Respect des limites de nombre de participants</t>
  </si>
  <si>
    <t>Le nombre de participants respecte-t-il les limites fixées par le décret ?</t>
  </si>
  <si>
    <t>PV de réunion, liste des participants</t>
  </si>
  <si>
    <t>Surpopulation des comités, perte d’efficacité</t>
  </si>
  <si>
    <t>Décisions ralenties, manque de clarté dans les responsabilités</t>
  </si>
  <si>
    <t>Veiller à respecter strictement les limites de nombre de membres dans chaque comité</t>
  </si>
  <si>
    <t>Définition claire du rôle de chaque participant</t>
  </si>
  <si>
    <t>Le rôle de chaque participant est-il bien défini et limité dans le cadre du comité ?</t>
  </si>
  <si>
    <t>Organigramme, charte de fonctionnement</t>
  </si>
  <si>
    <t>Flou dans les responsabilités, redondance des actions</t>
  </si>
  <si>
    <t>Conflits internes, décisions non exécutées correctement</t>
  </si>
  <si>
    <t>Formaliser les rôles et missions de chaque membre dans un document partagé</t>
  </si>
  <si>
    <t>Adaptation du comité aux objectifs du projet</t>
  </si>
  <si>
    <t>Le comité comprend-il uniquement les personnes essentielles à l’atteinte des objectifs ?</t>
  </si>
  <si>
    <t>Liste des membres, justifications des choix</t>
  </si>
  <si>
    <t>Présence de membres non pertinents</t>
  </si>
  <si>
    <t>Discussions inutiles, perte de focus sur les objectifs</t>
  </si>
  <si>
    <t>Limiter la participation aux acteurs clés en lien direct avec les objectifs du projet</t>
  </si>
  <si>
    <t>Respect de la gouvernance en termes de taille</t>
  </si>
  <si>
    <t>Le comité respecte-t-il la gouvernance en termes de taille selon le texte du Premier Ministre ?</t>
  </si>
  <si>
    <t>Décret N°2018/9387/CAB/PM, rapports de conformité</t>
  </si>
  <si>
    <t>Non-conformité avec la réglementation</t>
  </si>
  <si>
    <t>Risque de sanctions ou d'invalidité des décisions prises</t>
  </si>
  <si>
    <t>Assurer que le nombre de membres reste dans les limites imposées par la législation</t>
  </si>
  <si>
    <t>Suivi de la composition des comités</t>
  </si>
  <si>
    <t>La composition du comité est-elle revue régulièrement pour s’assurer qu'elle reste conforme ?</t>
  </si>
  <si>
    <t>Compte-rendu des réunions, rapports d’audit</t>
  </si>
  <si>
    <t>Non-actualisation de la composition</t>
  </si>
  <si>
    <t>Inefficacité du comité, mauvaises décisions stratégiques</t>
  </si>
  <si>
    <t>Revoir périodiquement la composition du comité selon l’évolution du projet</t>
  </si>
  <si>
    <t>S’assurer que les gestionnaires de la production sont intégrésdans les structures de pilotage</t>
  </si>
  <si>
    <t>Présence des gestionnaires dans le comité</t>
  </si>
  <si>
    <t>Les gestionnaires de la production sont-ils intégrés dans le comité de pilotage ?</t>
  </si>
  <si>
    <t>Liste des membres, organigramme du comité</t>
  </si>
  <si>
    <t>Isolement des gestionnaires, déconnexion des réalités de production</t>
  </si>
  <si>
    <t>Mauvaise prise en compte des contraintes de production</t>
  </si>
  <si>
    <t>Assurer la présence des gestionnaires dans les comités stratégiques</t>
  </si>
  <si>
    <t>Rôle des gestionnaires clairement défini</t>
  </si>
  <si>
    <t>Leur rôle et leurs responsabilités sont-ils clairement définis dans la structure de pilotage ?</t>
  </si>
  <si>
    <t>Manque de clarté dans les responsabilités des gestionnaires</t>
  </si>
  <si>
    <t>Décisions inadaptées aux réalités de la production</t>
  </si>
  <si>
    <t>Définir clairement les missions et responsabilités des gestionnaires de production</t>
  </si>
  <si>
    <t>Participation active des gestionnaires</t>
  </si>
  <si>
    <t>Les gestionnaires participent-ils activement aux décisions stratégiques ?</t>
  </si>
  <si>
    <t>Comptes-rendus de réunions, rapports d’activité</t>
  </si>
  <si>
    <t>Absence de contribution des gestionnaires de production</t>
  </si>
  <si>
    <t>Solutions non adaptées à la production, écart entre stratégie et opérationnel</t>
  </si>
  <si>
    <t>Encourager la participation active des gestionnaires aux réunions de pilotage</t>
  </si>
  <si>
    <t>Communication avec les équipes de production</t>
  </si>
  <si>
    <t>Les gestionnaires de la production transmettent-ils les décisions stratégiques aux équipes opérationnelles ?</t>
  </si>
  <si>
    <t>Compte-rendu des réunions, rapports de communication</t>
  </si>
  <si>
    <t>Mauvaise diffusion des informations stratégiques</t>
  </si>
  <si>
    <t>Désalignement entre les équipes opérationnelles et stratégiques</t>
  </si>
  <si>
    <t>Mettre en place des canaux de communication efficaces entre le comité et les équipes de production</t>
  </si>
  <si>
    <t>Suivi des actions des gestionnaires</t>
  </si>
  <si>
    <t>Existe-t-il un suivi des actions des gestionnaires de production dans le cadre du pilotage ?</t>
  </si>
  <si>
    <t>Rapports de suivi, tableaux de bord de performance</t>
  </si>
  <si>
    <t>Manque de visibilité sur l'impact des actions</t>
  </si>
  <si>
    <t>Inefficacité dans la mise en œuvre des décisions prises</t>
  </si>
  <si>
    <t>Mettre en place des outils de suivi de la performance des gestionnaires de production</t>
  </si>
  <si>
    <t>S’assurer que la fréquence des comités est appropriée</t>
  </si>
  <si>
    <t>Fréquence adaptée aux besoins du projet</t>
  </si>
  <si>
    <t>La fréquence des réunions du comité est-elle adaptée à l’avancement du projet ?</t>
  </si>
  <si>
    <t>Calendrier des réunions, planning de projet</t>
  </si>
  <si>
    <t>Réunions trop espacées ou trop fréquentes</t>
  </si>
  <si>
    <t>Retards ou surcharge, décisions non actualisées</t>
  </si>
  <si>
    <t>Définir une fréquence qui correspond aux phases du projet et aux besoins de suivi</t>
  </si>
  <si>
    <t>Réactivité aux enjeux du projet</t>
  </si>
  <si>
    <t>Les comités se réunissent-ils suffisamment souvent pour réagir aux enjeux du projet ?</t>
  </si>
  <si>
    <t>Comptes-rendus des réunions, rapports d’avancement</t>
  </si>
  <si>
    <t>Absence de réactivité en cas de crise ou de besoin urgent</t>
  </si>
  <si>
    <t>Manque de réactivité, escalade des problèmes non résolus</t>
  </si>
  <si>
    <t>Adapter la fréquence selon l'évolution du projet (plus fréquente en période critique)</t>
  </si>
  <si>
    <t>Respect du calendrier de réunions</t>
  </si>
  <si>
    <t>Le calendrier de réunions est-il respecté de manière régulière ?</t>
  </si>
  <si>
    <t>Planning des réunions, calendrier validé</t>
  </si>
  <si>
    <t>Non-respect du calendrier</t>
  </si>
  <si>
    <t>Retards accumulés, perte de cohérence</t>
  </si>
  <si>
    <t>S'assurer que les réunions sont planifiées à l'avance et respectées</t>
  </si>
  <si>
    <t>Participation active à chaque réunion</t>
  </si>
  <si>
    <t>La fréquence des réunions permet-elle à tous les membres d’être présents et impliqués ?</t>
  </si>
  <si>
    <t>Liste des participants, PV des réunions</t>
  </si>
  <si>
    <t>Absence fréquente de membres clés</t>
  </si>
  <si>
    <t>Manque d'implication, absence de vision collective</t>
  </si>
  <si>
    <t>Ajuster la fréquence pour permettre à tous les membres de participer activement</t>
  </si>
  <si>
    <t>Suivi de l’efficacité des réunions</t>
  </si>
  <si>
    <t>La fréquence des réunions permet-elle de suivre de manière efficace l’avancement des actions ?</t>
  </si>
  <si>
    <t>Tableaux de bord, rapports de suivi, évaluations de réunions</t>
  </si>
  <si>
    <t>Suivi insuffisant ou trop lourd</t>
  </si>
  <si>
    <t>Suivi inefficace, actions non abouties</t>
  </si>
  <si>
    <t>Faire un bilan après chaque réunion pour évaluer la pertinence de la fréquence et ajuster</t>
  </si>
  <si>
    <t xml:space="preserve">S’assurer qu’il existe une réunion périodique de revue du projetpour suivre son avancement </t>
  </si>
  <si>
    <t>Existence de réunions périodiques de revue</t>
  </si>
  <si>
    <t>Existe-t-il des réunions périodiques pour suivre l’avancement du projet ?</t>
  </si>
  <si>
    <t>Planning des réunions, rapports de suivi</t>
  </si>
  <si>
    <t>Absence de suivi structuré du projet</t>
  </si>
  <si>
    <t>Retards accumulés, risques non identifiés</t>
  </si>
  <si>
    <t>Mettre en place des réunions régulières de revue de projet, définies dès le début</t>
  </si>
  <si>
    <t>Fréquence appropriée des réunions de revue</t>
  </si>
  <si>
    <t>La fréquence des réunions de revue est-elle adaptée à la nature du projet ?</t>
  </si>
  <si>
    <t>Fréquence insuffisante ou trop fréquente</t>
  </si>
  <si>
    <t>Manque de visibilité sur l’avancement ou surcharge de travail</t>
  </si>
  <si>
    <t>Ajuster la fréquence des réunions en fonction des étapes du projet</t>
  </si>
  <si>
    <t>Suivi des actions décidées en réunion</t>
  </si>
  <si>
    <t>Les actions décidées lors des réunions sont-elles suivies et réalisées ?</t>
  </si>
  <si>
    <t>Tableaux de suivi des actions, comptes-rendus</t>
  </si>
  <si>
    <t>Manque de suivi des décisions prises</t>
  </si>
  <si>
    <t>Non-implémentation des décisions, retard dans l’exécution</t>
  </si>
  <si>
    <t>Mettre en place un système de suivi pour chaque action décidée lors des réunions</t>
  </si>
  <si>
    <t>Toutes les parties prenantes pertinentes sont-elles impliquées dans les réunions ?</t>
  </si>
  <si>
    <t>Isolement de certaines parties prenantes</t>
  </si>
  <si>
    <t>Absence de perspective complète, décisions non alignées</t>
  </si>
  <si>
    <t>Assurer la présence de toutes les parties prenantes clés aux réunions de revue</t>
  </si>
  <si>
    <t>Analyse des résultats et ajustements nécessaires</t>
  </si>
  <si>
    <t>Lors des réunions de revue, les résultats sont-ils analysés et des ajustements sont-ils apportés ?</t>
  </si>
  <si>
    <t>Rapports d’avancement, indicateurs de performance</t>
  </si>
  <si>
    <t>Analyse superficielle des résultats, absence d’ajustements</t>
  </si>
  <si>
    <t>Plan de projet déséquilibré, dérive des objectifs</t>
  </si>
  <si>
    <t>Assurer une analyse approfondie des résultats et des ajustements en fonction des retours</t>
  </si>
  <si>
    <t>S’assurer que la traçabilité des évolutions de périmètre, coût etdélai est assurée</t>
  </si>
  <si>
    <t>Enregistrement des modifications de périmètre</t>
  </si>
  <si>
    <t>Les évolutions du périmètre du projet sont-elles documentées de manière claire ?</t>
  </si>
  <si>
    <t>Historique des versions du périmètre, rapports de changement</t>
  </si>
  <si>
    <t>Manque de clarté sur l’évolution du périmètre</t>
  </si>
  <si>
    <t>Malentendus sur les objectifs du projet, dérive des livrables</t>
  </si>
  <si>
    <t>Mettre en place un processus de validation et d’enregistrement des changements de périmètre</t>
  </si>
  <si>
    <t>Suivi des coûts et des écarts</t>
  </si>
  <si>
    <t>Les évolutions du coût du projet sont-elles suivies et documentées en temps réel ?</t>
  </si>
  <si>
    <t>Tableaux de suivi des coûts, rapports financiers</t>
  </si>
  <si>
    <t>Surcoûts non identifiés, mauvaise gestion budgétaire</t>
  </si>
  <si>
    <t>Dépassement du budget, difficulté à justifier les écarts</t>
  </si>
  <si>
    <t>Implémenter un système de suivi des coûts, avec des rapports réguliers et détaillés</t>
  </si>
  <si>
    <t>Suivi des délais et des ajustements</t>
  </si>
  <si>
    <t>Les modifications des délais sont-elles tracées et réajustées en fonction de l’avancement ?</t>
  </si>
  <si>
    <t>Planning mis à jour, rapports de suivi des délais</t>
  </si>
  <si>
    <t>Retards non signalés, manque d’anticipation des dérives</t>
  </si>
  <si>
    <t>Retards accumulés, perte de contrôle sur le calendrier</t>
  </si>
  <si>
    <t>Définir des mécanismes de mise à jour et de validation des délais régulièrement</t>
  </si>
  <si>
    <t>Communication des évolutions</t>
  </si>
  <si>
    <t>Les parties prenantes sont-elles informées de manière systématique des évolutions de périmètre, coût et délai ?</t>
  </si>
  <si>
    <t>Comptes-rendus, newsletters, plateforme projet</t>
  </si>
  <si>
    <t>Manque de communication, désalignement des équipes</t>
  </si>
  <si>
    <t>Confusion entre les équipes, prises de décisions incohérentes</t>
  </si>
  <si>
    <t>Mettre en place des canaux de communication clairs pour partager les évolutions</t>
  </si>
  <si>
    <t>Audit des évolutions</t>
  </si>
  <si>
    <t>Un audit périodique est-il effectué pour vérifier la traçabilité des évolutions de périmètre, coût et délai ?</t>
  </si>
  <si>
    <t>Rapport d’audit, documents de validation</t>
  </si>
  <si>
    <t>Absence de vérification formelle, erreurs non détectées</t>
  </si>
  <si>
    <t>Risques non identifiés, mauvaise gestion des écarts</t>
  </si>
  <si>
    <t>Organiser des audits réguliers pour assurer la conformité et la traçabilité des évolutions</t>
  </si>
  <si>
    <t>Méthodes et outils</t>
  </si>
  <si>
    <t>S’assurer qu’il existe une méthode de conduite de projet etcelle-ci est appliquée</t>
  </si>
  <si>
    <t>Existence d'une méthode formalisée</t>
  </si>
  <si>
    <t>Une méthode de conduite de projet est-elle formalisée et documentée ?</t>
  </si>
  <si>
    <t>Manque de direction claire, confusion dans l'exécution</t>
  </si>
  <si>
    <t>Dérive du projet, non-conformité dans l'exécution</t>
  </si>
  <si>
    <t>Formaliser la méthode de gestion de projet et la rendre accessible à tous les acteurs</t>
  </si>
  <si>
    <t>Application de la méthode de conduite de projet</t>
  </si>
  <si>
    <t>La méthode définie est-elle appliquée de manière systématique dans le projet ?</t>
  </si>
  <si>
    <t>Comptes-rendus de réunions, rapports d'avancement</t>
  </si>
  <si>
    <t>Application partielle ou incohérente de la méthode</t>
  </si>
  <si>
    <t>Risques de mauvaise gestion, manque de coordination</t>
  </si>
  <si>
    <t>S'assurer que tous les membres appliquent rigoureusement la méthode définie</t>
  </si>
  <si>
    <t>Formation des équipes à la méthode</t>
  </si>
  <si>
    <t>Les équipes sont-elles formées et préparées à la méthode de conduite de projet ?</t>
  </si>
  <si>
    <t>Rapports de formation, attestation de formation</t>
  </si>
  <si>
    <t>Manque de compétence dans la gestion de projet</t>
  </si>
  <si>
    <t>Inefficacité dans l'exécution, mauvaise gestion des risques</t>
  </si>
  <si>
    <t>Organiser des sessions de formation régulières pour les équipes sur la méthode</t>
  </si>
  <si>
    <t>Suivi de l'application de la méthode</t>
  </si>
  <si>
    <t>Un suivi est-il effectué pour vérifier l’application de la méthode dans le projet ?</t>
  </si>
  <si>
    <t>Tableau de suivi, audits internes</t>
  </si>
  <si>
    <t>Absence de contrôle, dérives dans la méthode appliquée</t>
  </si>
  <si>
    <t>Risques non identifiés, actions incohérentes</t>
  </si>
  <si>
    <t>Mettre en place un suivi régulier pour vérifier l'application de la méthode</t>
  </si>
  <si>
    <t>Révision et amélioration continue de la méthode</t>
  </si>
  <si>
    <t>La méthode de conduite de projet est-elle régulièrement revue et améliorée ?</t>
  </si>
  <si>
    <t>Rapports de révision, retours d'expérience</t>
  </si>
  <si>
    <t>Méthode obsolète ou non adaptée au contexte du projet</t>
  </si>
  <si>
    <t>Inefficacité prolongée, manque d'adaptabilité</t>
  </si>
  <si>
    <t>Effectuer des revues périodiques de la méthode et intégrer les retours d'expérience</t>
  </si>
  <si>
    <t>S’assurer que la méthode repose sur un découpage des projetsen tâches</t>
  </si>
  <si>
    <t>Découpage du projet en tâches clairement définies</t>
  </si>
  <si>
    <t>Le projet est-il découpé en tâches clairement définies et compréhensibles ?</t>
  </si>
  <si>
    <t>Work Breakdown Structure (WBS), planning de projet</t>
  </si>
  <si>
    <t>Manque de clarté dans les tâches, confusion</t>
  </si>
  <si>
    <t>Retards dans l'exécution, tâches mal attribuées</t>
  </si>
  <si>
    <t>Utiliser un découpage détaillé et structuré du projet pour chaque phase</t>
  </si>
  <si>
    <t>Répartition des tâches entre les équipes</t>
  </si>
  <si>
    <t>Les tâches sont-elles bien réparties et assignées aux bonnes équipes ?</t>
  </si>
  <si>
    <t>Liste des tâches assignées, organigramme des équipes</t>
  </si>
  <si>
    <t>Mauvaise attribution des tâches, surcharge ou sous-charge</t>
  </si>
  <si>
    <t>Inefficacité dans l'exécution, non-respect des délais</t>
  </si>
  <si>
    <t>Veiller à une répartition équilibrée des tâches en fonction des compétences des équipes</t>
  </si>
  <si>
    <t>Suivi du progrès des tâches</t>
  </si>
  <si>
    <t>Le progrès de chaque tâche est-il suivi de manière régulière ?</t>
  </si>
  <si>
    <t>Tableaux de bord de suivi, rapports d'avancement</t>
  </si>
  <si>
    <t>Absence de suivi des tâches, retards non identifiés</t>
  </si>
  <si>
    <t>Retards non anticipés, perte de vue des priorités</t>
  </si>
  <si>
    <t>Mettre en place un suivi régulier et détaillé du progrès de chaque tâche</t>
  </si>
  <si>
    <t>Identification des dépendances entre les tâches</t>
  </si>
  <si>
    <t>Les dépendances entre les tâches sont-elles identifiées et gérées ?</t>
  </si>
  <si>
    <t>Diagramme de Gantt, plan de gestion des dépendances</t>
  </si>
  <si>
    <t>Retards causés par des tâches bloquées ou mal gérées</t>
  </si>
  <si>
    <t>Dérive des délais, impact sur les ressources</t>
  </si>
  <si>
    <t>Utiliser des outils de gestion de dépendances et prévoir des marges de manœuvre</t>
  </si>
  <si>
    <t>Flexibilité dans le découpage des tâches</t>
  </si>
  <si>
    <t>Le découpage des tâches permet-il des ajustements en fonction des imprévus ?</t>
  </si>
  <si>
    <t>Rapports de gestion des risques, historique des modifications</t>
  </si>
  <si>
    <t>Découpage rigide, difficulté à ajuster</t>
  </si>
  <si>
    <t>Difficulté à réagir face aux imprévus, dérapage du projet</t>
  </si>
  <si>
    <t>Prévoir des ajustements possibles dans le découpage des tâches selon l’évolution du projet</t>
  </si>
  <si>
    <t>S’assurer que la méthode repose sur une attribution formelledes responsabilités par tâche</t>
  </si>
  <si>
    <t>Attribution claire des responsabilités</t>
  </si>
  <si>
    <t>Les responsabilités sont-elles clairement attribuées pour chaque tâche ?</t>
  </si>
  <si>
    <t>Matrice RACI, tableau des responsabilités</t>
  </si>
  <si>
    <t>Confusion sur qui est responsable de quoi</t>
  </si>
  <si>
    <t>Mauvaise exécution des tâches, retards</t>
  </si>
  <si>
    <t>Utiliser un modèle RACI ou similaire pour assigner clairement les responsabilités</t>
  </si>
  <si>
    <t>Suivi formel des responsabilités attribuées</t>
  </si>
  <si>
    <t>Les responsabilités sont-elles suivies et mises à jour régulièrement ?</t>
  </si>
  <si>
    <t>Rapports de suivi des responsabilités, compte-rendu des réunions</t>
  </si>
  <si>
    <t>Tâches non suivies, responsabilités oubliées</t>
  </si>
  <si>
    <t>Mauvaise exécution des tâches, non-respect des délais</t>
  </si>
  <si>
    <t>Mettre en place un système de suivi et de mise à jour des responsabilités</t>
  </si>
  <si>
    <t>Clarté sur les attentes pour chaque responsabilité</t>
  </si>
  <si>
    <t>Les attentes et objectifs associés à chaque responsabilité sont-ils clairement définis ?</t>
  </si>
  <si>
    <t>Description des responsabilités, objectifs de performance</t>
  </si>
  <si>
    <t>Manque de précision dans les attentes, désalignement</t>
  </si>
  <si>
    <t>Non-alignement des efforts, déception dans les résultats</t>
  </si>
  <si>
    <t>Définir des objectifs clairs et mesurables pour chaque tâche et responsable</t>
  </si>
  <si>
    <t>Communication des responsabilités aux parties prenantes</t>
  </si>
  <si>
    <t>Les responsabilités sont-elles communiquées à toutes les parties prenantes ?</t>
  </si>
  <si>
    <t>Email de communication, tableau des responsabilités</t>
  </si>
  <si>
    <t>Manque de communication, confusion sur les rôles</t>
  </si>
  <si>
    <t>Malentendus, conflits entre les équipes</t>
  </si>
  <si>
    <t>Assurer une communication formelle des responsabilités à toutes les parties prenantes</t>
  </si>
  <si>
    <t>Évaluation de l'accomplissement des responsabilités</t>
  </si>
  <si>
    <t>L’accomplissement des responsabilités est-il régulièrement évalué ?</t>
  </si>
  <si>
    <t>Rapports de performance, revues d’équipe</t>
  </si>
  <si>
    <t>S’assurer que la méthode repose sur une identification précisedes points de contrôle et des livrables</t>
  </si>
  <si>
    <t>Identification claire des points de contrôle</t>
  </si>
  <si>
    <t>Les points de contrôle du projet sont-ils clairement identifiés ?</t>
  </si>
  <si>
    <t>Plan de projet, calendrier des contrôles, tableau de suivi</t>
  </si>
  <si>
    <t>Manque de contrôle à des étapes clés</t>
  </si>
  <si>
    <t>Dérive du projet, absence de réajustement en temps voulu</t>
  </si>
  <si>
    <t>Identifier les points de contrôle à chaque phase du projet et les documenter clairement</t>
  </si>
  <si>
    <t>Définition des livrables par étape</t>
  </si>
  <si>
    <t>Les livrables attendus sont-ils bien définis pour chaque étape du projet ?</t>
  </si>
  <si>
    <t>Liste des livrables, planning de livraison</t>
  </si>
  <si>
    <t>Ambiguïté sur les livrables, objectifs non atteints</t>
  </si>
  <si>
    <t>Livrables incomplets ou mal définis, retard dans les livraisons</t>
  </si>
  <si>
    <t>Définir clairement les livrables pour chaque phase avec des critères de validation précis</t>
  </si>
  <si>
    <t>Suivi des livrables et des points de contrôle</t>
  </si>
  <si>
    <t>Les livrables et points de contrôle sont-ils suivis régulièrement ?</t>
  </si>
  <si>
    <t>Tableau de suivi des livrables, rapport d’avancement</t>
  </si>
  <si>
    <t>Absence de suivi, retards non détectés</t>
  </si>
  <si>
    <t>Retards, mauvaise gestion des ressources</t>
  </si>
  <si>
    <t>Mettre en place un suivi rigoureux pour chaque point de contrôle et chaque livrable</t>
  </si>
  <si>
    <t>Validation des livrables à chaque étape</t>
  </si>
  <si>
    <t>Les livrables sont-ils validés à chaque étape du projet par les parties prenantes ?</t>
  </si>
  <si>
    <t>Procès-verbaux de validation, rapports de revue</t>
  </si>
  <si>
    <t>Livrables non validés, retour d’informations insuffisant</t>
  </si>
  <si>
    <t>Rework sur les livrables, confusion sur les attentes</t>
  </si>
  <si>
    <t>Organiser des réunions de validation pour chaque livrable avant de passer à l’étape suivante</t>
  </si>
  <si>
    <t>Évaluation des écarts par rapport aux points de contrôle</t>
  </si>
  <si>
    <t>Les écarts par rapport aux points de contrôle sont-ils régulièrement évalués ?</t>
  </si>
  <si>
    <t>Rapports d'audit, rapport d'écart</t>
  </si>
  <si>
    <t>Manque d’identification des écarts, absence de réajustement</t>
  </si>
  <si>
    <t>Dérive des objectifs, mauvaise allocation des ressources</t>
  </si>
  <si>
    <t>Mettre en place des revues périodiques pour évaluer les écarts et réajuster les actions en conséquence</t>
  </si>
  <si>
    <t>S’assurer que la méthode repose sur un reporting des temps àtravers une feuille de temps ;</t>
  </si>
  <si>
    <t>Existence d'une feuille de temps formalisée</t>
  </si>
  <si>
    <t>Une feuille de temps est-elle utilisée pour le suivi des heures travaillées ?</t>
  </si>
  <si>
    <t>Modèle de feuille de temps, rapports de suivi des heures</t>
  </si>
  <si>
    <t>Absence de suivi des temps, perte de contrôle des ressources</t>
  </si>
  <si>
    <t>Non-respect des délais, mauvaise gestion des ressources</t>
  </si>
  <si>
    <t>Mettre en place une feuille de temps standardisée et la rendre obligatoire pour tous les membres</t>
  </si>
  <si>
    <t>Mise à jour régulière de la feuille de temps</t>
  </si>
  <si>
    <t>La feuille de temps est-elle mise à jour régulièrement ?</t>
  </si>
  <si>
    <t>Feuille de temps actualisée, rapports hebdomadaires</t>
  </si>
  <si>
    <t>Temps non enregistré, mauvaise gestion des heures</t>
  </si>
  <si>
    <t>Difficulté à suivre l'avancement, erreurs dans les rapports</t>
  </si>
  <si>
    <t>S'assurer que la mise à jour soit faite quotidiennement ou hebdomadairement</t>
  </si>
  <si>
    <t>Suivi et contrôle des heures saisies</t>
  </si>
  <si>
    <t>Le suivi des heures saisies est-il vérifié et validé ?</t>
  </si>
  <si>
    <t>Rapport de contrôle des heures, processus de validation</t>
  </si>
  <si>
    <t>Heures incorrectement saisies, validation manquante</t>
  </si>
  <si>
    <t>Retards, mauvaise gestion des coûts</t>
  </si>
  <si>
    <t>Implémenter un processus de validation et de contrôle des feuilles de temps</t>
  </si>
  <si>
    <t>Précision et granularité du reporting des temps</t>
  </si>
  <si>
    <t>La feuille de temps permet-elle de détailler les heures par tâche, projet ou activité ?</t>
  </si>
  <si>
    <t>Feuille de temps détaillée, tableau de répartition des tâches</t>
  </si>
  <si>
    <t>Manque de détail dans les heures, confusion dans le suivi</t>
  </si>
  <si>
    <t>Mauvaise attribution des ressources, dérive des coûts</t>
  </si>
  <si>
    <t>Assurer un niveau de détail suffisant pour chaque tâche ou activité</t>
  </si>
  <si>
    <t>Utilisation des données pour l'analyse de performance</t>
  </si>
  <si>
    <t>Les données de la feuille de temps sont-elles utilisées pour analyser la performance ?</t>
  </si>
  <si>
    <t>Rapport d'analyse des heures, tableau de performance</t>
  </si>
  <si>
    <t>Absence d'analyse des données, manque de réactivité</t>
  </si>
  <si>
    <t>Mauvaise planification, sous- ou sur-gestion des ressources</t>
  </si>
  <si>
    <t>Analyser régulièrement les données de la feuille de temps pour ajuster les prévisions et la planification</t>
  </si>
  <si>
    <t xml:space="preserve">S’assurer que la méthode repose sur un outil de planification </t>
  </si>
  <si>
    <t>S’assurer que la méthode repose sur des outils</t>
  </si>
  <si>
    <t>Identification des outils nécessaires</t>
  </si>
  <si>
    <t>Les outils nécessaires à la gestion du projet ont-ils été identifiés ?</t>
  </si>
  <si>
    <t>Liste des outils, outils logiciels utilisés</t>
  </si>
  <si>
    <t>Absence d'outils adaptés, mauvaise gestion du projet</t>
  </si>
  <si>
    <t>Retards dans la réalisation, perte d’efficacité</t>
  </si>
  <si>
    <t>Identifier et sélectionner les outils adaptés au projet et à l'équipe</t>
  </si>
  <si>
    <t>Formation sur les outils utilisés</t>
  </si>
  <si>
    <t>Les équipes ont-elles été formées à l’utilisation des outils ?</t>
  </si>
  <si>
    <t>Rapports de formation, plan de formation</t>
  </si>
  <si>
    <t>Non-maîtrise des outils, inefficacité dans leur utilisation</t>
  </si>
  <si>
    <t>Mauvaise utilisation des outils, erreurs dans le travail</t>
  </si>
  <si>
    <t>Mettre en place des sessions de formation pour les outils dès le début du projet</t>
  </si>
  <si>
    <t>Mise à jour et maintenance des outils</t>
  </si>
  <si>
    <t>Les outils sont-ils régulièrement mis à jour et maintenus ?</t>
  </si>
  <si>
    <t>Plan de maintenance, historique des mises à jour</t>
  </si>
  <si>
    <t>Outils obsolètes, pannes fréquentes</t>
  </si>
  <si>
    <t>Inefficacité, problèmes techniques récurrents</t>
  </si>
  <si>
    <t>Assurer une maintenance régulière et des mises à jour pour les outils utilisés</t>
  </si>
  <si>
    <t>Adaptabilité des outils aux besoins du projet</t>
  </si>
  <si>
    <t>Les outils utilisés sont-ils adaptés aux besoins spécifiques du projet ?</t>
  </si>
  <si>
    <t>Description des besoins du projet, rapport d'évaluation des outils</t>
  </si>
  <si>
    <t>Mauvaise adéquation, perte de productivité</t>
  </si>
  <si>
    <t>Problèmes de gestion, retards dans l'exécution du projet</t>
  </si>
  <si>
    <t>Évaluer régulièrement l’adéquation des outils avec les besoins et ajuster si nécessaire</t>
  </si>
  <si>
    <t>Suivi de l'efficacité des outils</t>
  </si>
  <si>
    <t>L'efficacité des outils est-elle régulièrement mesurée ?</t>
  </si>
  <si>
    <t>Rapport de performance des outils, feedback des utilisateurs</t>
  </si>
  <si>
    <t>Absence d'évaluation, outils sous-performants</t>
  </si>
  <si>
    <t>Non-optimisation des outils, impact sur la gestion du projet</t>
  </si>
  <si>
    <t>Collecter des retours d’expérience réguliers pour évaluer et ajuster l'utilisation des outils</t>
  </si>
  <si>
    <t>S’assurer que les outils de suivi des délais et des coûts sontadaptés</t>
  </si>
  <si>
    <t>Identification des outils de suivi des délais et coûts</t>
  </si>
  <si>
    <t>Les outils de suivi des délais et des coûts ont-ils été correctement identifiés ?</t>
  </si>
  <si>
    <t>Liste des outils de suivi, rapports de sélection des outils</t>
  </si>
  <si>
    <t>Mauvais choix d'outils, inefficacité dans le suivi</t>
  </si>
  <si>
    <t>Dépassement de budget et retard dans le projet</t>
  </si>
  <si>
    <t>Identifier les outils de suivi qui correspondent aux besoins spécifiques du projet</t>
  </si>
  <si>
    <t>Les outils de suivi sont-ils adaptés aux spécificités du projet ?</t>
  </si>
  <si>
    <t>Rapport d'analyse des besoins, description des outils utilisés</t>
  </si>
  <si>
    <t>Outils non adaptés aux spécifications du projet</t>
  </si>
  <si>
    <t>Erreurs dans le suivi, mauvaise gestion des coûts et des délais</t>
  </si>
  <si>
    <t>Évaluer les outils en fonction des spécificités du projet avant leur adoption</t>
  </si>
  <si>
    <t>Suivi en temps réel des coûts et délais</t>
  </si>
  <si>
    <t>Les outils permettent-ils un suivi en temps réel des coûts et des délais ?</t>
  </si>
  <si>
    <t>Capture d’écran des outils, rapports de suivi en temps réel</t>
  </si>
  <si>
    <t>Retards dans la mise à jour, informations obsolètes</t>
  </si>
  <si>
    <t>Décisions basées sur des données inexactes</t>
  </si>
  <si>
    <t>Choisir des outils qui offrent un suivi en temps réel et automatiser les mises à jour</t>
  </si>
  <si>
    <t>Précision des outils de suivi</t>
  </si>
  <si>
    <t>Les outils utilisés offrent-ils une précision suffisante pour suivre les délais et coûts ?</t>
  </si>
  <si>
    <t>Rapport de performance des outils, analyse des données</t>
  </si>
  <si>
    <t>Inexactitude dans le suivi, erreurs dans les prévisions</t>
  </si>
  <si>
    <t>Mauvaise gestion financière et des délais</t>
  </si>
  <si>
    <t>S'assurer que les outils mesurent les données de manière précise et fiable</t>
  </si>
  <si>
    <t>Évaluation de l'efficacité des outils de suivi</t>
  </si>
  <si>
    <t>L'efficacité des outils de suivi est-elle régulièrement évaluée ?</t>
  </si>
  <si>
    <t>Rapport d’évaluation des outils, retours d'expérience</t>
  </si>
  <si>
    <t>Outils inefficaces non réajustés, perte de contrôle</t>
  </si>
  <si>
    <t>Inefficacité dans le suivi, impact sur la performance du projet</t>
  </si>
  <si>
    <t>Réaliser des évaluations périodiques et ajuster les outils en fonction des retours d’expérience</t>
  </si>
  <si>
    <t>S’assurer que le plan général du projet est suffisamment précis</t>
  </si>
  <si>
    <t>Détail des objectifs du projet</t>
  </si>
  <si>
    <t>Les objectifs du projet sont-ils clairement définis et détaillés ?</t>
  </si>
  <si>
    <t>Plan de projet, liste des objectifs détaillés</t>
  </si>
  <si>
    <t>Objectifs flous, manque de clarté</t>
  </si>
  <si>
    <t>Retards, dérive des attentes, confusion dans l'exécution</t>
  </si>
  <si>
    <t>Définir des objectifs SMART, précis et mesurables</t>
  </si>
  <si>
    <t>Description des activités et des tâches</t>
  </si>
  <si>
    <t>Le plan inclut-il une description détaillée des activités et des tâches à accomplir ?</t>
  </si>
  <si>
    <t>Plan de projet, WBS (Work Breakdown Structure)</t>
  </si>
  <si>
    <t>Manque de clarté sur les responsabilités, confusion</t>
  </si>
  <si>
    <t>Mauvaise exécution, retards dans les tâches spécifiques</t>
  </si>
  <si>
    <t>Détaillez chaque activité et tâche, en les associant à des ressources et des délais</t>
  </si>
  <si>
    <t>Planification des ressources</t>
  </si>
  <si>
    <t>Les ressources nécessaires sont-elles clairement planifiées et attribuées ?</t>
  </si>
  <si>
    <t>Plan de ressources, liste des ressources allouées</t>
  </si>
  <si>
    <t>Mauvaise attribution des ressources, non-utilisation optimale</t>
  </si>
  <si>
    <t>Sous-utilisation ou surcharge des ressources</t>
  </si>
  <si>
    <t>Planifier les ressources par tâche et ajuster selon la disponibilité</t>
  </si>
  <si>
    <t>Identification des risques et des obstacles</t>
  </si>
  <si>
    <t>Le plan identifie-t-il les risques et obstacles potentiels ?</t>
  </si>
  <si>
    <t>Analyse des risques, plan de gestion des risques</t>
  </si>
  <si>
    <t>Risques non identifiés, impact non anticipé</t>
  </si>
  <si>
    <t>Problèmes imprévus, dépassement de budget ou délais</t>
  </si>
  <si>
    <t>Intégrer une analyse des risques dans la planification et prévoir des plans de contingence</t>
  </si>
  <si>
    <t>Échéancier détaillé et réaliste</t>
  </si>
  <si>
    <t>L’échéancier du projet est-il détaillé et réaliste ?</t>
  </si>
  <si>
    <t>Diagramme de Gantt, calendrier détaillé</t>
  </si>
  <si>
    <t>Retards ou mauvaise gestion du temps</t>
  </si>
  <si>
    <t>Non-respect des délais, dérive des coûts</t>
  </si>
  <si>
    <t>Créer un échéancier réaliste avec des marges de manœuvre et le suivre régulièrement</t>
  </si>
  <si>
    <t xml:space="preserve">S’assurer que les tâches identifiées constituent des unitésgérables </t>
  </si>
  <si>
    <t>Clarté des tâches définies</t>
  </si>
  <si>
    <t>Les tâches sont-elles définies de manière claire et précise ?</t>
  </si>
  <si>
    <t>Liste des tâches, plan de projet</t>
  </si>
  <si>
    <t>Tâches floues, ambiguïté dans les responsabilités</t>
  </si>
  <si>
    <t>Manque de direction, confusion dans l'exécution des tâches</t>
  </si>
  <si>
    <t>Définir chaque tâche avec des objectifs spécifiques et mesurables</t>
  </si>
  <si>
    <t>Découpage des tâches en sous-tâches gérables</t>
  </si>
  <si>
    <t>Les tâches sont-elles découpées en sous-tâches suffisamment petites et gérables ?</t>
  </si>
  <si>
    <t>WBS (Work Breakdown Structure), plan de découpage des tâches</t>
  </si>
  <si>
    <t>Sous-tâches trop larges, surcharge de travail</t>
  </si>
  <si>
    <t>Difficulté à suivre l’avancement, risques de dépassement</t>
  </si>
  <si>
    <t>Décomposer les tâches complexes en sous-tâches plus petites et mesurables</t>
  </si>
  <si>
    <t>Assignation des responsabilités pour chaque tâche</t>
  </si>
  <si>
    <t>Chaque tâche a-t-elle une personne responsable clairement définie ?</t>
  </si>
  <si>
    <t>Plan de ressources, liste des responsabilités</t>
  </si>
  <si>
    <t>Manque de responsabilité, tâches non réalisées</t>
  </si>
  <si>
    <t>Tâches non effectuées ou mal exécutées</t>
  </si>
  <si>
    <t>Assigner clairement des responsables à chaque tâche avec des objectifs clairs</t>
  </si>
  <si>
    <t>Estimation du temps pour chaque tâche</t>
  </si>
  <si>
    <t>Le temps nécessaire pour chaque tâche a-t-il été estimé de manière réaliste ?</t>
  </si>
  <si>
    <t>Estimations des temps, calendrier des tâches</t>
  </si>
  <si>
    <t>Estimations erronées, mauvaises prévisions des délais</t>
  </si>
  <si>
    <t>Retards dans l'exécution des tâches, mauvaise gestion du temps</t>
  </si>
  <si>
    <t>Réaliser des estimations réalistes basées sur des expériences passées et des données concrètes</t>
  </si>
  <si>
    <t>Suivi de l'avancement des tâches</t>
  </si>
  <si>
    <t>Un mécanisme de suivi de l’avancement de chaque tâche a-t-il été mis en place ?</t>
  </si>
  <si>
    <t>Rapport de suivi, outils de gestion de projet</t>
  </si>
  <si>
    <t>Manque de suivi, tâches laissées en suspens</t>
  </si>
  <si>
    <t>Déviation du plan, tâches non terminées dans les délais</t>
  </si>
  <si>
    <t>Utiliser des outils de suivi de projet (comme les diagrammes de Gantt) pour suivre l’avancement</t>
  </si>
  <si>
    <t>S’assurer que les tâches identifiées constituent des unitésgérables</t>
  </si>
  <si>
    <t>Définir chaque tâche de manière précise et spécifique, avec des critères mesurables</t>
  </si>
  <si>
    <t>Work Breakdown Structure (WBS), plan de découpage des tâches</t>
  </si>
  <si>
    <t>Sous-tâches trop larges ou trop petites, surcharge de travail</t>
  </si>
  <si>
    <t>Difficulté à suivre l’avancement, surcharge des ressources</t>
  </si>
  <si>
    <t>Découper les tâches complexes en sous-tâches gérables avec des objectifs clairs</t>
  </si>
  <si>
    <t>Plan de ressources, tableau des responsabilités</t>
  </si>
  <si>
    <t>Absence de responsable désigné, manque de clarté sur qui fait quoi</t>
  </si>
  <si>
    <t>Retards, tâches non effectuées ou mal exécutées</t>
  </si>
  <si>
    <t>Attribuer explicitement des responsables pour chaque tâche, avec des échéances précises</t>
  </si>
  <si>
    <t>Estimations irréalistes, mauvaise gestion du temps</t>
  </si>
  <si>
    <t>Dépassement de délais, erreurs dans la gestion des ressources</t>
  </si>
  <si>
    <t>Réaliser des estimations de temps réalistes basées sur des expériences passées</t>
  </si>
  <si>
    <t>Absence de suivi des tâches, manque de visibilité sur l’avancement</t>
  </si>
  <si>
    <t>Déviation du plan, non-achèvement des tâches dans les délais</t>
  </si>
  <si>
    <t>Mettre en place un système de suivi régulier (par exemple, diagramme de Gantt) pour évaluer l’avancement</t>
  </si>
  <si>
    <t>Qualité</t>
  </si>
  <si>
    <t>S’assurer qu’il existe un dispositif d'assurance qualitédocumenté</t>
  </si>
  <si>
    <t>Existence d'un plan d'assurance qualité</t>
  </si>
  <si>
    <t>Un plan d'assurance qualité a-t-il été élaboré et documenté ?</t>
  </si>
  <si>
    <t>Plan d’assurance qualité, procédures qualité</t>
  </si>
  <si>
    <t>Absence de plan formalisé, risques non maîtrisés</t>
  </si>
  <si>
    <t>Baisse de la qualité des livrables, non-conformité</t>
  </si>
  <si>
    <t>Rédiger et formaliser un plan d’assurance qualité, avec des objectifs clairs et mesurables</t>
  </si>
  <si>
    <t>Définition des critères de qualité</t>
  </si>
  <si>
    <t>Les critères de qualité ont-ils été clairement définis et documentés ?</t>
  </si>
  <si>
    <t>Liste des critères de qualité, normes qualité</t>
  </si>
  <si>
    <t>Critères flous ou absents, mauvaise évaluation des livrables</t>
  </si>
  <si>
    <t>Livrables non conformes, insatisfaction des parties prenantes</t>
  </si>
  <si>
    <t>Définir précisément des critères de qualité mesurables pour chaque livrable</t>
  </si>
  <si>
    <t>Procédures de contrôle qualité</t>
  </si>
  <si>
    <t>Les procédures de contrôle qualité sont-elles définies et documentées ?</t>
  </si>
  <si>
    <t>Procédures de contrôle qualité, fiches de vérification</t>
  </si>
  <si>
    <t>Manque de rigueur dans le contrôle qualité</t>
  </si>
  <si>
    <t>Produits ou services non conformes, révisions coûteuses</t>
  </si>
  <si>
    <t>Mettre en place des procédures rigoureuses et détaillées pour chaque étape du projet</t>
  </si>
  <si>
    <t>Ressources allouées à l'assurance qualité</t>
  </si>
  <si>
    <t>Des ressources sont-elles allouées spécifiquement à l’assurance qualité ?</t>
  </si>
  <si>
    <t>Plan de ressources, description des responsables qualité</t>
  </si>
  <si>
    <t>Absence de ressources dédiées, contrôle insuffisant</t>
  </si>
  <si>
    <t>Retards dans la validation des livrables, échec des tests</t>
  </si>
  <si>
    <t>Allouer des ressources humaines et techniques spécifiquement pour l’assurance qualité</t>
  </si>
  <si>
    <t>Suivi et audits de qualité réguliers</t>
  </si>
  <si>
    <t>Des audits ou suivis de la qualité sont-ils réalisés régulièrement ?</t>
  </si>
  <si>
    <t>Rapports d’audit qualité, rapports de suivi</t>
  </si>
  <si>
    <t>Audits non réalisés, absence de contrôle de la qualité</t>
  </si>
  <si>
    <t>Non-détection de défauts, risques accrus de non-conformité</t>
  </si>
  <si>
    <t>Mettre en place un calendrier d’audits et de suivis réguliers de la qualité</t>
  </si>
  <si>
    <t>S’assurer qu’il existe un manuel d'assurance qualité de l'entité ;</t>
  </si>
  <si>
    <t>Existence d'un manuel d'assurance qualité</t>
  </si>
  <si>
    <t>Existe-t-il un manuel d’assurance qualité formalisé et documenté au sein de l’entité ?</t>
  </si>
  <si>
    <t>Manuel d'assurance qualité, procédures internes</t>
  </si>
  <si>
    <t>Absence de manuel, risque de non-conformité</t>
  </si>
  <si>
    <t>Non-respect des standards de qualité, mauvaise réputation</t>
  </si>
  <si>
    <t>Rédiger et mettre en place un manuel d’assurance qualité spécifique à l’entité</t>
  </si>
  <si>
    <t>Accessibilité du manuel d'assurance qualité</t>
  </si>
  <si>
    <t>Le manuel d’assurance qualité est-il accessible à toutes les parties prenantes ?</t>
  </si>
  <si>
    <t>Accès au manuel, procédure d’accès</t>
  </si>
  <si>
    <t>Manque d’accès aux informations, confusion des équipes</t>
  </si>
  <si>
    <t>Retards dans l’application des normes de qualité</t>
  </si>
  <si>
    <t>Assurer un accès facile et clair au manuel pour tous les employés et parties prenantes</t>
  </si>
  <si>
    <t>Couverture des normes et processus</t>
  </si>
  <si>
    <t>Le manuel couvre-t-il l’ensemble des normes et processus qualité de l’entité ?</t>
  </si>
  <si>
    <t>Manuel d'assurance qualité, liste des normes et processus</t>
  </si>
  <si>
    <t>Normes incomplètes ou obsolètes</t>
  </si>
  <si>
    <t>Non-conformité aux normes, erreurs dans les livrables</t>
  </si>
  <si>
    <t>Mettre à jour régulièrement le manuel pour qu’il reflète les dernières normes en vigueur</t>
  </si>
  <si>
    <t>Clarté des procédures décrites dans le manuel</t>
  </si>
  <si>
    <t>Les procédures d'assurance qualité sont-elles décrites de manière claire et détaillée ?</t>
  </si>
  <si>
    <t>Manuel d'assurance qualité, guides de procédure</t>
  </si>
  <si>
    <t>Ambiguïté dans les processus, non-application correcte</t>
  </si>
  <si>
    <t>Défauts dans les produits/services, mauvaise exécution</t>
  </si>
  <si>
    <t>Rédiger des procédures claires, simples et détaillées pour chaque processus clé</t>
  </si>
  <si>
    <t>Suivi et mise à jour du manuel</t>
  </si>
  <si>
    <t>Le manuel d’assurance qualité est-il régulièrement mis à jour pour refléter les évolutions ?</t>
  </si>
  <si>
    <t>Rapports de mise à jour, calendrier de révision</t>
  </si>
  <si>
    <t>Manuel obsolète, non-adaptation aux évolutions</t>
  </si>
  <si>
    <t>Application de processus obsolètes, non-conformité aux nouveaux standards</t>
  </si>
  <si>
    <t>Mettre en place un processus de mise à jour régulière du manuel d’assurance qualité</t>
  </si>
  <si>
    <t>S’assurer qu’il existe un plan d'assurance qualité du projet</t>
  </si>
  <si>
    <t>Existence du plan d'assurance qualité du projet</t>
  </si>
  <si>
    <t>Existe-t-il un plan d'assurance qualité formalisé pour ce projet ?</t>
  </si>
  <si>
    <t>Plan d’assurance qualité du projet</t>
  </si>
  <si>
    <t>Absence de plan formalisé, risques mal maîtrisés</t>
  </si>
  <si>
    <t>Non-conformité aux exigences qualité, mauvaise exécution</t>
  </si>
  <si>
    <t>Rédiger et formaliser un plan d’assurance qualité spécifique au projet</t>
  </si>
  <si>
    <t>Identification des critères de qualité dans le plan</t>
  </si>
  <si>
    <t>Le plan identifie-t-il les critères de qualité spécifiques au projet ?</t>
  </si>
  <si>
    <t>Plan d'assurance qualité, liste des critères de qualité</t>
  </si>
  <si>
    <t>Critères de qualité non définis ou mal identifiés</t>
  </si>
  <si>
    <t>Non-respect des critères de qualité, erreurs dans les livrables</t>
  </si>
  <si>
    <t>Définir des critères précis et mesurables adaptés au projet</t>
  </si>
  <si>
    <t>Méthodes et outils d'assurance qualité définis</t>
  </si>
  <si>
    <t>Le plan précise-t-il les méthodes et outils qui seront utilisés pour assurer la qualité ?</t>
  </si>
  <si>
    <t>Plan d’assurance qualité, outils et méthodes définis</t>
  </si>
  <si>
    <t>Manque de méthodes et d'outils adaptés, contrôles insuffisants</t>
  </si>
  <si>
    <t>Défauts dans les produits/services, risque de non-conformité</t>
  </si>
  <si>
    <t>Sélectionner des outils et méthodes éprouvés pour assurer la qualité tout au long du projet</t>
  </si>
  <si>
    <t>Suivi et contrôle qualité dans le plan</t>
  </si>
  <si>
    <t>Le plan prévoit-il un suivi et un contrôle qualité tout au long du projet ?</t>
  </si>
  <si>
    <t>Plan d’assurance qualité, rapport de contrôle qualité</t>
  </si>
  <si>
    <t>Absence de suivi, contrôle qualité négligé</t>
  </si>
  <si>
    <t>Non-détection des défauts, dérive du projet</t>
  </si>
  <si>
    <t>Mettre en place des mécanismes de suivi et des audits qualité réguliers</t>
  </si>
  <si>
    <t>Responsabilités et ressources allouées à l'assurance qualité</t>
  </si>
  <si>
    <t>Le plan définit-il clairement les responsabilités et les ressources pour l'assurance qualité ?</t>
  </si>
  <si>
    <t>Plan de projet, description des ressources et responsabilités</t>
  </si>
  <si>
    <t>Absence de responsables ou ressources insuffisantes</t>
  </si>
  <si>
    <t>Retards dans la validation des livrables, mauvaise gestion de la qualité</t>
  </si>
  <si>
    <t>Assigner clairement des ressources humaines et matérielles pour l’assurance qualité</t>
  </si>
  <si>
    <t>S’assurer que les objectifs de qualité du produit sontformalisés ;</t>
  </si>
  <si>
    <t>Formulation des objectifs de qualité du produit</t>
  </si>
  <si>
    <t>Les objectifs de qualité du produit sont-ils clairement formulés ?</t>
  </si>
  <si>
    <t>Liste des objectifs de qualité, plan qualité</t>
  </si>
  <si>
    <t>Objectifs flous ou non définis, confusion dans les attentes</t>
  </si>
  <si>
    <t>Non-conformité, produits non adaptés aux besoins</t>
  </si>
  <si>
    <t>Définir des objectifs de qualité clairs, précis et mesurables pour le produit</t>
  </si>
  <si>
    <t>Alignement avec les exigences du client</t>
  </si>
  <si>
    <t>Les objectifs de qualité sont-ils alignés avec les exigences du client ?</t>
  </si>
  <si>
    <t>Exigences client, cahier des charges, objectifs qualité</t>
  </si>
  <si>
    <t>Objectifs non alignés, déviation par rapport aux attentes</t>
  </si>
  <si>
    <t>Insatisfaction du client, non-conformité</t>
  </si>
  <si>
    <t>Assurer une correspondance claire entre les objectifs de qualité et les attentes du client</t>
  </si>
  <si>
    <t>Mesurabilité des objectifs de qualité</t>
  </si>
  <si>
    <t>Les objectifs de qualité sont-ils mesurables et vérifiables ?</t>
  </si>
  <si>
    <t>Indicateurs de performance, critères de mesure des objectifs</t>
  </si>
  <si>
    <t>Manque de critères de mesure, impossibilité de valider la qualité</t>
  </si>
  <si>
    <t>Difficulté à évaluer la qualité, incertitude dans le produit final</t>
  </si>
  <si>
    <t>Établir des indicateurs clairs pour mesurer et vérifier la qualité du produit</t>
  </si>
  <si>
    <t>Définition des critères d'acceptation</t>
  </si>
  <si>
    <t>Les critères d'acceptation pour chaque objectif de qualité sont-ils définis ?</t>
  </si>
  <si>
    <t>Critères d'acceptation, guide d’acceptation produit</t>
  </si>
  <si>
    <t>Absence de critères d'acceptation, produits non validés</t>
  </si>
  <si>
    <t>Produits rejetés, retards dans la livraison</t>
  </si>
  <si>
    <t>Définir précisément les critères d'acceptation pour chaque objectif de qualité</t>
  </si>
  <si>
    <t>Suivi de l'atteinte des objectifs de qualité</t>
  </si>
  <si>
    <t>Le plan de projet prévoit-il un suivi de l'atteinte des objectifs de qualité ?</t>
  </si>
  <si>
    <t>Plan de suivi qualité, rapports de contrôle</t>
  </si>
  <si>
    <t>Suivi insuffisant, non-détection des écarts de qualité</t>
  </si>
  <si>
    <t>Non-conformité détectée trop tard, impact sur la production</t>
  </si>
  <si>
    <t>Mettre en place des mécanismes de suivi réguliers pour vérifier l'atteinte des objectifs</t>
  </si>
  <si>
    <t>S’assurer que les objectifs de qualité de service attendu sontformalisés</t>
  </si>
  <si>
    <t>Formulation des objectifs de qualité de service</t>
  </si>
  <si>
    <t>Les objectifs de qualité de service sont-ils clairement formulés ?</t>
  </si>
  <si>
    <t>Liste des objectifs de qualité de service, plan qualité</t>
  </si>
  <si>
    <t>Objectifs flous ou mal définis, mauvaise gestion des attentes</t>
  </si>
  <si>
    <t>Non-conformité, insatisfaction des utilisateurs</t>
  </si>
  <si>
    <t>Définir des objectifs de qualité de service clairs, mesurables et compréhensibles</t>
  </si>
  <si>
    <t>Alignement avec les besoins des utilisateurs</t>
  </si>
  <si>
    <t>Les objectifs de qualité de service sont-ils alignés avec les besoins des utilisateurs ?</t>
  </si>
  <si>
    <t>Cahier des charges, retours des utilisateurs, études de marché</t>
  </si>
  <si>
    <t>Objectifs non alignés, divergence entre services offerts et attentes</t>
  </si>
  <si>
    <t>Insatisfaction des utilisateurs, faible adoption du service</t>
  </si>
  <si>
    <t>Recueillir et intégrer les besoins des utilisateurs pour formuler des objectifs adaptés</t>
  </si>
  <si>
    <t>Mesurabilité des objectifs de qualité de service</t>
  </si>
  <si>
    <t>Les objectifs de qualité de service sont-ils mesurables et vérifiables ?</t>
  </si>
  <si>
    <t>Manque d'indicateurs clairs, incapacité à vérifier la qualité</t>
  </si>
  <si>
    <t>Difficulté à évaluer la qualité du service, retard dans les actions correctives</t>
  </si>
  <si>
    <t>Utiliser des indicateurs spécifiques et mesurables pour évaluer la qualité du service</t>
  </si>
  <si>
    <t>Critères d'acceptation définis</t>
  </si>
  <si>
    <t>Des critères d'acceptation pour chaque objectif de qualité de service sont-ils définis ?</t>
  </si>
  <si>
    <t>Critères d'acceptation, guide de validation des services</t>
  </si>
  <si>
    <t>Absence de critères d'acceptation, difficulté à valider les services</t>
  </si>
  <si>
    <t>Refus des services, non-adoption par les utilisateurs</t>
  </si>
  <si>
    <t>Définir des critères d'acceptation clairs pour valider la qualité du service</t>
  </si>
  <si>
    <t>Suivi et évaluation continue des objectifs</t>
  </si>
  <si>
    <t>Un mécanisme de suivi et d'évaluation des objectifs de qualité de service est-il en place ?</t>
  </si>
  <si>
    <t>Plan de suivi, rapports d’évaluation des services</t>
  </si>
  <si>
    <t>Absence de suivi régulier, déviation des objectifs non détectée</t>
  </si>
  <si>
    <t>Dérives non détectées, mauvaise réactivité aux problèmes</t>
  </si>
  <si>
    <t>Mettre en place un suivi continu de la qualité du service, avec des évaluations régulières</t>
  </si>
  <si>
    <t>S’assurer que le groupe assurance qualité est indépendant deséquipes de développement du projet</t>
  </si>
  <si>
    <t>Indépendance du groupe assurance qualité</t>
  </si>
  <si>
    <t>Le groupe d'assurance qualité est-il séparé des équipes de développement ?</t>
  </si>
  <si>
    <t>Organigramme du projet, rapport d'organisation des équipes</t>
  </si>
  <si>
    <t>Risque de conflits d'intérêts, biais dans les évaluations</t>
  </si>
  <si>
    <t>Risque de détection de défauts biaisée, mauvaise qualité</t>
  </si>
  <si>
    <t>Assurer une séparation claire des équipes d’assurance qualité et de développement</t>
  </si>
  <si>
    <t>Autonomie du groupe assurance qualité</t>
  </si>
  <si>
    <t>Le groupe d'assurance qualité dispose-t-il de l'autonomie nécessaire pour ses évaluations ?</t>
  </si>
  <si>
    <t>Rapport de suivi qualité, validation des résultats qualité</t>
  </si>
  <si>
    <t>Dépendance excessive aux équipes de développement, manque de rigueur</t>
  </si>
  <si>
    <t>Non-détection de défauts, faiblesse du contrôle qualité</t>
  </si>
  <si>
    <t>Donner au groupe qualité des moyens et pouvoirs d’action indépendants</t>
  </si>
  <si>
    <t>Communication séparée entre assurance qualité et développement</t>
  </si>
  <si>
    <t>Les échanges entre le groupe assurance qualité et les équipes de développement sont-ils régulés ?</t>
  </si>
  <si>
    <t>Registre des communications, plan de gestion des échanges</t>
  </si>
  <si>
    <t>Informations biaisées ou incomplètes entre les équipes</t>
  </si>
  <si>
    <t>Confusion sur la qualité, retard dans la détection des problèmes</t>
  </si>
  <si>
    <t>Définir des protocoles de communication clairs et distincts entre les équipes</t>
  </si>
  <si>
    <t>Processus d'évaluation de la qualité impartial</t>
  </si>
  <si>
    <t>Les évaluations de la qualité sont-elles réalisées sans influence des équipes de développement ?</t>
  </si>
  <si>
    <t>Rapports d'audits, évaluations externes</t>
  </si>
  <si>
    <t>Manque d'impartialité, évaluations influencées par les équipes de développement</t>
  </si>
  <si>
    <t>Evaluation faussée, non-détection des défauts</t>
  </si>
  <si>
    <t>Assurer que les audits et évaluations qualité sont réalisés de manière objective et indépendante</t>
  </si>
  <si>
    <t>Mise en place de contrôles croisés</t>
  </si>
  <si>
    <t>Des contrôles croisés sont-ils effectués entre le groupe assurance qualité et les autres entités ?</t>
  </si>
  <si>
    <t>Rapports de contrôle croisé, revue de la qualité</t>
  </si>
  <si>
    <t>Absence de validation externe, risque de non-conformité</t>
  </si>
  <si>
    <t>Défauts non détectés, manque de rigueur dans l’assurance qualité</t>
  </si>
  <si>
    <t>Organiser des contrôles croisés entre différentes parties prenantes externes à l’équipe de développement</t>
  </si>
  <si>
    <t>S’assurer qu’une procédure de suivi des revues d'assurancequalité est formalisée</t>
  </si>
  <si>
    <t>Existence d'une procédure de suivi des revues d'assurance qualité</t>
  </si>
  <si>
    <t>Existe-t-il une procédure documentée pour suivre les revues d'assurance qualité ?</t>
  </si>
  <si>
    <t>Procédure de suivi qualité, rapport de revue</t>
  </si>
  <si>
    <t>Absence de procédure formelle, manque de structure</t>
  </si>
  <si>
    <t>Non-conformité dans la gestion de la qualité, erreurs répétées</t>
  </si>
  <si>
    <t>Formaliser et documenter une procédure de suivi des revues qualité</t>
  </si>
  <si>
    <t>Clarté des étapes de la procédure de suivi</t>
  </si>
  <si>
    <t>Les étapes de la procédure de suivi des revues d'assurance qualité sont-elles clairement définies ?</t>
  </si>
  <si>
    <t>Plan de suivi qualité, schéma des étapes de la procédure</t>
  </si>
  <si>
    <t>Étapes floues, absence de traçabilité des actions</t>
  </si>
  <si>
    <t>Suivi incomplet, non-détection des erreurs ou dérives</t>
  </si>
  <si>
    <t>Définir des étapes claires et détaillées pour le suivi des revues qualité</t>
  </si>
  <si>
    <t>Mécanismes de validation des résultats des revues qualité</t>
  </si>
  <si>
    <t>La procédure prévoit-elle des mécanismes pour valider les résultats des revues d'assurance qualité ?</t>
  </si>
  <si>
    <t>Rapport de validation, retour des équipes de qualité</t>
  </si>
  <si>
    <t>Validation non structurée, résultats biaisés</t>
  </si>
  <si>
    <t>Mauvaise interprétation des résultats, défaut de suivi des actions correctives</t>
  </si>
  <si>
    <t>Mettre en place un système de validation des résultats des revues qualité</t>
  </si>
  <si>
    <t>Suivi de la mise en œuvre des actions correctives</t>
  </si>
  <si>
    <t>La procédure inclut-elle un suivi des actions correctives issues des revues qualité ?</t>
  </si>
  <si>
    <t>Rapport sur les actions correctives, plan de mise en œuvre</t>
  </si>
  <si>
    <t>Absence de suivi, actions correctives non implémentées</t>
  </si>
  <si>
    <t>Défauts récurrents, retard dans la résolution des problèmes</t>
  </si>
  <si>
    <t>Assurer un suivi rigoureux de la mise en œuvre des actions correctives</t>
  </si>
  <si>
    <t>Responsabilités et ressources allouées pour le suivi des revues qualité</t>
  </si>
  <si>
    <t>Les responsabilités et ressources pour suivre les revues qualité sont-elles clairement définies ?</t>
  </si>
  <si>
    <t>Description des responsabilités, affectation des ressources</t>
  </si>
  <si>
    <t>Manque de ressources ou de responsabilités définies</t>
  </si>
  <si>
    <t>Non-suivi des revues qualité, responsabilité floue</t>
  </si>
  <si>
    <t>Définir clairement les responsabilités et allouer les ressources nécessaires au suivi des revues qualité</t>
  </si>
  <si>
    <t>S’assurer que les conclusions des revues d'assurance qualitésont prises en compte par l'équipe projet</t>
  </si>
  <si>
    <t>Prise en compte des conclusions par l’équipe projet</t>
  </si>
  <si>
    <t>Les conclusions des revues d'assurance qualité sont-elles intégrées dans le travail de l’équipe projet ?</t>
  </si>
  <si>
    <t>Compte-rendu des revues qualité, plan d’action suite aux revues</t>
  </si>
  <si>
    <t>Conclusions ignorées ou mal interprétées, manque d'engagement</t>
  </si>
  <si>
    <t>Non-amélioration du produit, retard dans le projet</t>
  </si>
  <si>
    <t>S’assurer que chaque conclusion des revues qualité est clairement assignée à des actions concrètes dans le projet</t>
  </si>
  <si>
    <t>Suivi des actions proposées dans les revues qualité</t>
  </si>
  <si>
    <t>Un mécanisme de suivi des actions proposées lors des revues qualité est-il mis en place ?</t>
  </si>
  <si>
    <t>Plan de suivi des actions, tableau de bord des actions correctives</t>
  </si>
  <si>
    <t>Absence de suivi, actions correctives non réalisées</t>
  </si>
  <si>
    <t>Répétition des erreurs, qualité non améliorée</t>
  </si>
  <si>
    <t>Mettre en place un suivi rigoureux des actions recommandées après chaque revue qualité</t>
  </si>
  <si>
    <t>Engagement de l’équipe projet pour appliquer les conclusions</t>
  </si>
  <si>
    <t>L’équipe projet est-elle engagée à appliquer les conclusions des revues qualité ?</t>
  </si>
  <si>
    <t>Comités de pilotage, mails de validation, rapports de mise en œuvre</t>
  </si>
  <si>
    <t>Manque d'engagement ou de motivation dans l’équipe projet</t>
  </si>
  <si>
    <t>Résistance au changement, mauvaises pratiques persistantes</t>
  </si>
  <si>
    <t>Assurer l’implication active de l’équipe dans l'application des recommandations de qualité</t>
  </si>
  <si>
    <t>Validation de la mise en œuvre des conclusions</t>
  </si>
  <si>
    <t>Les actions résultant des revues d'assurance qualité sont-elles validées après leur mise en œuvre ?</t>
  </si>
  <si>
    <t>Rapport de validation, retour de l’équipe sur l’implémentation</t>
  </si>
  <si>
    <t>Absence de validation, actions non conformes</t>
  </si>
  <si>
    <t>Incohérences dans les livrables, non-respect des normes de qualité</t>
  </si>
  <si>
    <t>Mettre en place des mécanismes de validation après mise en œuvre des actions de qualité</t>
  </si>
  <si>
    <t>Communication des conclusions aux parties prenantes</t>
  </si>
  <si>
    <t>Les conclusions des revues qualité sont-elles communiquées aux parties prenantes du projet ?</t>
  </si>
  <si>
    <t>Compte-rendu des réunions, rapports de suivi, plateforme collaborative</t>
  </si>
  <si>
    <t>Manque de transparence, mauvaise communication entre les parties</t>
  </si>
  <si>
    <t>Désalignement des parties prenantes, malentendus sur les priorités</t>
  </si>
  <si>
    <t>Assurer une communication transparente des conclusions et des actions à prendre par toutes les parties prenantes</t>
  </si>
  <si>
    <t>S’assurer qu’il existe un circuit d'approbation des livrables</t>
  </si>
  <si>
    <t>Existence d’un circuit d’approbation formalisé</t>
  </si>
  <si>
    <t>Un circuit d'approbation formalisé existe-t-il pour tous les livrables du projet ?</t>
  </si>
  <si>
    <t>Schéma de circuit d’approbation, plan de gestion des livrables</t>
  </si>
  <si>
    <t>Absence de procédure d’approbation, confusion sur les responsabilités</t>
  </si>
  <si>
    <t>Livrables non validés, risques d'erreurs ou de non-conformité</t>
  </si>
  <si>
    <t>Formaliser et documenter un circuit d'approbation clair et structuré</t>
  </si>
  <si>
    <t>Clarification des rôles dans l’approbation</t>
  </si>
  <si>
    <t>Les rôles et responsabilités dans le circuit d’approbation des livrables sont-ils clairement définis ?</t>
  </si>
  <si>
    <t>Organigramme, description des rôles d’approbation</t>
  </si>
  <si>
    <t>Rôles mal définis, ambiguïté dans les responsabilités</t>
  </si>
  <si>
    <t>Retards dans l’approbation, erreurs d’assignation</t>
  </si>
  <si>
    <t>Définir précisément les rôles et responsabilités des acteurs</t>
  </si>
  <si>
    <t>Délai d’approbation des livrables</t>
  </si>
  <si>
    <t>Les délais d’approbation des livrables sont-ils clairement établis ?</t>
  </si>
  <si>
    <t>Plan de délais d’approbation, calendrier de validation</t>
  </si>
  <si>
    <t>Retards d’approbation, impact sur le planning général</t>
  </si>
  <si>
    <t>Retards dans les phases suivantes, non-respect des délais</t>
  </si>
  <si>
    <t>Fixer des délais clairs pour chaque étape d’approbation</t>
  </si>
  <si>
    <t>Mécanismes de révision après l’approbation</t>
  </si>
  <si>
    <t>Existe-t-il un mécanisme de révision pour les livrables non conformes après l’approbation ?</t>
  </si>
  <si>
    <t>Procédure de révision, rapports de non-conformité</t>
  </si>
  <si>
    <t>Livrables non conformes validés sans révision</t>
  </si>
  <si>
    <t>Qualité des livrables compromise, risques de non-conformité</t>
  </si>
  <si>
    <t>Mettre en place un processus de révision pour les livrables non conformes</t>
  </si>
  <si>
    <t>Suivi de l’approbation et de la conformité</t>
  </si>
  <si>
    <t>Un mécanisme de suivi est-il en place pour vérifier que tous les livrables sont conformes après approbation ?</t>
  </si>
  <si>
    <t>Tableau de suivi des livrables, rapports de conformité</t>
  </si>
  <si>
    <t>Absence de suivi, livraison de livrables non conformes</t>
  </si>
  <si>
    <t>Livraison de produits non conformes, désalignement avec les attentes</t>
  </si>
  <si>
    <t>Mettre en place un suivi rigoureux de la conformité des livrables après approbation</t>
  </si>
  <si>
    <t xml:space="preserve">S’assurer que ce circuit d'approbation est pertinent </t>
  </si>
  <si>
    <t>Pertinence du circuit d’approbation par rapport au projet</t>
  </si>
  <si>
    <t>Le circuit est-il adapté aux spécificités du projet (taille, complexité, enjeux) ?</t>
  </si>
  <si>
    <t>Plan de projet, schéma du circuit d’approbation</t>
  </si>
  <si>
    <t>Circuit trop lourd ou trop léger selon le projet</t>
  </si>
  <si>
    <t>Inadaptation du processus, décisions retardées ou bâclées</t>
  </si>
  <si>
    <t>Adapter le circuit selon les caractéristiques du projet</t>
  </si>
  <si>
    <t>Efficacité du circuit d’approbation</t>
  </si>
  <si>
    <t>Le circuit permet-il de valider les livrables de manière rapide et efficace ?</t>
  </si>
  <si>
    <t>Rapport de suivi des validations, feedback des parties prenantes</t>
  </si>
  <si>
    <t>Approbations lentes, surcharge administrative</t>
  </si>
  <si>
    <t>Retards dans les livrables, mécontentement des parties</t>
  </si>
  <si>
    <t>Réduire les étapes inutiles, automatiser si possible</t>
  </si>
  <si>
    <t>Impartialité et objectivité des validations</t>
  </si>
  <si>
    <t>Le processus garantit-il une validation impartiale et fondée sur des critères objectifs ?</t>
  </si>
  <si>
    <t>Grilles de critères d’évaluation, PV de validation</t>
  </si>
  <si>
    <t>Approximations, décisions biaisées</t>
  </si>
  <si>
    <t>Livrables non conformes acceptés ou rejet injustifié</t>
  </si>
  <si>
    <t>Définir des critères clairs et objectifs pour chaque validation</t>
  </si>
  <si>
    <t>Transparence du processus d’approbation</t>
  </si>
  <si>
    <t>Le circuit offre-t-il une bonne visibilité sur l’état des validations à chaque étape ?</t>
  </si>
  <si>
    <t>Tableau de bord, outils de gestion de projet</t>
  </si>
  <si>
    <t>Manque de traçabilité, confusion sur l’avancement</t>
  </si>
  <si>
    <t>Mauvaise coordination, perte de temps</t>
  </si>
  <si>
    <t>Utiliser des outils de suivi partagés et des rapports d’étape réguliers</t>
  </si>
  <si>
    <t>Prise en compte des retours et des ajustements</t>
  </si>
  <si>
    <t>Le circuit permet-il d’intégrer facilement les remarques et demandes de modifications ?</t>
  </si>
  <si>
    <t>Registre des modifications, versions des livrables</t>
  </si>
  <si>
    <t>Rejets répétés, tensions entre équipes</t>
  </si>
  <si>
    <t>Perte de temps, baisse de qualité ou de motivation</t>
  </si>
  <si>
    <t>Prévoir des boucles de feedback claires et bien organisées</t>
  </si>
  <si>
    <t>S’assurer qu’il existe un audit de la qualité du projet par unepersonne extérieure</t>
  </si>
  <si>
    <t>Existence d’un audit externe de la qualité</t>
  </si>
  <si>
    <t>Un audit de la qualité du projet est-il prévu par une personne ou entité extérieure ?</t>
  </si>
  <si>
    <t>Plan qualité, contrat ou lettre de mission de l’auditeur externe</t>
  </si>
  <si>
    <t>Absence de contrôle indépendant, biais dans l’évaluation</t>
  </si>
  <si>
    <t>Défauts non détectés, perte de crédibilité</t>
  </si>
  <si>
    <t>Prévoir un audit externe à un moment clé du projet</t>
  </si>
  <si>
    <t>Indépendance et compétence de l’auditeur</t>
  </si>
  <si>
    <t>L’auditeur externe est-il indépendant et qualifié pour évaluer la qualité du projet ?</t>
  </si>
  <si>
    <t>CV ou certification de l’auditeur, clause de non-conflit</t>
  </si>
  <si>
    <t>Conflit d’intérêt, évaluation biaisée</t>
  </si>
  <si>
    <t>Audit non fiable, mauvaise prise de décision</t>
  </si>
  <si>
    <t>Choisir un auditeur externe compétent, objectif et reconnu</t>
  </si>
  <si>
    <t>Périodicité de l’audit de qualité</t>
  </si>
  <si>
    <t>La fréquence des audits qualité est-elle adaptée au rythme et aux jalons du projet ?</t>
  </si>
  <si>
    <t>Planning des audits, rapport d’audit qualité</t>
  </si>
  <si>
    <t>Audits trop espacés ou trop rapprochés</t>
  </si>
  <si>
    <t>Non-détection de dérives qualité à temps</t>
  </si>
  <si>
    <t>Définir une fréquence d’audit cohérente avec les phases critiques du projet</t>
  </si>
  <si>
    <t>Exploitation des résultats de l’audit</t>
  </si>
  <si>
    <t>Les recommandations issues des audits sont-elles analysées et mises en œuvre ?</t>
  </si>
  <si>
    <t>Rapports d’audit, plan d’actions correctives</t>
  </si>
  <si>
    <t>Recommandations ignorées, répétition des mêmes erreurs</t>
  </si>
  <si>
    <t>Régression de la qualité, méfiance des parties prenantes</t>
  </si>
  <si>
    <t>Mettre en place un suivi rigoureux des actions post-audit</t>
  </si>
  <si>
    <t>Traçabilité et archivage des audits</t>
  </si>
  <si>
    <t>Les résultats des audits sont-ils archivés et accessibles aux parties concernées ?</t>
  </si>
  <si>
    <t>Base documentaire, historique des audits</t>
  </si>
  <si>
    <t>Perte d’informations, absence de leçons tirées</t>
  </si>
  <si>
    <t>Répétition des erreurs, manque de transparence</t>
  </si>
  <si>
    <t>Centraliser les rapports d’audit dans un espace partagé et bien structuré</t>
  </si>
  <si>
    <t>Conception générale et analyse</t>
  </si>
  <si>
    <t>S’assurer qu’il existe une analyse des différents scénariospossibles en termes de solution retenue</t>
  </si>
  <si>
    <t>Recensement de plusieurs scénarios possibles</t>
  </si>
  <si>
    <t>Plusieurs scénarios ont-ils été identifiés et décrits de manière structurée ?</t>
  </si>
  <si>
    <t>Document d’options, brainstorming, fiches de scénarios</t>
  </si>
  <si>
    <t>Choix restreint ou basé sur une seule option</t>
  </si>
  <si>
    <t>Adoption d’une solution non optimale ou non adaptée</t>
  </si>
  <si>
    <t>Identifier et documenter plusieurs scénarios alternatifs</t>
  </si>
  <si>
    <t>Analyse comparative des scénarios</t>
  </si>
  <si>
    <t>Une comparaison des scénarios a-t-elle été faite selon des critères objectifs ?</t>
  </si>
  <si>
    <t>Grille multicritère, matrice de décision</t>
  </si>
  <si>
    <t>Choix biaisé ou non argumenté</t>
  </si>
  <si>
    <t>Moyenne à Élevée</t>
  </si>
  <si>
    <t>Difficulté à défendre la solution retenue, mauvais choix stratégique</t>
  </si>
  <si>
    <t>Utiliser une analyse multicritère avec pondération claire</t>
  </si>
  <si>
    <t>Prise en compte des impacts et des risques de chaque scénario</t>
  </si>
  <si>
    <t>Les impacts (coûts, délais, risques, bénéfices) de chaque scénario ont-ils été évalués ?</t>
  </si>
  <si>
    <t>Analyse d’impacts, étude de risques, analyse coûts/bénéfices</t>
  </si>
  <si>
    <t>Solutions choisies sans anticipation des conséquences</t>
  </si>
  <si>
    <t>Problèmes budgétaires, retards ou rejet de la solution</t>
  </si>
  <si>
    <t>Évaluer chaque scénario en termes de risques et de durabilité</t>
  </si>
  <si>
    <t>Traçabilité du choix de la solution retenue</t>
  </si>
  <si>
    <t>La décision finale est-elle justifiée et documentée ?</t>
  </si>
  <si>
    <t>PV de réunion, note de synthèse, comparatif des scénarios</t>
  </si>
  <si>
    <t>Décision difficile à justifier ou à défendre</t>
  </si>
  <si>
    <t>Perte de transparence, conflits entre parties prenantes</t>
  </si>
  <si>
    <t>Documenter clairement les raisons du choix retenu, avec preuves à l’appui</t>
  </si>
  <si>
    <t>Réévaluation possible en cas de changement</t>
  </si>
  <si>
    <t>Existe-t-il un mécanisme pour réévaluer les scénarios si le contexte évolue ?</t>
  </si>
  <si>
    <t>Plan de gestion des changements, tableau de veille stratégique</t>
  </si>
  <si>
    <t>Inadaptation en cas de changement d’environnement</t>
  </si>
  <si>
    <t>Blocage, perte d’efficacité, besoin de repartir de zéro</t>
  </si>
  <si>
    <t>Mettre en place une procédure de révision des scénarios selon les évolutions du projet</t>
  </si>
  <si>
    <t>S’assurer que tous les scénarios ont été envisagés, même celuide ne rien faire</t>
  </si>
  <si>
    <t>Considération de tous les scénarios envisageables</t>
  </si>
  <si>
    <t>Tous les scénarios plausibles ont-ils été identifiés, y compris celui de ne rien faire ?</t>
  </si>
  <si>
    <t>Document d’analyse des options, tableau comparatif des scénarios</t>
  </si>
  <si>
    <t>Omission d’un scénario important</t>
  </si>
  <si>
    <t>Choix incomplet ou biaisé, solution inadéquate</t>
  </si>
  <si>
    <t>Inclure systématiquement tous les scénarios, y compris celui du statu quo</t>
  </si>
  <si>
    <t>Évaluation du scénario "ne rien faire"</t>
  </si>
  <si>
    <t>Le scénario "ne rien faire" a-t-il été évalué objectivement (avantages / inconvénients) ?</t>
  </si>
  <si>
    <t>Analyse d’impacts du statu quo, analyse coûts/risques</t>
  </si>
  <si>
    <t>Sous-estimation des conséquences de l’inaction</t>
  </si>
  <si>
    <t>Incompréhension des enjeux, immobilisme</t>
  </si>
  <si>
    <t>Analyser sérieusement les implications du non-changement</t>
  </si>
  <si>
    <t>Justification de l’exclusion ou du choix de chaque scénario</t>
  </si>
  <si>
    <t>La décision de rejeter certains scénarios est-elle documentée et argumentée ?</t>
  </si>
  <si>
    <t>PV de réunion, synthèse des décisions</t>
  </si>
  <si>
    <t>Décisions non justifiées, manque de transparence</t>
  </si>
  <si>
    <t>Doutes sur la pertinence du choix retenu</t>
  </si>
  <si>
    <t>Expliquer clairement pourquoi chaque scénario a été retenu ou rejeté</t>
  </si>
  <si>
    <t>Vision stratégique long terme</t>
  </si>
  <si>
    <t>Le choix final tient-il compte des perspectives d’évolution à long terme ?</t>
  </si>
  <si>
    <t>Étude de tendance, vision stratégique du projet</t>
  </si>
  <si>
    <t>Solution choisie sans projection dans le futur</t>
  </si>
  <si>
    <t>Solution non durable, besoin de repivot dans le temps</t>
  </si>
  <si>
    <t>Intégrer les enjeux stratégiques et durables dans l’analyse des scénarios</t>
  </si>
  <si>
    <t>Actualisation régulière de l’analyse des scénarios</t>
  </si>
  <si>
    <t>Une révision des scénarios est-elle prévue en cas de changement de contexte ?</t>
  </si>
  <si>
    <t>Procédure de gestion du changement, calendrier de revue stratégique</t>
  </si>
  <si>
    <t>Rigidité, manque d’adaptabilité</t>
  </si>
  <si>
    <t>Décalage entre la solution retenue et les besoins réels</t>
  </si>
  <si>
    <t>Planifier une actualisation périodique de l’analyse selon les évolutions du contexte</t>
  </si>
  <si>
    <t xml:space="preserve">S’assurer que les contraintes liées aux technologies (besoins enmatériels, en formation, en RH, contraintes juridiques, faisabilité opérationnelle, …) ont été prises en compte </t>
  </si>
  <si>
    <t>Évaluation des besoins matériels</t>
  </si>
  <si>
    <t>Les équipements et infrastructures nécessaires ont-ils été identifiés ?</t>
  </si>
  <si>
    <t>Cahier des charges technique, fiche d’inventaire matériel</t>
  </si>
  <si>
    <t>Sous-dimensionnement, incompatibilité</t>
  </si>
  <si>
    <t>Blocages techniques, surcoûts non anticipés</t>
  </si>
  <si>
    <t>Réaliser une analyse complète des besoins matériels avant toute mise en œuvre</t>
  </si>
  <si>
    <t>Évaluation des besoins en formation</t>
  </si>
  <si>
    <t>Les besoins de formation des utilisateurs et du personnel ont-ils été évalués ?</t>
  </si>
  <si>
    <t>Plan de formation, évaluation des compétences</t>
  </si>
  <si>
    <t>Résistance au changement, mauvaise utilisation des outils</t>
  </si>
  <si>
    <t>Perte d’efficacité, retards d’adoption</t>
  </si>
  <si>
    <t>Prévoir un programme de formation adapté au public cible</t>
  </si>
  <si>
    <t>Disponibilité des ressources humaines</t>
  </si>
  <si>
    <t>Dispose-t-on des compétences internes nécessaires à l’exploitation de la solution ?</t>
  </si>
  <si>
    <t>Organigramme RH, plan de renforcement de capacités</t>
  </si>
  <si>
    <t>Manque de compétences, surcharge de travail</t>
  </si>
  <si>
    <t>Projet ralenti, mauvaise qualité d’exécution</t>
  </si>
  <si>
    <t>Évaluer les ressources disponibles et prévoir des recrutements ou renforts externes</t>
  </si>
  <si>
    <t>Analyse des contraintes juridiques et réglementaires</t>
  </si>
  <si>
    <t>Les obligations légales, réglementaires et de conformité technologique ont-elles été intégrées ?</t>
  </si>
  <si>
    <t>Analyse juridique, cadre réglementaire applicable</t>
  </si>
  <si>
    <t>Non-conformité, risques juridiques</t>
  </si>
  <si>
    <t>Amendes, arrêt du projet, réputation entachée</t>
  </si>
  <si>
    <t>Faire auditer le projet par un expert juridique et intégrer la conformité dès le départ</t>
  </si>
  <si>
    <t>Faisabilité opérationnelle de la solution retenue</t>
  </si>
  <si>
    <t>La solution retenue est-elle techniquement et opérationnellement réalisable dans le contexte actuel ?</t>
  </si>
  <si>
    <t>Étude de faisabilité, preuve de concept</t>
  </si>
  <si>
    <t>Solution irréaliste dans l’environnement actuel</t>
  </si>
  <si>
    <t>Échec du projet, perte d’investissement</t>
  </si>
  <si>
    <t>Valider la faisabilité technique et logistique en amont de la décision finale</t>
  </si>
  <si>
    <t xml:space="preserve">S’assurer qu’une analyse économique (bénéfices attendus,coûts de développement, de formation, de maintenance, …) a été intégrée au choix de la solution </t>
  </si>
  <si>
    <t>Identification des coûts de développement</t>
  </si>
  <si>
    <t>Les coûts initiaux de développement ont-ils été estimés et budgétisés ?</t>
  </si>
  <si>
    <t>Budget prévisionnel, devis, cahier des charges</t>
  </si>
  <si>
    <t>Sous-évaluation budgétaire</t>
  </si>
  <si>
    <t>Dépassement de budget, interruption du projet</t>
  </si>
  <si>
    <t>Réaliser une estimation réaliste des coûts de développement</t>
  </si>
  <si>
    <t>Évaluation des coûts de formation et d’accompagnement</t>
  </si>
  <si>
    <t>Les coûts liés à la montée en compétence des utilisateurs ont-ils été anticipés ?</t>
  </si>
  <si>
    <t>Plan de formation, estimation RH</t>
  </si>
  <si>
    <t>Mauvaise adoption, besoins non anticipés</t>
  </si>
  <si>
    <t>Inefficacité des utilisateurs, retard d’exploitation</t>
  </si>
  <si>
    <t>Intégrer dans le budget un volet spécifique formation &amp; accompagnement</t>
  </si>
  <si>
    <t>Analyse des coûts de maintenance et d’exploitation</t>
  </si>
  <si>
    <t>Les coûts de fonctionnement à long terme ont-ils été pris en compte ?</t>
  </si>
  <si>
    <t>Plan de maintenance, estimation TCO (coût total de possession)</t>
  </si>
  <si>
    <t>Manque de visibilité financière à long terme</t>
  </si>
  <si>
    <t>Coûts cachés, solution non viable économiquement</t>
  </si>
  <si>
    <t>Intégrer les coûts récurrents dans l’analyse économique globale</t>
  </si>
  <si>
    <t>Estimation des bénéfices attendus</t>
  </si>
  <si>
    <t>Les gains attendus (financiers, organisationnels, en performance) sont-ils identifiés ?</t>
  </si>
  <si>
    <t>Étude de rentabilité, business case, analyse coûts-bénéfices</t>
  </si>
  <si>
    <t>Choix non justifié par un retour sur investissement</t>
  </si>
  <si>
    <t>Difficulté à justifier le projet, baisse de crédibilité</t>
  </si>
  <si>
    <t>Documenter les bénéfices tangibles et intangibles liés à la solution choisie</t>
  </si>
  <si>
    <t>Comparaison économique entre plusieurs scénarios</t>
  </si>
  <si>
    <t>L’analyse économique a-t-elle été utilisée pour comparer les options de solution ?</t>
  </si>
  <si>
    <t>Matrice comparative, tableau de scoring économique</t>
  </si>
  <si>
    <t>Choix émotionnel ou arbitraire</t>
  </si>
  <si>
    <t>Mauvais investissement, perte d’opportunité</t>
  </si>
  <si>
    <t>Appuyer le choix de la solution sur une analyse économique comparative des scénarios</t>
  </si>
  <si>
    <t>S’assurer qu’une analyse des risques a été mise en place pourchaque alternative ;</t>
  </si>
  <si>
    <t>Identification des risques pour chaque alternative</t>
  </si>
  <si>
    <t>Les risques associés à chaque scénario ont-ils été identifiés de manière détaillée ?</t>
  </si>
  <si>
    <t>Matrice des risques, analyse SWOT, étude des alternatives</t>
  </si>
  <si>
    <t>Risques sous-estimés ou non identifiés</t>
  </si>
  <si>
    <t>Surprises en cours de projet, problèmes non anticipés</t>
  </si>
  <si>
    <t>Identifier clairement tous les risques pour chaque scénario</t>
  </si>
  <si>
    <t>Évaluation de la probabilité et de l'impact des risques</t>
  </si>
  <si>
    <t>Les risques ont-ils été évalués en termes de probabilité et d'impact ?</t>
  </si>
  <si>
    <t>Grille d'évaluation des risques, tableau de priorisation</t>
  </si>
  <si>
    <t>Mauvaise gestion des priorités des risques</t>
  </si>
  <si>
    <t>Mauvais pilotage du projet, mauvaise allocation des ressources</t>
  </si>
  <si>
    <t>Utiliser des outils d’analyse de risques pour évaluer et prioriser chaque risque</t>
  </si>
  <si>
    <t>Un plan de gestion des risques a-t-il été élaboré pour chaque alternative ?</t>
  </si>
  <si>
    <t>Plan de gestion des risques, mesures de mitigation</t>
  </si>
  <si>
    <t>Absence de plan d’action pour les risques identifiés</t>
  </si>
  <si>
    <t>Non-maîtrise des risques, absence de réponse proactive en cas de crise</t>
  </si>
  <si>
    <t>Développer un plan d’atténuation et de contingence pour chaque risque majeur identifié</t>
  </si>
  <si>
    <t>Suivi et réévaluation des risques pendant le projet</t>
  </si>
  <si>
    <t>Un mécanisme de suivi et réévaluation des risques a-t-il été prévu au cours du projet ?</t>
  </si>
  <si>
    <t>Tableau de suivi des risques, procédure de réévaluation continue</t>
  </si>
  <si>
    <t>Risques évolutifs non suivis, absence d’ajustement en cours de projet</t>
  </si>
  <si>
    <t>Nouveau décalage par rapport à la réalité, incapacité à ajuster le projet</t>
  </si>
  <si>
    <t>Mettre en place un suivi régulier des risques et adapter les actions en conséquence</t>
  </si>
  <si>
    <t>Implication des parties prenantes dans l’analyse des risques</t>
  </si>
  <si>
    <t>Les parties prenantes ont-elles été impliquées dans l’analyse et la gestion des risques ?</t>
  </si>
  <si>
    <t>Compte-rendus de réunions, interviews, ateliers</t>
  </si>
  <si>
    <t>Absence de collaboration, manque de perspectives variées</t>
  </si>
  <si>
    <t>Risques non couverts, manque de soutien pour les actions de mitigation</t>
  </si>
  <si>
    <t>Associer les parties prenantes à l’évaluation et au suivi des risques tout au long du projet</t>
  </si>
  <si>
    <t>S’assurer que le choix de la solution a été fait en touteobjectivité en se basant sur des critères d'évaluation pertinents</t>
  </si>
  <si>
    <t>Utilisation de critères d’évaluation clairs et pertinents</t>
  </si>
  <si>
    <t>Les critères d’évaluation ont-ils été définis avant la sélection de la solution ?</t>
  </si>
  <si>
    <t>Document de critères, grille de sélection</t>
  </si>
  <si>
    <t>Critères flous, évaluation biaisée</t>
  </si>
  <si>
    <t>Choix arbitraire, non-aligné avec les objectifs du projet</t>
  </si>
  <si>
    <t>Définir et documenter les critères de sélection avant le choix final</t>
  </si>
  <si>
    <t>Objectivité dans la pondération des critères</t>
  </si>
  <si>
    <t>Les critères ont-ils été pondérés de manière objective en fonction des priorités du projet ?</t>
  </si>
  <si>
    <t>Matrice de pondération, analyse des besoins</t>
  </si>
  <si>
    <t>Pondération biaisée, préférences personnelles</t>
  </si>
  <si>
    <t>Choix non pertinent, solution sous-optimale</t>
  </si>
  <si>
    <t>Utiliser une méthode de pondération transparente et rationnelle</t>
  </si>
  <si>
    <t>Prise en compte de toutes les alternatives</t>
  </si>
  <si>
    <t>Toutes les solutions possibles ont-elles été comparées sur la base des critères définis ?</t>
  </si>
  <si>
    <t>Tableau comparatif des solutions, analyse SWOT</t>
  </si>
  <si>
    <t>Omission de certaines alternatives pertinentes</t>
  </si>
  <si>
    <t>Solution non optimale, manque de vision globale</t>
  </si>
  <si>
    <t>Examiner systématiquement toutes les options possibles, même marginales</t>
  </si>
  <si>
    <t>Évaluation des compromis de chaque solution</t>
  </si>
  <si>
    <t>Les compromis (avantages vs inconvénients) ont-ils été clairement évalués pour chaque option ?</t>
  </si>
  <si>
    <t>Analyse des compromis, rapport de comparaison</t>
  </si>
  <si>
    <t>Solutions choisies sans évaluation complète des compromis</t>
  </si>
  <si>
    <t>Risque de surévaluation ou sous-évaluation des solutions</t>
  </si>
  <si>
    <t>Documenter les compromis clairement pour chaque alternative</t>
  </si>
  <si>
    <t>Documentation du processus de décision</t>
  </si>
  <si>
    <t>Le processus de décision a-t-il été documenté et est-il justifiable ?</t>
  </si>
  <si>
    <t>Procès-verbal des réunions de décision, rapport de sélection</t>
  </si>
  <si>
    <t>Absence de traçabilité, décisions non justifiées</t>
  </si>
  <si>
    <t>Doute sur la légitimité du choix, manque de transparence</t>
  </si>
  <si>
    <t>Rédiger un rapport complet et justifiable pour chaque décision cl</t>
  </si>
  <si>
    <t>S’assurer que les aspects de contrôle interne et de sécurité ontété pris en compte dans le cahier des charges</t>
  </si>
  <si>
    <t>Prise en compte des exigences de sécurité dans le cahier des charges</t>
  </si>
  <si>
    <t>Les exigences de sécurité ont-elles été spécifiées dans le cahier des charges ?</t>
  </si>
  <si>
    <t>Cahier des charges, exigences de sécurité</t>
  </si>
  <si>
    <t>Exigences de sécurité non couvertes</t>
  </si>
  <si>
    <t>Risques de vulnérabilités, non-conformité réglementaire</t>
  </si>
  <si>
    <t>Intégrer des exigences de sécurité détaillées et adaptées au projet dans le cahier des charges</t>
  </si>
  <si>
    <t>Contrôle interne des processus et des accès</t>
  </si>
  <si>
    <t>Des mécanismes de contrôle interne pour la gestion des accès et des données ont-ils été définis ?</t>
  </si>
  <si>
    <t>Processus de contrôle interne, politique de gestion des accès</t>
  </si>
  <si>
    <t>Absence de contrôle, accès non régulé</t>
  </si>
  <si>
    <t>Fuite de données, violations de la sécurité interne</t>
  </si>
  <si>
    <t>Mettre en place des processus rigoureux pour le contrôle des accès et des informations sensibles</t>
  </si>
  <si>
    <t>Analyse des risques liés à la sécurité</t>
  </si>
  <si>
    <t>Une analyse des risques de sécurité a-t-elle été réalisée et documentée ?</t>
  </si>
  <si>
    <t>Analyse des risques de sécurité, matrice de risques</t>
  </si>
  <si>
    <t>Risques non identifiés ou mal évalués</t>
  </si>
  <si>
    <t>Atteintes à la sécurité, impact sur l’intégrité du projet</t>
  </si>
  <si>
    <t>Effectuer une analyse approfondie des risques de sécurité et les documenter dans le cahier des charges</t>
  </si>
  <si>
    <t>Conformité aux normes et régulations de sécurité</t>
  </si>
  <si>
    <t>Les normes et régulations de sécurité applicables ont-elles été intégrées dans les spécifications ?</t>
  </si>
  <si>
    <t>Références aux normes et régulations, audit de conformité</t>
  </si>
  <si>
    <t>Non-conformité aux normes, sanctions possibles</t>
  </si>
  <si>
    <t>Risques juridiques, réputation impactée</t>
  </si>
  <si>
    <t>S’assurer que le projet respecte toutes les normes locales et internationales pertinentes en matière de sécurité</t>
  </si>
  <si>
    <t>Mise en place de mécanismes de suivi et de contrôle</t>
  </si>
  <si>
    <t>Des mécanismes de suivi et de contrôle de la sécurité ont-ils été prévus dans le projet ?</t>
  </si>
  <si>
    <t>Plan de surveillance et de contrôle, rapports d’audit</t>
  </si>
  <si>
    <t>Manque de visibilité, absence de contrôle continu</t>
  </si>
  <si>
    <t>Incapacité à réagir en temps réel à une faille ou un incident</t>
  </si>
  <si>
    <t>Prévoyer un système de surveillance et de reporting continu pour détecter toute anomalie de sécurité</t>
  </si>
  <si>
    <t>S’assurer que les contrôles d'exploitation ont été identifiés</t>
  </si>
  <si>
    <t>Identification des contrôles de fonctionnement des processus</t>
  </si>
  <si>
    <t>Les contrôles nécessaires pour assurer le bon fonctionnement des processus ont-ils été identifiés ?</t>
  </si>
  <si>
    <t>Plan de contrôle des processus, matrice des contrôles</t>
  </si>
  <si>
    <t>Absence de contrôle des processus critiques</t>
  </si>
  <si>
    <t>Dysfonctionnements, mauvaise gestion opérationnelle</t>
  </si>
  <si>
    <t>Documenter tous les contrôles nécessaires pour chaque processus clé</t>
  </si>
  <si>
    <t>Contrôles liés à la performance des systèmes</t>
  </si>
  <si>
    <t>Des mécanismes de suivi de la performance des systèmes en exploitation ont-ils été définis ?</t>
  </si>
  <si>
    <t>Tableau de bord de suivi des performances, indicateurs de performance</t>
  </si>
  <si>
    <t>Non-suivi des indicateurs de performance, inefficacité du système</t>
  </si>
  <si>
    <t>Incapacité à détecter des baisses de performance, surcoût</t>
  </si>
  <si>
    <t>Implémenter des indicateurs de performance (KPIs) pour chaque système clé</t>
  </si>
  <si>
    <t>Contrôles d'intégrité des données</t>
  </si>
  <si>
    <t>Des contrôles pour garantir l'intégrité et la fiabilité des données ont-ils été mis en place ?</t>
  </si>
  <si>
    <t>Procédure de contrôle de l'intégrité des données, rapport de qualité des données</t>
  </si>
  <si>
    <t>Fuite ou corruption de données critiques</t>
  </si>
  <si>
    <t>Données erronées ou perdues, impact sur la prise de décision</t>
  </si>
  <si>
    <t>Mettre en place des contrôles réguliers de la qualité et de l'intégrité des données</t>
  </si>
  <si>
    <t>Contrôles de conformité opérationnelle</t>
  </si>
  <si>
    <t>Des contrôles pour assurer la conformité des opérations avec les réglementations et politiques internes ont-ils été définis ?</t>
  </si>
  <si>
    <t>Audit interne, politique de conformité</t>
  </si>
  <si>
    <t>Non-conformité, sanctions légales</t>
  </si>
  <si>
    <t>Perte de crédibilité, pénalités juridiques</t>
  </si>
  <si>
    <t>Implémenter des audits réguliers pour vérifier la conformité aux normes</t>
  </si>
  <si>
    <t>Plan de gestion des écarts</t>
  </si>
  <si>
    <t>Un plan d’action pour gérer les écarts opérationnels a-t-il été élaboré ?</t>
  </si>
  <si>
    <t>Plan d'action en cas d'écarts, rapport de suivi des anomalies</t>
  </si>
  <si>
    <t>Absence de réponse rapide aux anomalies</t>
  </si>
  <si>
    <t>Réaction tardive aux écarts, coût de correction plus élevé</t>
  </si>
  <si>
    <t>Mettre en place un plan d’action pour gérer les écarts</t>
  </si>
  <si>
    <t>S’assurer que la conception générale du futur système s'inscritdans les objectifs généraux de contrôle en vigueur, dans l'environnement</t>
  </si>
  <si>
    <t>Alignement avec les objectifs de contrôle interne</t>
  </si>
  <si>
    <t>La conception du système respecte-t-elle les objectifs de contrôle interne définis dans l’organisation ?</t>
  </si>
  <si>
    <t>Documents sur les objectifs de contrôle, cahier des charges</t>
  </si>
  <si>
    <t>Non-conformité avec les objectifs de contrôle interne</t>
  </si>
  <si>
    <t>Système mal adapté aux exigences internes, risque d’incompatibilité</t>
  </si>
  <si>
    <t>S’assurer que la conception intègre pleinement les objectifs de contrôle internes</t>
  </si>
  <si>
    <t>Conformité avec les standards de sécurité de l'environnement</t>
  </si>
  <si>
    <t>La conception prend-elle en compte les standards de sécurité et de contrôle en vigueur dans l’environnement ?</t>
  </si>
  <si>
    <t>Références aux normes de sécurité, rapport de conformité</t>
  </si>
  <si>
    <t>Risque de non-conformité avec les standards juridiques et réglementaires</t>
  </si>
  <si>
    <t>Incapacité à respecter les régulations, risques juridiques</t>
  </si>
  <si>
    <t>Intégrer les normes et standards de sécurité de l’environnement dans la conception du système</t>
  </si>
  <si>
    <t>Prise en compte des contraintes environnementales</t>
  </si>
  <si>
    <t>Les contraintes techniques, réglementaires et environnementales ont-elles été prises en compte dans la conception ?</t>
  </si>
  <si>
    <t>Etude d'impact environnemental, rapport d’évaluation des contraintes</t>
  </si>
  <si>
    <t>Omission de certaines contraintes cruciales</t>
  </si>
  <si>
    <t>Dysfonctionnements, impact environnemental non maîtrisé</t>
  </si>
  <si>
    <t>Réaliser une étude approfondie pour identifier toutes les contraintes pertinentes</t>
  </si>
  <si>
    <t>Adaptation aux exigences légales et réglementaires</t>
  </si>
  <si>
    <t>La conception respecte-t-elle les exigences légales et les régulations spécifiques à l’industrie ?</t>
  </si>
  <si>
    <t>Audit juridique, vérification des normes légales</t>
  </si>
  <si>
    <t>Non-conformité aux exigences légales</t>
  </si>
  <si>
    <t>Sanctions juridiques, risques de mise en conformité tardive</t>
  </si>
  <si>
    <t>Veiller à ce que toutes les régulations spécifiques soient intégrées dans la conception</t>
  </si>
  <si>
    <t>Analyse de l'impact sur l'efficacité des contrôles existants</t>
  </si>
  <si>
    <t>La conception du système améliore-t-elle ou impacte-t-elle négativement l’efficacité des contrôles en place ?</t>
  </si>
  <si>
    <t>Analyse des impacts, rapport d’évaluation de l’efficacité des contrôles</t>
  </si>
  <si>
    <t>Perturbation des contrôles existants</t>
  </si>
  <si>
    <t>Inefficacité accrue, surcharge des processus de contrôle existants</t>
  </si>
  <si>
    <t>Analyser l’impact de la nouvelle conception sur les contrôles existants et les ajuster en conséquence</t>
  </si>
  <si>
    <t>S’assurer que les besoins spécifiques en matière de contrôlesont été pris en considération</t>
  </si>
  <si>
    <t>Identification des besoins spécifiques en matière de contrôle</t>
  </si>
  <si>
    <t>Les besoins spécifiques en matière de contrôle ont-ils été identifiés en amont du projet ?</t>
  </si>
  <si>
    <t>Cahier des charges, analyse des besoins de contrôle</t>
  </si>
  <si>
    <t>Risque de ne pas identifier certains besoins spécifiques</t>
  </si>
  <si>
    <t>Défaillances dans les processus de contrôle, manques dans la supervision</t>
  </si>
  <si>
    <t>Recueillir toutes les informations nécessaires pour une identification complète des besoins de contrôle</t>
  </si>
  <si>
    <t>Prise en compte des exigences métiers et opérationnelles</t>
  </si>
  <si>
    <t>Les exigences métiers et opérationnelles ont-elles été intégrées dans la conception des contrôles ?</t>
  </si>
  <si>
    <t>Document d’exigences métiers, plan de contrôle opérationnel</t>
  </si>
  <si>
    <t>Omission des spécificités métiers, risques d’inadéquation</t>
  </si>
  <si>
    <t>Processus non alignés avec les besoins métiers, inefficacité des contrôles</t>
  </si>
  <si>
    <t>S'assurer que les contrôles sont conçus spécifiquement pour répondre aux exigences des utilisateurs finaux</t>
  </si>
  <si>
    <t>Adaptation des contrôles aux spécificités de chaque processus</t>
  </si>
  <si>
    <t>Les contrôles sont-ils adaptés aux spécificités de chaque processus du projet ?</t>
  </si>
  <si>
    <t>Cartographie des processus, plans de contrôle détaillés</t>
  </si>
  <si>
    <t>Contrôles non adaptés aux processus, généralisation des contrôles</t>
  </si>
  <si>
    <t>Inefficacité dans la supervision des processus, impact sur la productivité</t>
  </si>
  <si>
    <t>Délivrer des contrôles spécifiques et personnalisés pour chaque processus clé du projet</t>
  </si>
  <si>
    <t>Suivi des besoins de formation pour les contrôles</t>
  </si>
  <si>
    <t>Les besoins de formation liés aux contrôles ont-ils été identifiés et intégrés dans le projet ?</t>
  </si>
  <si>
    <t>Plan de formation, supports de formation pour les contrôles</t>
  </si>
  <si>
    <t>Manque de formation, méconnaissance des contrôles par les équipes</t>
  </si>
  <si>
    <t>Incapacité à appliquer correctement les contrôles, erreurs humaines</t>
  </si>
  <si>
    <t>Mettre en place une formation spécifique pour les équipes sur les contrôles à mettre en œuvre</t>
  </si>
  <si>
    <t>Évaluation de l'efficacité des contrôles</t>
  </si>
  <si>
    <t>Des évaluations régulières de l'efficacité des contrôles ont-elles été planifiées ?</t>
  </si>
  <si>
    <t>Plan de contrôle, tableau de suivi de l'efficacité des contrôles</t>
  </si>
  <si>
    <t>Absence d’évaluation continue, risque de laisser les contrôles obsolètes</t>
  </si>
  <si>
    <t>Contrôles inefficaces, non-détection de dysfonctionnements ou écarts</t>
  </si>
  <si>
    <t>Prévoir des évaluations régulières et des ajustements en fonction des résultats obtenus</t>
  </si>
  <si>
    <t>Conception détaillée</t>
  </si>
  <si>
    <t xml:space="preserve">S’assurer qu’il existe une méthode d'analyse et de conception </t>
  </si>
  <si>
    <t>Existence d'une méthode d'analyse structurée</t>
  </si>
  <si>
    <t>Une méthode d'analyse structurée a-t-elle été définie pour ce projet ?</t>
  </si>
  <si>
    <t>Plan d'analyse, documentation sur la méthodologie d'analyse</t>
  </si>
  <si>
    <t>Absence de méthode d’analyse claire, confusion sur les objectifs</t>
  </si>
  <si>
    <t>Risques de mauvaise interprétation des besoins, erreurs dans la conception</t>
  </si>
  <si>
    <t>Définir une méthodologie d'analyse claire, adaptée aux besoins spécifiques du projet</t>
  </si>
  <si>
    <t>Alignement avec les bonnes pratiques de conception</t>
  </si>
  <si>
    <t>La méthode de conception est-elle alignée avec les bonnes pratiques du domaine ?</t>
  </si>
  <si>
    <t>Guide de bonnes pratiques, plan de conception</t>
  </si>
  <si>
    <t>Non-conformité avec les standards, mauvaise qualité de conception</t>
  </si>
  <si>
    <t>Conception inefficace, non-conformité aux attentes des utilisateurs</t>
  </si>
  <si>
    <t>S'assurer que la méthode de conception suit les bonnes pratiques et standards du secteur</t>
  </si>
  <si>
    <t>Prise en compte des besoins fonctionnels et techniques</t>
  </si>
  <si>
    <t>Les besoins fonctionnels et techniques ont-ils été pris en compte dans la méthode ?</t>
  </si>
  <si>
    <t>Cahier des charges, documents de spécifications fonctionnelles</t>
  </si>
  <si>
    <t>Négligence des besoins fonctionnels et techniques</t>
  </si>
  <si>
    <t>Solution mal adaptée, insatisfaction des utilisateurs finaux</t>
  </si>
  <si>
    <t>Intégrer une analyse approfondie des besoins fonctionnels et techniques dans la méthode</t>
  </si>
  <si>
    <t>Inclusion des contraintes dans la méthode d'analyse</t>
  </si>
  <si>
    <t>Les contraintes (temps, budget, ressources, etc.) sont-elles prises en compte dans la méthode d'analyse ?</t>
  </si>
  <si>
    <t>Rapport d'analyse des contraintes, plan de gestion des ressources</t>
  </si>
  <si>
    <t>Omission de contraintes critiques, projets non réalisables</t>
  </si>
  <si>
    <t>Dérives de planning, dépassement de budget, impacts sur la faisabilité</t>
  </si>
  <si>
    <t>Prendre en compte toutes les contraintes pertinentes dès le début du projet</t>
  </si>
  <si>
    <t>Méthodologie de validation de la conception</t>
  </si>
  <si>
    <t>Existe-t-il une méthodologie formelle pour valider la conception une fois l'analyse terminée ?</t>
  </si>
  <si>
    <t>Plan de validation, critères de validation</t>
  </si>
  <si>
    <t>Absence de validation formelle, risques d’inexactitude dans la conception</t>
  </si>
  <si>
    <t>Produits non conformes aux attentes, révisions multiples nécessaires</t>
  </si>
  <si>
    <t>Mettre en place une méthodologie claire de validation et de contrôle de la conception</t>
  </si>
  <si>
    <t xml:space="preserve">S’assurer que cette méthode est correctement utilisée </t>
  </si>
  <si>
    <t>Critères d'Évaluation</t>
  </si>
  <si>
    <t>Questions d'Évaluation</t>
  </si>
  <si>
    <t>Réponses</t>
  </si>
  <si>
    <t>Criticités</t>
  </si>
  <si>
    <t>Formation et compréhension de la méthode par l’équipe</t>
  </si>
  <si>
    <t>L’équipe a-t-elle reçu la formation nécessaire pour comprendre et appliquer la méthode d'analyse et de conception ?</t>
  </si>
  <si>
    <t>Plan de formation, supports de formation</t>
  </si>
  <si>
    <t>Manque de formation, mauvaise application de la méthode</t>
  </si>
  <si>
    <t>Application incorrecte de la méthode, erreurs dans la conception</t>
  </si>
  <si>
    <t>Assurer une formation adéquate pour toute l'équipe sur la méthodologie utilisée</t>
  </si>
  <si>
    <t>Un suivi régulier est-il effectué pour vérifier que la méthode est correctement appliquée tout au long du projet ?</t>
  </si>
  <si>
    <t>Rapport de suivi de l'application de la méthode, tableau de bord</t>
  </si>
  <si>
    <t>Absence de suivi, application incohérente de la méthode</t>
  </si>
  <si>
    <t>Incohérence dans la mise en œuvre, résultats non conformes</t>
  </si>
  <si>
    <t>Mettre en place des points de contrôle réguliers pour s’assurer de l’application correcte de la méthode</t>
  </si>
  <si>
    <t>Évaluation de l'efficacité de la méthode</t>
  </si>
  <si>
    <t>Des évaluations ont-elles été réalisées pour mesurer l’efficacité de la méthode d'analyse et de conception ?</t>
  </si>
  <si>
    <t>Rapport d'évaluation des méthodes, feedback des parties prenantes</t>
  </si>
  <si>
    <t>Méthode inefficace non évaluée, manque d’ajustement</t>
  </si>
  <si>
    <t>Faible efficacité du projet, délais non respectés, mauvaise qualité</t>
  </si>
  <si>
    <t>Effectuer des évaluations périodiques pour ajuster la méthode selon les besoins du projet</t>
  </si>
  <si>
    <t>Adhérence aux étapes de la méthode</t>
  </si>
  <si>
    <t>Les étapes de la méthode d'analyse et de conception sont-elles suivies de manière rigoureuse ?</t>
  </si>
  <si>
    <t>Planning des étapes de conception, compte-rendus de réunions</t>
  </si>
  <si>
    <t>Déviation des étapes prévues, confusion dans l'application</t>
  </si>
  <si>
    <t>Retards dans le projet, risque d'incohérence dans la conception</t>
  </si>
  <si>
    <t>Veiller à respecter strictement les étapes définies dans la méthode d’analyse et de conception</t>
  </si>
  <si>
    <t xml:space="preserve">S’assurer que cette méthode est maîtrisée par l'équipe projet </t>
  </si>
  <si>
    <t>Niveau de compréhension de la méthode par l'équipe</t>
  </si>
  <si>
    <t>L’équipe projet maîtrise-t-elle les concepts clés et les étapes de la méthode d'analyse et de conception ?</t>
  </si>
  <si>
    <t>Évaluations de l’équipe, résultats de tests de compréhension</t>
  </si>
  <si>
    <t>Manque de compréhension, mauvaise application des concepts clés</t>
  </si>
  <si>
    <t>Risque de mauvaise application de la méthode, erreurs dans la conception</t>
  </si>
  <si>
    <t>Assurer des évaluations régulières sur la maîtrise de la méthode par l’équipe</t>
  </si>
  <si>
    <t>Exemples pratiques d'application de la méthode</t>
  </si>
  <si>
    <t>L’équipe a-t-elle travaillé sur des exemples pratiques de mise en œuvre de la méthode d'analyse et de conception ?</t>
  </si>
  <si>
    <t>Études de cas, projets pilotes réalisés</t>
  </si>
  <si>
    <t>Manque d’application pratique, difficulté à transposer la théorie</t>
  </si>
  <si>
    <t>Application théorique sans ancrage dans la réalité du projet</t>
  </si>
  <si>
    <t>Fournir des études de cas pratiques et des sessions de mise en œuvre concrète de la méthode</t>
  </si>
  <si>
    <t>Feedback des membres de l’équipe sur la méthode</t>
  </si>
  <si>
    <t>Les membres de l’équipe ont-ils fourni un feedback constructif sur la méthode utilisée ?</t>
  </si>
  <si>
    <t>Compte-rendu des réunions, sondages de feedback</t>
  </si>
  <si>
    <t>Absence de feedback, non-identification des difficultés pratiques</t>
  </si>
  <si>
    <t>Méthode mal adaptée à la réalité du projet, risques d’inefficacité</t>
  </si>
  <si>
    <t>Organiser des sessions régulières de feedback pour recueillir les impressions de l’équipe</t>
  </si>
  <si>
    <t>Capacité à résoudre des problèmes méthodologiques</t>
  </si>
  <si>
    <t>L’équipe est-elle capable de résoudre des problèmes ou d’ajuster la méthode si nécessaire ?</t>
  </si>
  <si>
    <t>Rapport de résolution de problèmes, documentation sur les ajustements</t>
  </si>
  <si>
    <t>Absence de flexibilité dans l’application de la méthode</t>
  </si>
  <si>
    <t>Blocage dans l’avancement du projet, rigidité dans la méthodologie</t>
  </si>
  <si>
    <t>Développer des mécanismes d’adaptation et d’amélioration continue de la méthode en fonction des problèmes rencontrés</t>
  </si>
  <si>
    <t>Taux d'adhésion à la méthode au sein de l’équipe</t>
  </si>
  <si>
    <t>L’équipe a-t-elle un taux d’adhésion élevé à la méthode d'analyse et de conception ?</t>
  </si>
  <si>
    <t>Sondages d'adhésion, entretiens avec les membres de l’équipe</t>
  </si>
  <si>
    <t>Faible adhésion à la méthode, résistance au changement</t>
  </si>
  <si>
    <t>Résistance au changement, mauvaise application de la méthode</t>
  </si>
  <si>
    <t>Créer un environnement collaboratif favorisant l’adhésion et l’engagement des membres de l’équipe</t>
  </si>
  <si>
    <t xml:space="preserve">S’assurer que les spécifications détaillées sont exhaustives parrapport au cahier des charges </t>
  </si>
  <si>
    <t>Exhaustivité des spécifications détaillées</t>
  </si>
  <si>
    <t>Les spécifications détaillées couvrent-elles l’ensemble des exigences du cahier des charges ?</t>
  </si>
  <si>
    <t>Cahier des charges, spécifications détaillées</t>
  </si>
  <si>
    <t>Omission de certaines exigences, spécifications incomplètes</t>
  </si>
  <si>
    <t>Livrables non conformes, risques de non-respect des attentes du client</t>
  </si>
  <si>
    <t>S’assurer que toutes les exigences du cahier des charges sont bien couvertes dans les spécifications</t>
  </si>
  <si>
    <t>Clarté et précision des spécifications</t>
  </si>
  <si>
    <t>Les spécifications sont-elles rédigées de manière claire et précise, sans ambiguïtés ?</t>
  </si>
  <si>
    <t>Documentation des spécifications détaillées, plans d’analyse</t>
  </si>
  <si>
    <t>Ambiguïté dans les spécifications, malentendus avec les parties prenantes</t>
  </si>
  <si>
    <t>Risques de mauvaise interprétation, erreurs dans la conception</t>
  </si>
  <si>
    <t>Clarifier les spécifications et éviter toute ambiguïté dans la rédaction</t>
  </si>
  <si>
    <t>Conformité avec les exigences fonctionnelles et techniques</t>
  </si>
  <si>
    <t>Les spécifications détaillées respectent-elles scrupuleusement les exigences fonctionnelles et techniques du cahier des charges ?</t>
  </si>
  <si>
    <t>Cahier des charges, tableau de suivi des exigences fonctionnelles</t>
  </si>
  <si>
    <t>Non-conformité aux exigences, manquement dans la couverture technique</t>
  </si>
  <si>
    <t>Non-respect des attentes des parties prenantes, produit non conforme</t>
  </si>
  <si>
    <t>Vérifier que chaque exigence fonctionnelle et technique est couverte par les spécifications</t>
  </si>
  <si>
    <t>Cohérence entre les spécifications et les objectifs du projet</t>
  </si>
  <si>
    <t>Les spécifications sont-elles cohérentes avec les objectifs globaux du projet ?</t>
  </si>
  <si>
    <t>Plan de projet, objectifs stratégiques</t>
  </si>
  <si>
    <t>Discordance entre objectifs et spécifications, incohérence de la vision</t>
  </si>
  <si>
    <t>Risques de dérives de projet, produits non alignés avec les attentes</t>
  </si>
  <si>
    <t>Valider la cohérence des spécifications avec les objectifs et les priorités du projet</t>
  </si>
  <si>
    <t>Prise en compte des contraintes</t>
  </si>
  <si>
    <t>Les contraintes identifiées (temps, budget, ressources, etc.) sont-elles intégrées dans les spécifications détaillées ?</t>
  </si>
  <si>
    <t>Analyse des contraintes, rapport d’intégration des contraintes</t>
  </si>
  <si>
    <t>Omission des contraintes dans les spécifications</t>
  </si>
  <si>
    <t>Dépassement des délais, des coûts ou des ressources disponibles</t>
  </si>
  <si>
    <t>Intégrer les contraintes de manière claire et précise dans les spécifications détaillées</t>
  </si>
  <si>
    <t>S’assurer qu’il existe des contrôles adaptés à chaque pointcritique du système (préventifs et correctifs)</t>
  </si>
  <si>
    <t>Identification des points critiques du système</t>
  </si>
  <si>
    <t>Les points critiques du système ont-ils été identifiés et analysés de manière exhaustive ?</t>
  </si>
  <si>
    <t>Rapport d'analyse des points critiques, cartographie des risques</t>
  </si>
  <si>
    <t>Non-identification des points critiques, risques non couverts</t>
  </si>
  <si>
    <t>Mauvaise gestion des risques, défaillances imprévues</t>
  </si>
  <si>
    <t>Identifier de manière complète tous les points critiques et leur impact potentiel sur le système</t>
  </si>
  <si>
    <t>Contrôles préventifs en place</t>
  </si>
  <si>
    <t>Des contrôles préventifs sont-ils en place pour minimiser les risques sur les points critiques ?</t>
  </si>
  <si>
    <t>Plan de contrôle préventif, procédures opérationnelles</t>
  </si>
  <si>
    <t>Absence de mesures préventives, risques non anticipés</t>
  </si>
  <si>
    <t>Défaillance du système, risques d’interruptions majeures</t>
  </si>
  <si>
    <t>Mettre en place des contrôles préventifs robustes pour anticiper les risques potentiels</t>
  </si>
  <si>
    <t>Contrôles correctifs en place</t>
  </si>
  <si>
    <t>Des contrôles correctifs sont-ils définis pour résoudre les problèmes après leur survenue ?</t>
  </si>
  <si>
    <t>Plan de contrôle correctif, procédures de réponse aux incidents</t>
  </si>
  <si>
    <t>Absence de contrôles correctifs, difficulté à réagir rapidement</t>
  </si>
  <si>
    <t>Détérioration de la performance du système, impact sur la qualité</t>
  </si>
  <si>
    <t>Assurer que des contrôles correctifs efficaces sont prévus pour chaque point critique</t>
  </si>
  <si>
    <t>Efficacité des contrôles préventifs</t>
  </si>
  <si>
    <t>Les contrôles préventifs sont-ils régulièrement testés pour assurer leur efficacité ?</t>
  </si>
  <si>
    <t>Rapport d’audit de contrôle, résultats des tests d’efficacité</t>
  </si>
  <si>
    <t>Inefficacité des contrôles préventifs, failles de sécurité</t>
  </si>
  <si>
    <t>Échec des mesures préventives, risques d'incidents imprévus</t>
  </si>
  <si>
    <t>Tester régulièrement les contrôles préventifs pour garantir leur efficacité</t>
  </si>
  <si>
    <t>Suivi et mise à jour des contrôles</t>
  </si>
  <si>
    <t>Les contrôles (préventifs et correctifs) sont-ils suivis et mis à jour en fonction des évolutions du système ?</t>
  </si>
  <si>
    <t>Plan de suivi, rapport de mise à jour des contrôles</t>
  </si>
  <si>
    <t>Manque de suivi, contrôles obsolètes ou inadaptés</t>
  </si>
  <si>
    <t>Défaillance des contrôles à long terme, risque d'évolution non couverte</t>
  </si>
  <si>
    <t>Mettre en place un suivi périodique et des mises à jour des contrôles selon les besoins</t>
  </si>
  <si>
    <t xml:space="preserve">S’assurer que le responsable de la sécurité est impliqué dans leprojet </t>
  </si>
  <si>
    <t>Implication du responsable de la sécurité dans le projet</t>
  </si>
  <si>
    <t>Le responsable de la sécurité est-il impliqué dès le début du projet ?</t>
  </si>
  <si>
    <t>Rapport de réunion, plan de sécurité</t>
  </si>
  <si>
    <t>Non-implication précoce, risque de négligence sur les aspects sécuritaires</t>
  </si>
  <si>
    <t>Risques accrus de non-conformité avec les exigences de sécurité</t>
  </si>
  <si>
    <t>Assurer une implication dès le démarrage du projet pour définir les priorités de sécurité</t>
  </si>
  <si>
    <t>Rôle clairement défini pour le responsable de la sécurité</t>
  </si>
  <si>
    <t>Les responsabilités du responsable de la sécurité sont-elles clairement définies dans le projet ?</t>
  </si>
  <si>
    <t>Description du rôle, organigramme de l’équipe de sécurité</t>
  </si>
  <si>
    <t>Rôle flou, confusion des responsabilités, défaillance dans la gestion de la sécurité</t>
  </si>
  <si>
    <t>Risques de non-prise en charge adéquate des besoins de sécurité</t>
  </si>
  <si>
    <t>Définir un rôle clair et précis pour le responsable de la sécurité dans le projet</t>
  </si>
  <si>
    <t>Suivi des aspects sécuritaires par le responsable</t>
  </si>
  <si>
    <t>Le responsable de la sécurité effectue-t-il un suivi régulier des aspects sécuritaires du projet ?</t>
  </si>
  <si>
    <t>Rapport de suivi de la sécurité, tableau de bord de gestion des risques</t>
  </si>
  <si>
    <t>Absence de suivi, problèmes de sécurité non détectés ou non corrigés</t>
  </si>
  <si>
    <t>Compromission de la sécurité, retard dans la gestion des incidents</t>
  </si>
  <si>
    <t>Assurer un suivi continu et documenté des aspects sécuritaires tout au long du projet</t>
  </si>
  <si>
    <t>Communication régulière avec les parties prenantes</t>
  </si>
  <si>
    <t>Le responsable de la sécurité communique-t-il régulièrement avec les parties prenantes pour discuter des risques et des mesures de sécurité ?</t>
  </si>
  <si>
    <t>Compte-rendus de réunions, échanges avec les parties prenantes</t>
  </si>
  <si>
    <t>Mauvaise communication, risques de sécurité ignorés ou mal gérés</t>
  </si>
  <si>
    <t>Incidents de sécurité non anticipés, défaillances dans les mesures de prévention</t>
  </si>
  <si>
    <t>Organiser des réunions régulières pour communiquer les enjeux sécuritaires à toutes les parties prenantes</t>
  </si>
  <si>
    <t>Prise en compte de la sécurité dans les décisions du projet</t>
  </si>
  <si>
    <t>Le responsable de la sécurité est-il impliqué dans les décisions importantes concernant le projet ?</t>
  </si>
  <si>
    <t>Minutes de réunions décisionnelles, rapport d'implication</t>
  </si>
  <si>
    <t>Non-implication dans les décisions clés, manquements dans la gestion des risques</t>
  </si>
  <si>
    <t>Prises de décision non sécurisées, projets non conformes aux normes de sécurité</t>
  </si>
  <si>
    <t>Impliquer systématiquement le responsable de la sécurité dans les processus décisionnels du projet</t>
  </si>
  <si>
    <t xml:space="preserve">S’assurer qu’il existe des pistes d'audit permettant de suivre latotalité des transactions </t>
  </si>
  <si>
    <t>Exhaustivité de la piste d’audit</t>
  </si>
  <si>
    <t>La piste d’audit couvre-t-elle toutes les transactions sans exception ?</t>
  </si>
  <si>
    <t>Rapport d’audit, logs complets des transactions</t>
  </si>
  <si>
    <t>Piste d’audit incomplète, impossibilité de retracer certaines transactions</t>
  </si>
  <si>
    <t>Risques de fraude ou d’omission dans les transactions suivies</t>
  </si>
  <si>
    <t>Assurer une couverture complète de toutes les transactions dans la piste d’audit</t>
  </si>
  <si>
    <t>Traçabilité des transactions</t>
  </si>
  <si>
    <t>Chaque transaction est-elle associée à une entrée identifiable dans la piste d’audit ?</t>
  </si>
  <si>
    <t>Logs de transactions, rapports d’audit</t>
  </si>
  <si>
    <t>Transactions sans identifiant unique, perte de traçabilité</t>
  </si>
  <si>
    <t>Impossible de retracer ou valider des transactions spécifiques</t>
  </si>
  <si>
    <t>Assurer que chaque transaction est traçable et associée à un identifiant unique</t>
  </si>
  <si>
    <t>Accessibilité sécurisée à la piste d’audit</t>
  </si>
  <si>
    <t>La piste d’audit est-elle protégée par des mécanismes d'accès sécurisé ?</t>
  </si>
  <si>
    <t>Documentation sur la gestion des accès, politique de sécurité</t>
  </si>
  <si>
    <t>Accès non sécurisé, modification non autorisée des données d’audit</t>
  </si>
  <si>
    <t>Falsification ou suppression des données d’audit</t>
  </si>
  <si>
    <t>Mettre en place un accès contrôlé et sécurisé à la piste d’audit</t>
  </si>
  <si>
    <t>Intégrité des données d’audit</t>
  </si>
  <si>
    <t>Les données d’audit sont-elles protégées contre toute altération non autorisée ?</t>
  </si>
  <si>
    <t>Rapport d’intégrité des logs, contrôle des modifications des données</t>
  </si>
  <si>
    <t>Altération des données d’audit, modification des enregistrements</t>
  </si>
  <si>
    <t>Altération des informations de transaction, perte de conformité</t>
  </si>
  <si>
    <t>Implémenter des mécanismes de protection contre l'altération des données d'audit</t>
  </si>
  <si>
    <t>Suivi et révision des pistes d’audit</t>
  </si>
  <si>
    <t>Existe-t-il un mécanisme de suivi et de révision régulière des pistes d’audit ?</t>
  </si>
  <si>
    <t>Plan de suivi des audits, rapports de révision</t>
  </si>
  <si>
    <t>Omission de révision ou mise à jour des pistes d’audit</t>
  </si>
  <si>
    <t>Piste d’audit obsolète, non-détection des anomalies</t>
  </si>
  <si>
    <t>Mettre en place une procédure de révision régulière des pistes d’audit</t>
  </si>
  <si>
    <t xml:space="preserve">assurer que la conception détaillée a été revue </t>
  </si>
  <si>
    <t>Existence d’une piste d'audit complète</t>
  </si>
  <si>
    <t>Existe-t-il une piste d'audit qui couvre l'intégralité des transactions du système ?</t>
  </si>
  <si>
    <t>Rapport d’audit, système de suivi des transactions</t>
  </si>
  <si>
    <t>Absence de piste d'audit, impossibilité de retracer les transactions</t>
  </si>
  <si>
    <t>Incapacité à retracer des transactions, non-conformité réglementaire</t>
  </si>
  <si>
    <t>Mettre en place une piste d’audit complète couvrant toutes les transactions du système</t>
  </si>
  <si>
    <t>Accessibilité de la piste d'audit</t>
  </si>
  <si>
    <t>La piste d'audit est-elle facilement accessible pour les parties autorisées ?</t>
  </si>
  <si>
    <t>Documentation sur l’accès à la piste d’audit, politique d'accès</t>
  </si>
  <si>
    <t>Difficulté d’accès à la piste d’audit, risques d'accès non autorisé</t>
  </si>
  <si>
    <t>Risque d’inaccessibilité des données critiques, violations de sécurité</t>
  </si>
  <si>
    <t>Assurer un accès sécurisé mais facile à la piste d'audit pour les parties autorisées</t>
  </si>
  <si>
    <t>Chaque transaction est-elle traçable de manière claire et détaillée dans la piste d'audit ?</t>
  </si>
  <si>
    <t>Logs de transactions, rapports d’audit détaillés</t>
  </si>
  <si>
    <t>Manque de détails sur les transactions, absence de traçabilité</t>
  </si>
  <si>
    <t>Difficulté à comprendre ou à vérifier les transactions</t>
  </si>
  <si>
    <t>Garantir une traçabilité complète et détaillée de chaque transaction dans le système</t>
  </si>
  <si>
    <t>Intégrité des données d'audit</t>
  </si>
  <si>
    <t>Les données d'audit sont-elles protégées contre toute modification ou suppression non autorisée ?</t>
  </si>
  <si>
    <t>Rapport de sécurité des logs, système de protection des données</t>
  </si>
  <si>
    <t>Risque de falsification ou suppression des données d'audit</t>
  </si>
  <si>
    <t>Altération des preuves, risque de fraude ou d'irrégularités</t>
  </si>
  <si>
    <t>Implémenter des contrôles de sécurité robustes pour garantir l'intégrité des données d'audit</t>
  </si>
  <si>
    <t>Suivi et révision régulière de la piste d'audit</t>
  </si>
  <si>
    <t>Existe-t-il un processus de suivi et de révision régulière de la piste d'audit ?</t>
  </si>
  <si>
    <t>Plan de révision, rapports de suivi</t>
  </si>
  <si>
    <t>Omission de révision régulière, piste d'audit obsolète ou inexacte</t>
  </si>
  <si>
    <t>Non-détection d'anomalies ou d'incidents, perte de conformité</t>
  </si>
  <si>
    <t>Mettre en place une procédure de révision régulière et systématique de la piste d'audit</t>
  </si>
  <si>
    <t>Développement, réalisation ou paramétrage</t>
  </si>
  <si>
    <t xml:space="preserve">S’assurer qu’il existe une méthode de développement </t>
  </si>
  <si>
    <t>Existence d’une méthode de développement</t>
  </si>
  <si>
    <t>Une méthode de développement formelle est-elle définie et utilisée ?</t>
  </si>
  <si>
    <t>Manuel de méthode, documentation projet</t>
  </si>
  <si>
    <t>Absence de cadre structuré pour le développement</t>
  </si>
  <si>
    <t>Risques de dérive, incohérences, mauvaise qualité technique</t>
  </si>
  <si>
    <t>Définir et adopter une méthode de développement claire et adaptée au projet</t>
  </si>
  <si>
    <t>Adaptabilité de la méthode au projet</t>
  </si>
  <si>
    <t>La méthode choisie est-elle adaptée à la nature et à la complexité du projet ?</t>
  </si>
  <si>
    <t>Analyse de choix de méthode, justification de l’approche</t>
  </si>
  <si>
    <t>Utilisation d'une méthode inadaptée</t>
  </si>
  <si>
    <t>Retards, inadéquation avec les objectifs</t>
  </si>
  <si>
    <t>Choisir une méthode alignée avec les besoins, contraintes et enjeux du projet</t>
  </si>
  <si>
    <t>Formalisation des étapes de développement</t>
  </si>
  <si>
    <t>Les différentes phases de la méthode sont-elles bien définies et suivies ?</t>
  </si>
  <si>
    <t>Planning, documentation de phases</t>
  </si>
  <si>
    <t>Saut ou confusion entre les phases de développement</t>
  </si>
  <si>
    <t>Non-maîtrise du déroulement du projet</t>
  </si>
  <si>
    <t>Détailler chaque phase et s'assurer de leur application rigoureuse</t>
  </si>
  <si>
    <t>Documentation associée à la méthode</t>
  </si>
  <si>
    <t>La méthode de développement est-elle bien documentée et connue de l’équipe ?</t>
  </si>
  <si>
    <t>Guide interne, fiche de procédure</t>
  </si>
  <si>
    <t>Méconnaissance de la méthode par l’équipe</t>
  </si>
  <si>
    <t>Mauvaise application de la méthode</t>
  </si>
  <si>
    <t>Diffuser et former l’équipe sur la méthode utilisée</t>
  </si>
  <si>
    <t>Validation de la méthode par la gouvernance</t>
  </si>
  <si>
    <t>La méthode de développement a-t-elle été validée par les parties prenantes clés ?</t>
  </si>
  <si>
    <t>Compte-rendu de validation, procès-verbaux de réunion</t>
  </si>
  <si>
    <t>Rejet ou contestation de la méthode en cours de projet</t>
  </si>
  <si>
    <t>Problèmes d’adhésion ou de cohérence dans l'exécution</t>
  </si>
  <si>
    <t>Faire valider la méthode par la gouvernance et les parties prenantes principales</t>
  </si>
  <si>
    <t>Application effective de la méthode</t>
  </si>
  <si>
    <t>La méthode définie est-elle effectivement appliquée dans le déroulement du projet ?</t>
  </si>
  <si>
    <t>Rapports d’avancement, fiches de suivi</t>
  </si>
  <si>
    <t>Décalage entre la théorie et la pratique</t>
  </si>
  <si>
    <t>Dérives de projet, perte de cohérence, mauvaise qualité des livrables</t>
  </si>
  <si>
    <t>Suivre régulièrement la mise en œuvre de la méthode et corriger les écarts</t>
  </si>
  <si>
    <t>Conformité aux étapes de la méthode</t>
  </si>
  <si>
    <t>Les étapes définies par la méthode sont-elles respectées ?</t>
  </si>
  <si>
    <t>Checklists, relevés de jalons, documentation de projet</t>
  </si>
  <si>
    <t>Étapes sautées ou bâclées</t>
  </si>
  <si>
    <t>Travail incomplet ou bâclé, risques sur la qualité</t>
  </si>
  <si>
    <t>Imposer un contrôle qualité à chaque étape clé de la méthode</t>
  </si>
  <si>
    <t>Implication de l’équipe dans l’application</t>
  </si>
  <si>
    <t>L’équipe applique-t-elle correctement la méthode au quotidien ?</t>
  </si>
  <si>
    <t>Comptes-rendus, feedbacks d'équipe</t>
  </si>
  <si>
    <t>Incompréhension ou non-adhésion à la méthode</t>
  </si>
  <si>
    <t>Résultats incohérents, retards, conflits</t>
  </si>
  <si>
    <t>Former et accompagner l’équipe sur l’utilisation concrète de la méthode</t>
  </si>
  <si>
    <t>Suivi de l’utilisation de la méthode</t>
  </si>
  <si>
    <t>Existe-t-il un suivi régulier de l'application de la méthode ?</t>
  </si>
  <si>
    <t>Grilles de contrôle, audits internes</t>
  </si>
  <si>
    <t>Mauvais suivi, dérives non détectées</t>
  </si>
  <si>
    <t>Non-conformités accumulées, perte de maîtrise du projet</t>
  </si>
  <si>
    <t>Mettre en place un suivi rigoureux avec points de contrôle réguliers</t>
  </si>
  <si>
    <t>Réajustement en cas de non-conformité</t>
  </si>
  <si>
    <t>Des mesures sont-elles prévues en cas de non-application de la méthode ?</t>
  </si>
  <si>
    <t>Plan d’action, rapports de non-conformité</t>
  </si>
  <si>
    <t>Non-correction des écarts, répétition des erreurs</t>
  </si>
  <si>
    <t>Enchaînement d’écarts, fragilité du système de pilotage</t>
  </si>
  <si>
    <t>Prévoir des actions correctives systématiques et responsabiliser les parties concernées</t>
  </si>
  <si>
    <t>S’assurer que cette méthode est parfaitement maîtrisée par les développeurs</t>
  </si>
  <si>
    <t>Niveau de maîtrise de la méthode par les développeurs</t>
  </si>
  <si>
    <t>Les développeurs maîtrisent-ils pleinement la méthode utilisée dans le projet ?</t>
  </si>
  <si>
    <t>Résultats d’évaluations internes, bilans de compétence</t>
  </si>
  <si>
    <t>Erreurs fréquentes, non-respect des standards méthodologiques</t>
  </si>
  <si>
    <t>Failles dans le développement, perte de qualité, retards</t>
  </si>
  <si>
    <t>Évaluer régulièrement la compréhension de la méthode et combler les lacunes</t>
  </si>
  <si>
    <t>Formation des développeurs à la méthode</t>
  </si>
  <si>
    <t>Ont-ils reçu une formation adéquate à la méthode utilisée ?</t>
  </si>
  <si>
    <t>Attestations de formation, feuilles de présence</t>
  </si>
  <si>
    <t>Manque de formation, compréhension partielle</t>
  </si>
  <si>
    <t>Incohérences dans la mise en œuvre de la méthode</t>
  </si>
  <si>
    <t>Organiser des formations ou ateliers pratiques ciblés sur la méthode</t>
  </si>
  <si>
    <t>Utilisation cohérente de la méthode</t>
  </si>
  <si>
    <t>Les pratiques des développeurs sont-elles alignées avec les principes de la méthode ?</t>
  </si>
  <si>
    <t>Revues de code, audits qualité</t>
  </si>
  <si>
    <t>Diversité de pratiques, désalignement avec la méthode</t>
  </si>
  <si>
    <t>Difficulté à assurer la cohérence et la maintenabilité du code</t>
  </si>
  <si>
    <t>Faire des revues régulières pour s'assurer du respect de la méthode</t>
  </si>
  <si>
    <t>Autonomie dans l’application de la méthode</t>
  </si>
  <si>
    <t>Les développeurs peuvent-ils appliquer la méthode sans supervision constante ?</t>
  </si>
  <si>
    <t>Feedbacks de chefs d’équipe, tableaux de suivi</t>
  </si>
  <si>
    <t>Dépendance excessive, surcharge des encadrants</t>
  </si>
  <si>
    <t>Manque d’efficacité, perte de temps</t>
  </si>
  <si>
    <t>Renforcer la formation et la documentation pour accroître l’autonomie des développeurs</t>
  </si>
  <si>
    <t>Mécanisme de montée en compétence continue</t>
  </si>
  <si>
    <t>Un plan de progression continue est-il en place pour garantir la maîtrise durable ?</t>
  </si>
  <si>
    <t>Plan de formation continue, mentorat</t>
  </si>
  <si>
    <t>Obsolescence des compétences, stagnation</t>
  </si>
  <si>
    <t>Méthode mal appliquée à long terme, baisse de performance</t>
  </si>
  <si>
    <t>Instaurer un programme de formation continue et de partage de bonnes pratiques</t>
  </si>
  <si>
    <t xml:space="preserve">S’assurer qu’il existe des normes de documentation </t>
  </si>
  <si>
    <t>S’assurer que ces normes sont appliquées par lesdéveloppeurs</t>
  </si>
  <si>
    <t>Application effective des normes</t>
  </si>
  <si>
    <t>Les développeurs appliquent-ils systématiquement les normes de documentation ?</t>
  </si>
  <si>
    <t>Exemples de code documenté, revues de code, rapports d’audit</t>
  </si>
  <si>
    <t>Documentation incomplète, incohérente</t>
  </si>
  <si>
    <t>Difficultés de maintenance, transmission de connaissances</t>
  </si>
  <si>
    <t>Réaliser des vérifications régulières et intégrer les normes dans les processus de revue</t>
  </si>
  <si>
    <t>Contrôle de conformité documentaire</t>
  </si>
  <si>
    <t>Y a-t-il un contrôle formel du respect des normes dans les livrables techniques ?</t>
  </si>
  <si>
    <t>Fiches de conformité, checklists qualité</t>
  </si>
  <si>
    <t>Absence de suivi, écarts non détectés</t>
  </si>
  <si>
    <t>Perte de qualité documentaire, imprécisions techniques</t>
  </si>
  <si>
    <t>Mettre en place des grilles de validation et responsabiliser les relecteurs</t>
  </si>
  <si>
    <t>Niveau de compréhension des normes</t>
  </si>
  <si>
    <t>Les développeurs comprennent-ils bien les normes à respecter ?</t>
  </si>
  <si>
    <t>Résultats de quiz, retours de formation</t>
  </si>
  <si>
    <t>Erreurs répétées, mauvaise interprétation</t>
  </si>
  <si>
    <t>Normes appliquées de manière incorrecte</t>
  </si>
  <si>
    <t>Former ou réexpliquer régulièrement les standards en place</t>
  </si>
  <si>
    <t>Disponibilité des normes</t>
  </si>
  <si>
    <t>Les normes sont-elles facilement accessibles et à jour pour les développeurs ?</t>
  </si>
  <si>
    <t>Référentiels accessibles, intranet, guide de développement</t>
  </si>
  <si>
    <t>Utilisation de versions obsolètes</t>
  </si>
  <si>
    <t>Incohérences documentaires, perte d’uniformité</t>
  </si>
  <si>
    <t>Centraliser les documents de normes et garantir leur accès facile</t>
  </si>
  <si>
    <t>Culture de documentation dans l’équipe</t>
  </si>
  <si>
    <t>La documentation est-elle perçue comme une bonne pratique valorisée dans l’équipe ?</t>
  </si>
  <si>
    <t>Feedbacks, enquêtes internes</t>
  </si>
  <si>
    <t>Désengagement, documentation vue comme une contrainte</t>
  </si>
  <si>
    <t>Documentation négligée, perte de savoir interne</t>
  </si>
  <si>
    <t>Valoriser la documentation dans l’évaluation de la performance et les revues d’équipe</t>
  </si>
  <si>
    <t xml:space="preserve">S’assurer que les développements sont bien documentés </t>
  </si>
  <si>
    <t>Documentation technique des développements</t>
  </si>
  <si>
    <t>Chaque composant développé est-il accompagné d’une documentation technique complète ?</t>
  </si>
  <si>
    <t>Dossiers techniques, commentaires dans le code, fiches modules</t>
  </si>
  <si>
    <t>Incompréhensions futures, dépendance aux développeurs initiaux</t>
  </si>
  <si>
    <t>Maintenance difficile, délais prolongés en cas de correction ou évolution</t>
  </si>
  <si>
    <t>Documenter chaque module dès sa création, selon un format standard</t>
  </si>
  <si>
    <t>Mise à jour des documents en cas de modification</t>
  </si>
  <si>
    <t>La documentation est-elle mise à jour lors des évolutions ou correctifs apportés ?</t>
  </si>
  <si>
    <t>Historique de version, changelogs, rapports de mise à jour</t>
  </si>
  <si>
    <t>Documentation obsolète ou inexacte</t>
  </si>
  <si>
    <t>Risque d’erreurs en maintenance, perte de fiabilité du référentiel technique</t>
  </si>
  <si>
    <t>Intégrer les mises à jour documentaires dans le processus de validation des changements</t>
  </si>
  <si>
    <t>Structure et clarté de la documentation</t>
  </si>
  <si>
    <t>La documentation est-elle structurée, claire et compréhensible par un tiers ?</t>
  </si>
  <si>
    <t>Modèles de documentation, exemples de livrables</t>
  </si>
  <si>
    <t>Difficulté à comprendre le fonctionnement des développements</t>
  </si>
  <si>
    <t>Temps accru pour la prise en main ou la revue du code</t>
  </si>
  <si>
    <t>Utiliser des modèles standardisés et faire relire les documents par un pair</t>
  </si>
  <si>
    <t>Accessibilité de la documentation</t>
  </si>
  <si>
    <t>La documentation est-elle centralisée et accessible à toute l’équipe ?</t>
  </si>
  <si>
    <t>Répertoire partagé, base de connaissances, wiki projet</t>
  </si>
  <si>
    <t>Perte d’information, réinvention de solutions</t>
  </si>
  <si>
    <t>Duplications, manque de coordination entre développeurs</t>
  </si>
  <si>
    <t>Utiliser un espace documentaire partagé (ex : Git, Notion, Confluence)</t>
  </si>
  <si>
    <t>Documentation des API et interfaces</t>
  </si>
  <si>
    <t>Les interfaces entre composants (API, modules) sont-elles documentées ?</t>
  </si>
  <si>
    <t>Spécifications API, diagrammes, fichiers README</t>
  </si>
  <si>
    <t>Intégration difficile, mauvais usage des interfaces</t>
  </si>
  <si>
    <t>Bugs, incohérences entre modules ou composants connectés</t>
  </si>
  <si>
    <t>Rédiger une documentation claire pour chaque interface et la tenir à jour</t>
  </si>
  <si>
    <t>S’assurer que la documentation est revue par le responsable duservice des études ;</t>
  </si>
  <si>
    <t>Validation formelle de la documentation</t>
  </si>
  <si>
    <t>Le responsable du service des études valide-t-il la documentation produite ?</t>
  </si>
  <si>
    <t>PV de validation, mails de validation, grille de relecture</t>
  </si>
  <si>
    <t>Documentation non relue, erreurs non détectées</t>
  </si>
  <si>
    <t>Livrables non conformes ou incomplets validés</t>
  </si>
  <si>
    <t>Mettre en place une étape de relecture/validation formelle par le responsable</t>
  </si>
  <si>
    <t>Traçabilité des revues</t>
  </si>
  <si>
    <t>La relecture par le responsable est-elle tracée et archivée ?</t>
  </si>
  <si>
    <t>Historique des validations, versioning documentaire</t>
  </si>
  <si>
    <t>Absence de preuve de validation</t>
  </si>
  <si>
    <t>Difficulté à auditer, perte de responsabilité</t>
  </si>
  <si>
    <t>Assurer l’archivage systématique des validations et commentaires</t>
  </si>
  <si>
    <t>Qualité de la relecture</t>
  </si>
  <si>
    <t>Le responsable vérifie-t-il à la fois le fond (contenu) et la forme (présentation, clarté) ?</t>
  </si>
  <si>
    <t>Grilles d’évaluation qualité, annotations, comptes rendus</t>
  </si>
  <si>
    <t>Relecture partielle ou superficielle</t>
  </si>
  <si>
    <t>Défauts de clarté ou d’exactitude non identifiés</t>
  </si>
  <si>
    <t>Fournir des grilles de relecture claires et vérifier leur application</t>
  </si>
  <si>
    <t>Fréquence des revues documentaires</t>
  </si>
  <si>
    <t>La documentation est-elle revue régulièrement tout au long du projet ?</t>
  </si>
  <si>
    <t>Planning de revue, rapports d’avancement</t>
  </si>
  <si>
    <t>Documentation obsolète, non conforme à l’évolution du projet</t>
  </si>
  <si>
    <t>Incohérences, pertes d’informations critiques</t>
  </si>
  <si>
    <t>Intégrer des points de contrôle documentaires à chaque jalon projet</t>
  </si>
  <si>
    <t>Retour structuré après revue</t>
  </si>
  <si>
    <t>Des retours structurés sont-ils donnés suite à la revue par le responsable des études ?</t>
  </si>
  <si>
    <t>Comptes rendus, liste de corrections demandées</t>
  </si>
  <si>
    <t>Remarques orales perdues, manque de suivi</t>
  </si>
  <si>
    <t>Non prise en compte des remarques, répétition des erreurs</t>
  </si>
  <si>
    <t>Formaliser les retours et assurer le suivi de leur prise en compte dans les livrables</t>
  </si>
  <si>
    <t>S’assurer qu’il existe un programme général de tests formalisé ;</t>
  </si>
  <si>
    <t>Existence d’un plan de tests global</t>
  </si>
  <si>
    <t>Un programme général de tests est-il défini et documenté pour le projet ?</t>
  </si>
  <si>
    <t>Plan de tests, cahier de recettes, matrice de couverture</t>
  </si>
  <si>
    <t>Tests improvisés, oubli de cas critiques</t>
  </si>
  <si>
    <t>Détection tardive des anomalies, livrables non conformes</t>
  </si>
  <si>
    <t>Élaborer un plan de tests détaillé couvrant toutes les fonctionnalités clés</t>
  </si>
  <si>
    <t>Couverture des cas de tests</t>
  </si>
  <si>
    <t>Le programme couvre-t-il tous les scénarios fonctionnels, techniques et d’exception ?</t>
  </si>
  <si>
    <t>Matrice de couverture, cas de tests détaillés</t>
  </si>
  <si>
    <t>Oublis de cas importants, validation incomplète</t>
  </si>
  <si>
    <t>Risque de mise en production de fonctionnalités instables</t>
  </si>
  <si>
    <t>Vérifier la couverture des cas avec les parties prenantes et actualiser régulièrement</t>
  </si>
  <si>
    <t>Responsabilités de test clairement définies</t>
  </si>
  <si>
    <t>Les rôles pour la rédaction, l’exécution et le suivi des tests sont-ils bien identifiés ?</t>
  </si>
  <si>
    <t>RACI, organigramme de test, procédure de gestion des anomalies</t>
  </si>
  <si>
    <t>Retards ou blocages dans l’exécution des tests</t>
  </si>
  <si>
    <t>Définir précisément les rôles liés aux tests et les intégrer au plan projet</t>
  </si>
  <si>
    <t>Validation du programme de tests</t>
  </si>
  <si>
    <t>Le programme de tests a-t-il été validé par les acteurs clés du projet (MOA, QA, etc.) ?</t>
  </si>
  <si>
    <t>PV de validation, mails de confirmation</t>
  </si>
  <si>
    <t>Tests non adaptés aux attentes des utilisateurs</t>
  </si>
  <si>
    <t>Inadéquation entre les besoins métier et les cas testés</t>
  </si>
  <si>
    <t>Faire valider le programme par toutes les parties prenantes</t>
  </si>
  <si>
    <t>Mise à jour du programme en fonction des évolutions</t>
  </si>
  <si>
    <t>Le plan de tests est-il mis à jour lorsqu’il y a des changements dans le périmètre ?</t>
  </si>
  <si>
    <t>Historique des versions, backlog de tests</t>
  </si>
  <si>
    <t>Non prise en compte des évolutions</t>
  </si>
  <si>
    <t>Cas de tests obsolètes, couverture insuffisante</t>
  </si>
  <si>
    <t>Mettre à jour le programme à chaque itération ou changement de périmètre</t>
  </si>
  <si>
    <t>Tests et recettes</t>
  </si>
  <si>
    <t xml:space="preserve">S’assurer que la MOE réalise des tests </t>
  </si>
  <si>
    <t>Implication de la MOE dans les tests</t>
  </si>
  <si>
    <t>La MOE réalise-t-elle des tests techniques et fonctionnels sur les livrables développés ?</t>
  </si>
  <si>
    <t>Rapports de tests MOE, comptes rendus de validation interne</t>
  </si>
  <si>
    <t>Tests non réalisés ou partiels, défauts non détectés</t>
  </si>
  <si>
    <t>Mise en production de livrables non conformes ou instables</t>
  </si>
  <si>
    <t>Intégrer formellement la MOE dans le processus de tests avec des obligations claires</t>
  </si>
  <si>
    <t>Traçabilité des tests effectués par la MOE</t>
  </si>
  <si>
    <t>Les résultats des tests réalisés par la MOE sont-ils documentés et archivés ?</t>
  </si>
  <si>
    <t>Procès-verbaux, fiches de tests, outil de gestion de tickets</t>
  </si>
  <si>
    <t>Absence de preuves de test, manque de suivi des corrections</t>
  </si>
  <si>
    <t>Difficulté à justifier la qualité ou à corriger des anomalies</t>
  </si>
  <si>
    <t>Archiver systématiquement les résultats de test dans un référentiel partagé</t>
  </si>
  <si>
    <t>Périmètre des tests MOE défini</t>
  </si>
  <si>
    <t>Le périmètre des tests à la charge de la MOE est-il formalisé (unitaires, intégration…) ?</t>
  </si>
  <si>
    <t>Plan de tests MOE, cahier de tests</t>
  </si>
  <si>
    <t>Zones non testées, responsabilités floues</t>
  </si>
  <si>
    <t>Défauts non couverts, confusion entre MOE et MOA</t>
  </si>
  <si>
    <t>Définir clairement le périmètre de tests MOE dans le plan qualité ou plan projet</t>
  </si>
  <si>
    <t>Coordination avec la MOA pour les tests</t>
  </si>
  <si>
    <t>Les tests MOE sont-ils réalisés en coordination avec les tests de la MOA ?</t>
  </si>
  <si>
    <t>Planning de tests croisés, PV de réunions</t>
  </si>
  <si>
    <t>Doublons, oublis ou divergences entre tests MOE/MOA</t>
  </si>
  <si>
    <t>Incohérences dans les validations, retard dans le planning</t>
  </si>
  <si>
    <t>Organiser des points de coordination réguliers entre MOE et MOA</t>
  </si>
  <si>
    <t>Correction des anomalies détectées par la MOE</t>
  </si>
  <si>
    <t>Les anomalies détectées par la MOE sont-elles tracées et corrigées avant la livraison ?</t>
  </si>
  <si>
    <t>Registre des anomalies, outils de suivi</t>
  </si>
  <si>
    <t>Livraison de livrables avec anomalies connues</t>
  </si>
  <si>
    <t>Insatisfaction client, coûts de correction élevés post-livraison</t>
  </si>
  <si>
    <t>Suivre rigoureusement le traitement des anomalies jusqu’à résolution complète</t>
  </si>
  <si>
    <t>S’assurer que la MOE s'assure que chacun des composants del'application fonctionne tel qu'il a été décrit dans le dossier de spécifications</t>
  </si>
  <si>
    <t>Validation des composants par la MOE</t>
  </si>
  <si>
    <t>La MOE vérifie-t-elle systématiquement le fonctionnement de chaque composant ?</t>
  </si>
  <si>
    <t>Rapports de tests unitaires, journal d'exécution</t>
  </si>
  <si>
    <t>Composants défectueux livrés sans validation</t>
  </si>
  <si>
    <t>Mauvais fonctionnement de l’application, erreurs critiques</t>
  </si>
  <si>
    <t>Mettre en place une validation obligatoire de chaque composant par la MOE</t>
  </si>
  <si>
    <t>Conformité avec les spécifications</t>
  </si>
  <si>
    <t>Les composants sont-ils testés pour s’assurer qu’ils répondent aux exigences du dossier de spécifications ?</t>
  </si>
  <si>
    <t>Cahier des charges, matrice de conformité</t>
  </si>
  <si>
    <t>Écarts entre le développement et les spécifications</t>
  </si>
  <si>
    <t>Fonctionnalités manquantes ou incorrectes</t>
  </si>
  <si>
    <t>Utiliser une matrice de traçabilité entre spécifications et résultats de tests</t>
  </si>
  <si>
    <t>Traçabilité des validations de composants</t>
  </si>
  <si>
    <t>Les résultats des tests sur les composants sont-ils tracés et conservés ?</t>
  </si>
  <si>
    <t>Registres de tests, outils de gestion de tickets</t>
  </si>
  <si>
    <t>Difficulté de vérification postérieure ou lors d’un audit</t>
  </si>
  <si>
    <t>Impossibilité d’assurer la qualité ou de corriger les erreurs rapidement</t>
  </si>
  <si>
    <t>Documenter systématiquement chaque test de composant et archiver les résultats</t>
  </si>
  <si>
    <t>Responsabilité assignée pour les validations</t>
  </si>
  <si>
    <t>Des personnes spécifiques de la MOE sont-elles désignées pour valider chaque type de composant ?</t>
  </si>
  <si>
    <t>RACI, fiche de répartition des rôles</t>
  </si>
  <si>
    <t>Validation oubliée ou incomplète</t>
  </si>
  <si>
    <t>Risques de non-conformité technique ou fonctionnelle</t>
  </si>
  <si>
    <t>Assigner des responsabilités claires dans le plan de validation</t>
  </si>
  <si>
    <t>Mise à jour en cas d’évolution des spécifications</t>
  </si>
  <si>
    <t>Les tests de composants sont-ils mis à jour en cas de modification du dossier de spécifications ?</t>
  </si>
  <si>
    <t>Historique des modifications, versionning</t>
  </si>
  <si>
    <t>Tests obsolètes, incohérences dans les livrables</t>
  </si>
  <si>
    <t>Livraison de composants non alignés avec les derniers besoins</t>
  </si>
  <si>
    <t>Mettre à jour les cas de test à chaque changement dans les spécifications</t>
  </si>
  <si>
    <t>S’assurer que la MOE réalise des tests sur l'ensemble descomposants de l'application sur le plan fonctionnel et technique</t>
  </si>
  <si>
    <t>Réalisation des tests par la MOE</t>
  </si>
  <si>
    <t>La MOE réalise-t-elle des tests techniques et fonctionnels sur tous les composants ?</t>
  </si>
  <si>
    <t>Rapports de tests, fiches de validation, outils de gestion des anomalies</t>
  </si>
  <si>
    <t>Composants non testés ou partiellement testés</t>
  </si>
  <si>
    <t>Risques d’erreurs en production, régressions non détectées</t>
  </si>
  <si>
    <t>Intégrer les tests MOE comme une étape obligatoire avant toute livraison</t>
  </si>
  <si>
    <t>Couverture des tests MOE</t>
  </si>
  <si>
    <t>Tous les aspects techniques et fonctionnels sont-ils couverts dans les tests ?</t>
  </si>
  <si>
    <t>Matrice de couverture, plan de tests MOE</t>
  </si>
  <si>
    <t>Fonctionnalités ou cas limites non vérifiés</t>
  </si>
  <si>
    <t>Mauvaise expérience utilisateur, instabilité du système</t>
  </si>
  <si>
    <t>Compléter les matrices de test avec des cas techniques et fonctionnels exhaustifs</t>
  </si>
  <si>
    <t>Traçabilité des tests réalisés</t>
  </si>
  <si>
    <t>Les résultats de tous les tests sont-ils archivés et traçables ?</t>
  </si>
  <si>
    <t>Journal de tests, tableau de bord qualité</t>
  </si>
  <si>
    <t>Difficultés d’audit, anomalies non suivies</t>
  </si>
  <si>
    <t>Incohérences entre les tests réalisés et les livrables produits</t>
  </si>
  <si>
    <t>Centraliser les résultats de test dans un référentiel accessible</t>
  </si>
  <si>
    <t>Mise à jour des tests en cas d’évolution</t>
  </si>
  <si>
    <t>Les tests MOE sont-ils mis à jour en cas de modification des composants ou spécifications ?</t>
  </si>
  <si>
    <t>Cahier des évolutions, versioning des cas de tests</t>
  </si>
  <si>
    <t>Tests obsolètes, risques de non-conformité</t>
  </si>
  <si>
    <t>Régression fonctionnelle, non-alignement avec les attentes client</t>
  </si>
  <si>
    <t>Mettre à jour les cas de test après chaque modification fonctionnelle</t>
  </si>
  <si>
    <t>Validation des résultats de test par la MOE</t>
  </si>
  <si>
    <t>Les résultats de test sont-ils analysés et validés par la MOE avant la livraison ?</t>
  </si>
  <si>
    <t>PV de validation, tableaux de suivi des anomalies</t>
  </si>
  <si>
    <t>Livraisons précipitées sans vérification suffisante</t>
  </si>
  <si>
    <t>Réclamations, refonte de composants, surcoûts projet</t>
  </si>
  <si>
    <t>Exiger une validation formelle des tests MOE avant toute mise en production</t>
  </si>
  <si>
    <t>S’assurer que la MOE réalise des tests sur les interfaces del'application dans le SI</t>
  </si>
  <si>
    <t>Tests des interfaces par la MOE</t>
  </si>
  <si>
    <t>La MOE effectue-t-elle des tests spécifiques sur les interfaces de l'application dans le SI ?</t>
  </si>
  <si>
    <t>Plan de test des interfaces, journaux de tests, PV de validation</t>
  </si>
  <si>
    <t>Interfaces non testées, problèmes de communication entre applications</t>
  </si>
  <si>
    <t>Dysfonctionnements lors des échanges de données entre systèmes</t>
  </si>
  <si>
    <t>Intégrer systématiquement des tests d'interfaces dans la phase de validation technique</t>
  </si>
  <si>
    <t>Vérification des flux de données inter-applicatifs</t>
  </si>
  <si>
    <t>Les flux échangés entre l’application et les autres systèmes sont-ils testés et validés ?</t>
  </si>
  <si>
    <t>Scénarios de test des flux, schémas d’échanges, fichiers logs</t>
  </si>
  <si>
    <t>Données perdues, mal interprétées ou non transmises</t>
  </si>
  <si>
    <t>Perte d’informations, incohérences dans le SI global</t>
  </si>
  <si>
    <t>Tester les cas de flux normaux, limites, erreurs, rejets</t>
  </si>
  <si>
    <t>Validation des protocoles d’échange</t>
  </si>
  <si>
    <t>Les protocoles utilisés (API, Webservices, messages…) sont-ils conformes et testés ?</t>
  </si>
  <si>
    <t>Documentation technique, en-têtes de requêtes, réponses simulées</t>
  </si>
  <si>
    <t>Incompatibilités, erreurs silencieuses</t>
  </si>
  <si>
    <t>Défauts invisibles mais critiques dans l’intégration</t>
  </si>
  <si>
    <t>Valider le respect des formats, des standards et des délais d’échange</t>
  </si>
  <si>
    <t>Robustesse des interfaces</t>
  </si>
  <si>
    <t>Les interfaces sont-elles testées en conditions dégradées ou limites ?</t>
  </si>
  <si>
    <t>Rapports de tests de charge ou de stress</t>
  </si>
  <si>
    <t>Interfaces instables ou non résilientes</t>
  </si>
  <si>
    <t>Plantages en production, perte de connectivité</t>
  </si>
  <si>
    <t>Intégrer des tests de robustesse et d’erreur pour les interfaces clés</t>
  </si>
  <si>
    <t>Suivi des anomalies d’interfaces</t>
  </si>
  <si>
    <t>Les anomalies détectées sur les interfaces sont-elles tracées et corrigées avant livraison ?</t>
  </si>
  <si>
    <t>Registre des anomalies, outil de suivi, versions correctives</t>
  </si>
  <si>
    <t>Interfaces livrées avec défauts connus</t>
  </si>
  <si>
    <t>Réclamations utilisateurs, instabilité applicative</t>
  </si>
  <si>
    <t>Mettre en place une gestion stricte des anomalies sur les interfaces</t>
  </si>
  <si>
    <t>S’assurer que des tests utilisateurs sont réalisés ;</t>
  </si>
  <si>
    <t>Organisation des tests utilisateurs</t>
  </si>
  <si>
    <t>Des tests utilisateurs (recette fonctionnelle) sont-ils formellement prévus ?</t>
  </si>
  <si>
    <t>Plan de recette, planning de tests, cahier de tests</t>
  </si>
  <si>
    <t>Tests non réalisés ou incomplets</t>
  </si>
  <si>
    <t>Non-conformité aux besoins métiers, rejet du système</t>
  </si>
  <si>
    <t>Planifier une campagne de tests utilisateurs avec des cas concrets validés en amont</t>
  </si>
  <si>
    <t>Implication des utilisateurs clés</t>
  </si>
  <si>
    <t>Les utilisateurs finaux participent-ils activement aux tests ?</t>
  </si>
  <si>
    <t>Liste des participants, comptes-rendus de sessions de tests</t>
  </si>
  <si>
    <t>Tests non représentatifs de l’usage réel</t>
  </si>
  <si>
    <t>Acceptation difficile, ajustements tardifs et coûteux</t>
  </si>
  <si>
    <t>Sélectionner un panel représentatif d’utilisateurs finaux pour la phase de tests</t>
  </si>
  <si>
    <t>Formalisation des résultats des tests</t>
  </si>
  <si>
    <t>Les résultats des tests utilisateurs sont-ils formellement documentés et analysés ?</t>
  </si>
  <si>
    <t>Cahier de recette rempli, PV de recette</t>
  </si>
  <si>
    <t>Absence de preuve de validation utilisateur</t>
  </si>
  <si>
    <t>Ambiguïtés sur la conformité du livrable, risques juridiques</t>
  </si>
  <si>
    <t>Utiliser des formulaires de test standardisés et recueillir les validations formelles</t>
  </si>
  <si>
    <t>Traitement des anomalies détectées</t>
  </si>
  <si>
    <t>Les anomalies identifiées lors des tests utilisateurs sont-elles corrigées et revalidées ?</t>
  </si>
  <si>
    <t>Registre des anomalies, suivi des corrections</t>
  </si>
  <si>
    <t>Bugs non corrigés avant mise en production</t>
  </si>
  <si>
    <t>Perte de confiance, réclamations, surcoûts en maintenance</t>
  </si>
  <si>
    <t>Mettre en place un circuit clair de remontée, traitement et revalidation des anomalies</t>
  </si>
  <si>
    <t>Validation finale avant mise en production</t>
  </si>
  <si>
    <t>La validation utilisateur est-elle obligatoire avant toute mise en production ?</t>
  </si>
  <si>
    <t>PV de recette signé, tableau de conformité</t>
  </si>
  <si>
    <t>Mise en production prématurée ou non validée par le métier</t>
  </si>
  <si>
    <t>Rejet du système, retour arrière, atteinte à la crédibilité du projet</t>
  </si>
  <si>
    <t>Intégrer la signature du PV de recette comme prérequis à toute mise en production</t>
  </si>
  <si>
    <t xml:space="preserve">S’assurer que les tests portent sur l'adéquation de l'applicationlivrée par la MOE avec les besoins exprimés par la MOA </t>
  </si>
  <si>
    <t>Alignement des tests avec les besoins MOA</t>
  </si>
  <si>
    <t>Les tests vérifient-ils explicitement l’adéquation entre l’application et les besoins exprimés ?</t>
  </si>
  <si>
    <t>Cahier des charges, plan de tests, matrice de traçabilité</t>
  </si>
  <si>
    <t>Décalage entre les attentes métier et la solution livrée</t>
  </si>
  <si>
    <t>Insatisfaction des utilisateurs, rejet de la solution</t>
  </si>
  <si>
    <t>Construire les tests à partir des exigences exprimées dans le cahier des charges</t>
  </si>
  <si>
    <t>Utilisation d'une matrice de traçabilité</t>
  </si>
  <si>
    <t>Existe-t-il une matrice de traçabilité entre les besoins MOA et les cas de test ?</t>
  </si>
  <si>
    <t>Matrice de traçabilité, cahier de tests, spécifications validées</t>
  </si>
  <si>
    <t>Besoins oubliés ou mal couverts</t>
  </si>
  <si>
    <t>Oublis fonctionnels, pertes de fonctionnalités essentielles</t>
  </si>
  <si>
    <t>Mettre à jour la matrice de traçabilité tout au long du projet</t>
  </si>
  <si>
    <t>Participation de la MOA aux validations</t>
  </si>
  <si>
    <t>La MOA valide-t-elle les scénarios de test et les résultats ?</t>
  </si>
  <si>
    <t>PV de validation, comptes rendus de recette, planning de validation</t>
  </si>
  <si>
    <t>Recette non représentative des besoins réels</t>
  </si>
  <si>
    <t>Remises en cause tardives, correctifs coûteux</t>
  </si>
  <si>
    <t>Impliquer la MOA dans la validation de bout en bout</t>
  </si>
  <si>
    <t>Clarté des cas de test par rapport aux exigences</t>
  </si>
  <si>
    <t>Les cas de test reflètent-ils clairement les besoins fonctionnels définis ?</t>
  </si>
  <si>
    <t>Cahiers de tests, exigences MOA, cas d’usage</t>
  </si>
  <si>
    <t>Cas de test trop techniques, incompréhensibles pour la MOA</t>
  </si>
  <si>
    <t>Tests inefficaces, mauvaise validation</t>
  </si>
  <si>
    <t>Rédiger les cas de test avec un langage compréhensible et orienté utilisateur</t>
  </si>
  <si>
    <t>Suivi de l’adéquation jusqu’à la livraison</t>
  </si>
  <si>
    <t>Y a-t-il un suivi de conformité fonctionnelle jusqu’à la mise en production ?</t>
  </si>
  <si>
    <t>Rapport final de conformité, checklist de validation</t>
  </si>
  <si>
    <t>Livraison d'une solution partiellement conforme</t>
  </si>
  <si>
    <t>Reprises tardives, insatisfaction métier</t>
  </si>
  <si>
    <t>Mettre en place une validation finale centrée sur l’alignement avec les besoins MOA</t>
  </si>
  <si>
    <t xml:space="preserve">S’assurer qu’il existe des tests de pré-exploitation </t>
  </si>
  <si>
    <t>Existence de tests de pré-exploitation</t>
  </si>
  <si>
    <t>Des tests de pré-exploitation sont-ils prévus et planifiés avant la mise en production ?</t>
  </si>
  <si>
    <t>Plan de tests de pré-exploitation, planning de validation</t>
  </si>
  <si>
    <t>Mise en production avec des erreurs non détectées</t>
  </si>
  <si>
    <t>Dysfonctionnements en production, interruption du service</t>
  </si>
  <si>
    <t>Mettre en place une phase dédiée aux tests de pré-exploitation dans le cycle de validation</t>
  </si>
  <si>
    <t>Réalisation dans un environnement représentatif</t>
  </si>
  <si>
    <t>Les tests sont-ils effectués dans un environnement identique ou très proche de la production ?</t>
  </si>
  <si>
    <t>Fiche d’environnement, configuration système, rapport de tests</t>
  </si>
  <si>
    <t>Incohérences entre test et réel, tests non fiables</t>
  </si>
  <si>
    <t>Anomalies non reproduites en production, défaut de couverture</t>
  </si>
  <si>
    <t>Dupliquer l’environnement de production pour réaliser les tests de pré-exploitation</t>
  </si>
  <si>
    <t>Vérification des performances et de la stabilité</t>
  </si>
  <si>
    <t>Les tests incluent-ils des vérifications de performance, de charge et de stabilité ?</t>
  </si>
  <si>
    <t>Résultats de tests de performance, journaux système</t>
  </si>
  <si>
    <t>Sous-dimensionnement, instabilité</t>
  </si>
  <si>
    <t>Ralentissements, saturation ou panne du système</t>
  </si>
  <si>
    <t>Intégrer des scénarios de montée en charge et de stress test</t>
  </si>
  <si>
    <t>Validation des chaînes techniques complètes</t>
  </si>
  <si>
    <t>Toutes les chaînes de traitement technique (flux, API, batchs, etc.) sont-elles testées ?</t>
  </si>
  <si>
    <t>Cahiers de test technique, logs d’exécution</t>
  </si>
  <si>
    <t>Fonctionnements partiels ou erreurs en production</t>
  </si>
  <si>
    <t>Traitements bloqués ou erreurs non détectées</t>
  </si>
  <si>
    <t>Tester tous les éléments techniques intégrés dans l’environnement cible</t>
  </si>
  <si>
    <t>Suivi des anomalies et levée des réserves</t>
  </si>
  <si>
    <t>Les anomalies détectées en pré-exploitation sont-elles corrigées avant la mise en production ?</t>
  </si>
  <si>
    <t>Registre des anomalies, PV de levée des réserves</t>
  </si>
  <si>
    <t>Mise en production précipitée avec défauts connus</t>
  </si>
  <si>
    <t>Risques opérationnels majeurs, mécontentement utilisateurs</t>
  </si>
  <si>
    <t>Mettre en place un processus de validation avec levée formelle de toutes les réserves</t>
  </si>
  <si>
    <t xml:space="preserve">S’assurer que ces tests s'assurent de la bonne intégration del'application dans l'environnement de production </t>
  </si>
  <si>
    <t>Tests d'intégration en environnement cible</t>
  </si>
  <si>
    <t>Des tests valident-ils l'intégration complète de l'application dans l’environnement de production ?</t>
  </si>
  <si>
    <t>Plan de tests d’intégration, cahiers de tests, PV de validation</t>
  </si>
  <si>
    <t>Mauvaise interaction avec d’autres systèmes ou composants</t>
  </si>
  <si>
    <t>Dysfonctionnements post-déploiement, instabilité système</t>
  </si>
  <si>
    <t>Prévoir une phase d’intégration dans l’environnement cible avant le go-live</t>
  </si>
  <si>
    <t>Tests de bout en bout sur les processus métiers</t>
  </si>
  <si>
    <t>Les scénarios de test couvrent-ils l'ensemble des processus métiers dans leur globalité ?</t>
  </si>
  <si>
    <t>Scénarios de bout en bout, matrice de validation</t>
  </si>
  <si>
    <t>Incohérences fonctionnelles entre modules ou étapes métiers</t>
  </si>
  <si>
    <t>Non-conformité fonctionnelle, erreurs critiques en exploitation</t>
  </si>
  <si>
    <t>Définir et tester des scénarios complets et transverses avec la MOA</t>
  </si>
  <si>
    <t>Validation des interfaces avec d'autres systèmes</t>
  </si>
  <si>
    <t>Les interactions avec les autres applications ou systèmes (SI, API, ERP…) sont-elles testées ?</t>
  </si>
  <si>
    <t>Rapport de tests d’interfaçage, documentation technique</t>
  </si>
  <si>
    <t>Défaillance des échanges inter-applications</t>
  </si>
  <si>
    <t>Interruption des flux, erreurs de traitement</t>
  </si>
  <si>
    <t>Réaliser des tests d’intégration technique avec les systèmes tiers</t>
  </si>
  <si>
    <t>Tests de sécurité et de conformité environnementale</t>
  </si>
  <si>
    <t>Les règles de sécurité, authentification et conformité sont-elles testées dans l’environnement réel ?</t>
  </si>
  <si>
    <t>Résultats des tests de sécurité, fiches de conformité</t>
  </si>
  <si>
    <t>Accès non sécurisé, vulnérabilités</t>
  </si>
  <si>
    <t>Risques de faille de sécurité ou de non-conformité réglementaire</t>
  </si>
  <si>
    <t>Intégrer les exigences de sécurité dans les plans de tests d’intégration</t>
  </si>
  <si>
    <t>Validation formelle de l’intégration avant mise en production</t>
  </si>
  <si>
    <t>Une validation formelle confirme-t-elle que l’intégration est réussie avant le déploiement ?</t>
  </si>
  <si>
    <t>PV de recette d’intégration, compte-rendu de comité technique</t>
  </si>
  <si>
    <t>Déploiement sans validation complète</t>
  </si>
  <si>
    <t>Dysfonctionnements majeurs, rejet par la DSI ou le métier</t>
  </si>
  <si>
    <t>Intégrer une étape de validation obligatoire avant passage en production</t>
  </si>
  <si>
    <t>S’assurer que l'application est recettée</t>
  </si>
  <si>
    <t>Existence d’une phase de recette formelle</t>
  </si>
  <si>
    <t>Une phase de recette formelle a-t-elle été planifiée et exécutée pour l’application ?</t>
  </si>
  <si>
    <t>PV de recette, planning projet, plan de tests MOA</t>
  </si>
  <si>
    <t>Mise en production d’une application non validée</t>
  </si>
  <si>
    <t>Dysfonctionnements, rejet utilisateur, retours en arrière</t>
  </si>
  <si>
    <t>Intégrer une étape de recette obligatoire dans le cycle de validation</t>
  </si>
  <si>
    <t>Validation par la MOA (Maîtrise d’Ouvrage)</t>
  </si>
  <si>
    <t>La MOA a-t-elle validé les livrables à travers une recette fonctionnelle ?</t>
  </si>
  <si>
    <t>PV de validation MOA, cahier des charges, matrice de conformité</t>
  </si>
  <si>
    <t>Non-conformité avec les attentes métiers</t>
  </si>
  <si>
    <t>Application rejetée ou nécessitant des ajustements majeurs</t>
  </si>
  <si>
    <t>Associer étroitement la MOA aux scénarios de tests et aux validations finales</t>
  </si>
  <si>
    <t>Exhaustivité des cas de test</t>
  </si>
  <si>
    <t>Les cas de test couvrent-ils l’ensemble des fonctionnalités prévues dans le cahier des charges ?</t>
  </si>
  <si>
    <t>Cahier de tests, cahier des charges, plan de validation</t>
  </si>
  <si>
    <t>Fonctionnalités oubliées ou mal testées</t>
  </si>
  <si>
    <t>Gaps fonctionnels, insatisfaction utilisateur</t>
  </si>
  <si>
    <t>Élaborer une matrice de couverture pour s'assurer de la complétude des tests</t>
  </si>
  <si>
    <t>Suivi et résolution des anomalies détectées</t>
  </si>
  <si>
    <t>Les anomalies détectées pendant la recette ont-elles été suivies et corrigées ?</t>
  </si>
  <si>
    <t>Registre des anomalies, rapports de correction</t>
  </si>
  <si>
    <t>Mise en production avec anomalies connues</t>
  </si>
  <si>
    <t>Risques en exploitation, nécessité de patchs ou hotfix</t>
  </si>
  <si>
    <t>Assurer un suivi rigoureux jusqu’à la levée complète des réserves</t>
  </si>
  <si>
    <t>Un PV de recette définitive a-t-il été signé avant le passage en production ?</t>
  </si>
  <si>
    <t>PV de recette, email de validation finale, décision de go-live</t>
  </si>
  <si>
    <t>Mise en production précipitée ou non validée</t>
  </si>
  <si>
    <t>Refus d’adhésion, retour arrière coûteux</t>
  </si>
  <si>
    <t>Formaliser un jalon de recette bloquant toute mise en production sans validation complète</t>
  </si>
  <si>
    <t xml:space="preserve">S’assurer que l'application s'intègre bien dans l'ensemble du SI </t>
  </si>
  <si>
    <t>Cohérence avec l'architecture SI</t>
  </si>
  <si>
    <t>L’application respecte-t-elle les standards et l’architecture globale du SI ?</t>
  </si>
  <si>
    <t>Schéma d’architecture, dossier d’urbanisation SI</t>
  </si>
  <si>
    <t>Incompatibilité, endettement technique</t>
  </si>
  <si>
    <t>Intégration difficile, maintenance complexe, évolutivité réduite</t>
  </si>
  <si>
    <t>Aligner l’architecture applicative avec les normes et référentiels du SI</t>
  </si>
  <si>
    <t>Interfaçage avec les autres applications du SI</t>
  </si>
  <si>
    <t>Les interfaces avec les autres applications sont-elles définies, testées et documentées ?</t>
  </si>
  <si>
    <t>Dossier d’interfaces, cahiers de test d’interfaçage</t>
  </si>
  <si>
    <t>Échanges de données incohérents ou interrompus</t>
  </si>
  <si>
    <t>Perte ou corruption de données, rupture de processus</t>
  </si>
  <si>
    <t>Documenter, tester et sécuriser toutes les interfaces applicatives</t>
  </si>
  <si>
    <t>Gestion des flux de données</t>
  </si>
  <si>
    <t>La gestion des flux de données (entrants/sortants) est-elle conforme aux exigences SI ?</t>
  </si>
  <si>
    <t>Modèles de données, schémas d’échanges, logs de flux</t>
  </si>
  <si>
    <t>Désynchronisation, lenteur, saturation réseau</t>
  </si>
  <si>
    <t>Données obsolètes, erreurs de traitement, impact sur la qualité des services</t>
  </si>
  <si>
    <t>Optimiser et sécuriser les échanges de données avec les autres briques du SI</t>
  </si>
  <si>
    <t>Interopérabilité technique et fonctionnelle</t>
  </si>
  <si>
    <t>L’application est-elle capable de dialoguer efficacement avec les autres composants SI ?</t>
  </si>
  <si>
    <t>Spécifications techniques, résultats de tests d’intégration</t>
  </si>
  <si>
    <t>Isolation du système, besoin de développements spécifiques</t>
  </si>
  <si>
    <t>Double saisie, baisse de productivité, incohérences</t>
  </si>
  <si>
    <t>Utiliser des standards d’échange ouverts (API REST, Web Services, etc.)</t>
  </si>
  <si>
    <t>Prise en compte des contraintes du SI existant</t>
  </si>
  <si>
    <t>Les contraintes techniques (sécurité, performances, gouvernance) du SI ont-elles été prises en compte ?</t>
  </si>
  <si>
    <t>Dossier de sécurité, règles d’urbanisation SI, procédures ITSM</t>
  </si>
  <si>
    <t>Conflit avec les normes ou outils en place</t>
  </si>
  <si>
    <t>Rejet du système par la DSI, incidents de sécurité, coûts de remédiation</t>
  </si>
  <si>
    <t>Associer l’urbaniste ou architecte SI dès les phases de</t>
  </si>
  <si>
    <t>Conduite du changement et mise en œuvre</t>
  </si>
  <si>
    <t>S’assurer qu’il existe une synthèse de l'évaluation des changements</t>
  </si>
  <si>
    <t>Existence d’une synthèse formelle des changements</t>
  </si>
  <si>
    <t>Une synthèse de l'évaluation des changements a-t-elle été réalisée et documentée ?</t>
  </si>
  <si>
    <t>Synthèse d’évaluation, rapport de suivi des changements</t>
  </si>
  <si>
    <t>Absence de vision globale, mauvaises décisions de suivi</t>
  </si>
  <si>
    <t>Manque de contrôle sur les impacts, incohérence dans la gestion du changement</t>
  </si>
  <si>
    <t>Assurer une évaluation centralisée de tous les changements majeurs et leur impact global</t>
  </si>
  <si>
    <t>Prise en compte des impacts sur le projet</t>
  </si>
  <si>
    <t>Les impacts des changements sur le planning, les coûts, et les ressources ont-ils été évalués ?</t>
  </si>
  <si>
    <t>Rapport d’impact, tableau de suivi des coûts et ressources</t>
  </si>
  <si>
    <t>Surcoûts non anticipés, dérive des délais</t>
  </si>
  <si>
    <t>Retard dans la livraison, surcoûts imprévus</t>
  </si>
  <si>
    <t>Documenter chaque changement avec une analyse complète de ses répercussions sur le projet</t>
  </si>
  <si>
    <t>Identification des risques associés aux changements</t>
  </si>
  <si>
    <t>Les risques associés aux changements ont-ils été identifiés et évalués ?</t>
  </si>
  <si>
    <t>Liste des risques, plan de mitigation, tableau des risques</t>
  </si>
  <si>
    <t>Risques ignorés ou mal gérés, décisions hâtives</t>
  </si>
  <si>
    <t>Échec de la mise en œuvre des changements, risque de non-conformité</t>
  </si>
  <si>
    <t>Effectuer une analyse de risques systématique pour chaque changement majeur</t>
  </si>
  <si>
    <t>Suivi et gestion des changements post-évaluation</t>
  </si>
  <si>
    <t>Un suivi des changements est-il effectué après leur mise en œuvre pour évaluer les résultats ?</t>
  </si>
  <si>
    <t>Tableau de suivi des changements, rapports d’évaluation post-implémentation</t>
  </si>
  <si>
    <t>Problèmes non détectés tardivement, manque de réactivité</t>
  </si>
  <si>
    <t>Problèmes persistants, non-remédiation rapide</t>
  </si>
  <si>
    <t>Mettre en place un mécanisme de suivi post-implémentation rigoureux pour chaque changement</t>
  </si>
  <si>
    <t>S’assurer que l'évaluation des changements a été validée ;</t>
  </si>
  <si>
    <t>Validation formelle de l’évaluation des changements</t>
  </si>
  <si>
    <t>L’évaluation des changements a-t-elle été formellement validée par les parties prenantes ?</t>
  </si>
  <si>
    <t>PV de validation, courriels de confirmation, décisions formelles</t>
  </si>
  <si>
    <t>Validation manquante, manque d’adhésion des parties prenantes</t>
  </si>
  <si>
    <t>Manque de contrôle, conflits sur les priorités ou la direction du projet</t>
  </si>
  <si>
    <t>Formaliser un processus de validation avec des dates et des acteurs clairement définis</t>
  </si>
  <si>
    <t>Alignement avec les objectifs du projet</t>
  </si>
  <si>
    <t>L’évaluation des changements a-t-elle été comparée aux objectifs initiaux du projet ?</t>
  </si>
  <si>
    <t>Rapport d’évaluation, tableau de suivi des objectifs du projet</t>
  </si>
  <si>
    <t>Non-alignement, dérive par rapport aux objectifs stratégiques</t>
  </si>
  <si>
    <t>Désalignement des actions, perte de vision sur la stratégie du projet</t>
  </si>
  <si>
    <t>Vérifier que chaque changement soutient bien les objectifs globaux du projet</t>
  </si>
  <si>
    <t>Impliquation des parties prenantes clés dans la validation</t>
  </si>
  <si>
    <t>Les parties prenantes pertinentes ont-elles été impliquées dans la validation des changements ?</t>
  </si>
  <si>
    <t>Liste des parties prenantes, PV de réunion de validation</t>
  </si>
  <si>
    <t>Absence d’implication des acteurs clés, décisions isolées</t>
  </si>
  <si>
    <t>Décisions déconnectées des besoins réels, désengagement</t>
  </si>
  <si>
    <t>Associer systématiquement les parties prenantes majeures à l’évaluation des changements</t>
  </si>
  <si>
    <t>Suivi de l’acceptation des changements validés</t>
  </si>
  <si>
    <t>Un suivi a-t-il été effectué pour garantir l’acceptation des changements validés ?</t>
  </si>
  <si>
    <t>Plan de suivi des changements, rapport d’acceptation</t>
  </si>
  <si>
    <t>Manque de suivi, changements rejetés en cours de projet</t>
  </si>
  <si>
    <t>Retards, conflits internes, changement partiellement implémenté</t>
  </si>
  <si>
    <t>Mettre en place un suivi post-validation pour garantir l’adhésion à la solution</t>
  </si>
  <si>
    <t>Communication claire sur la validation des changements</t>
  </si>
  <si>
    <t>La validation des changements a-t-elle été clairement communiquée à toutes les parties concernées ?</t>
  </si>
  <si>
    <t>Mémos de communication, courriels de confirmation, PV de réunion</t>
  </si>
  <si>
    <t>Manque de communication, incompréhension des objectifs ou des priorités</t>
  </si>
  <si>
    <t>Confusion, retards, erreurs de mise en œuvre</t>
  </si>
  <si>
    <t>Assurer une communication claire et rapide avec toutes les parties prenantes</t>
  </si>
  <si>
    <t xml:space="preserve">S’assurer que les entretiens réalisés sont représentatifs </t>
  </si>
  <si>
    <t>Sélection des participants aux entretiens</t>
  </si>
  <si>
    <t>Les participants aux entretiens ont-ils été sélectionnés de manière représentative des parties prenantes ?</t>
  </si>
  <si>
    <t>Liste des participants, PV de sélection des participants</t>
  </si>
  <si>
    <t>Biais dans la sélection, représentativité insuffisante</t>
  </si>
  <si>
    <t>Résultats non représentatifs, décisions erronées</t>
  </si>
  <si>
    <t>S’assurer que les participants couvrent toutes les parties prenantes majeures</t>
  </si>
  <si>
    <t>Diversité des profils interviewés</t>
  </si>
  <si>
    <t>Les profils des personnes interviewées sont-ils diversifiés pour couvrir tous les aspects du projet ?</t>
  </si>
  <si>
    <t>Liste des profils, analyse des écarts de couverture des profils</t>
  </si>
  <si>
    <t>Sous-représentation de certains groupes ou acteurs clés</t>
  </si>
  <si>
    <t>Incohérences dans les résultats, manque de diversité des retours</t>
  </si>
  <si>
    <t>Intégrer différents types de profils selon les expertises, les rôles et les départements</t>
  </si>
  <si>
    <t>Méthode de collecte des informations</t>
  </si>
  <si>
    <t>La méthode utilisée pour collecter les informations (questions, format d’entretien) est-elle adaptée ?</t>
  </si>
  <si>
    <t>Guide d’entretien, fiches de synthèse d’entretien</t>
  </si>
  <si>
    <t>Collecte biaisée, questions mal adaptées ou mal formulées</t>
  </si>
  <si>
    <t>Réponses peu fiables, manque de cohérence dans l’analyse des retours</t>
  </si>
  <si>
    <t>Valider les méthodes de collecte pour garantir la pertinence et la précision des réponses</t>
  </si>
  <si>
    <t>Équilibre des entretiens dans le temps et les sujets abordés</t>
  </si>
  <si>
    <t>Les entretiens couvrent-ils tous les aspects importants du projet de manière équilibrée ?</t>
  </si>
  <si>
    <t>Compte-rendu des entretiens, grille d’analyse des thèmes abordés</t>
  </si>
  <si>
    <t>Sur-représentation de certains sujets, négligence d’autres éléments clés</t>
  </si>
  <si>
    <t>Vision partielle du projet, décisions biaisées</t>
  </si>
  <si>
    <t>Assurer un cadre d’entretien équilibré, avec une couverture exhaustive des sujets pertinents</t>
  </si>
  <si>
    <t>Analyse et validation des résultats des entretiens</t>
  </si>
  <si>
    <t>Les résultats des entretiens ont-ils été analysés et validés par des parties prenantes ou des experts ?</t>
  </si>
  <si>
    <t>Synthèse des résultats, retour des parties prenantes sur les conclusions</t>
  </si>
  <si>
    <t>Interprétation erronée, conclusions non validées</t>
  </si>
  <si>
    <t>Décisions non informées, manque d’adhésion sur les résultats</t>
  </si>
  <si>
    <t>Faire valider les résultats par les parties prenantes et experts avant d’agir sur les conclusions</t>
  </si>
  <si>
    <t>S’assurer que les utilisateurs participent à l'évaluation des changements</t>
  </si>
  <si>
    <t>Implication des utilisateurs dans le processus d’évaluation</t>
  </si>
  <si>
    <t>Les utilisateurs ont-ils été impliqués dès le début du processus d’évaluation des changements ?</t>
  </si>
  <si>
    <t>Liste des utilisateurs impliqués, PV des réunions de validation</t>
  </si>
  <si>
    <t>Manque d’implication des utilisateurs, évaluation partielle</t>
  </si>
  <si>
    <t>Manque d'adhésion des utilisateurs, risque de rejet des changements</t>
  </si>
  <si>
    <t>Inclure des représentants des utilisateurs dans toutes les étapes d’évaluation des changements</t>
  </si>
  <si>
    <t>Méthode de collecte des retours des utilisateurs</t>
  </si>
  <si>
    <t>Des retours ont-ils été collectés auprès des utilisateurs de manière structurée et formalisée ?</t>
  </si>
  <si>
    <t>Questionnaire d’évaluation, synthèse des retours utilisateurs</t>
  </si>
  <si>
    <t>Collecte informelle ou mal structurée, retour incomplet</t>
  </si>
  <si>
    <t>Informations insuffisantes pour l’évaluation, non-prise en compte de besoins cruciaux</t>
  </si>
  <si>
    <t>Utiliser des outils structurés (questionnaires, interviews) pour recueillir les retours des utilisateurs</t>
  </si>
  <si>
    <t>Représentation des différents types d’utilisateurs</t>
  </si>
  <si>
    <t>Les différents types d’utilisateurs ont-ils été représentés dans le processus d’évaluation ?</t>
  </si>
  <si>
    <t>Liste des utilisateurs par type, analyse des groupes sous-représentés</t>
  </si>
  <si>
    <t>Sous-représentation de certains types d’utilisateurs</t>
  </si>
  <si>
    <t>Résultats biaisés, non-prise en compte des besoins variés des utilisateurs</t>
  </si>
  <si>
    <t>Veiller à inclure des utilisateurs de différents niveaux, départements, et profils</t>
  </si>
  <si>
    <t>Validation des résultats par les utilisateurs</t>
  </si>
  <si>
    <t>Les résultats de l’évaluation ont-ils été validés ou commentés par les utilisateurs ?</t>
  </si>
  <si>
    <t>Synthèse des résultats, feedback des utilisateurs sur les conclusions</t>
  </si>
  <si>
    <t>Décisions basées sur des résultats non validés, mauvaise interprétation</t>
  </si>
  <si>
    <t>Mauvaise compréhension des besoins réels des utilisateurs</t>
  </si>
  <si>
    <t>Mettre en place un mécanisme de validation par les utilisateurs sur les conclusions finales</t>
  </si>
  <si>
    <t>Les résultats de l’évaluation ont-ils été communiqués aux utilisateurs de manière transparente ?</t>
  </si>
  <si>
    <t>Rapport de communication, PV de réunion de partage des résultats</t>
  </si>
  <si>
    <t>Manque de transparence, confusion chez les utilisateurs</t>
  </si>
  <si>
    <t>Désengagement des utilisateurs, réticence à accepter les changements</t>
  </si>
  <si>
    <t>Assurer une communication claire et transparente des résultats auprès des utilisateurs</t>
  </si>
  <si>
    <t>S’assurer qu’il existe un plan de communication complet</t>
  </si>
  <si>
    <t>Existence d'un plan de communication formalisé</t>
  </si>
  <si>
    <t>Existe-t-il un plan de communication documenté et formalisé pour le projet ?</t>
  </si>
  <si>
    <t>Plan de communication, calendrier de communication, organigramme de diffusion</t>
  </si>
  <si>
    <t>Absence de plan, communication désorganisée, perte d’informations</t>
  </si>
  <si>
    <t>Mauvaise gestion des informations, confusion parmi les parties prenantes</t>
  </si>
  <si>
    <t>Formaliser un plan de communication avec des objectifs, une stratégie et des outils définis</t>
  </si>
  <si>
    <t>Clarté des objectifs de communication</t>
  </si>
  <si>
    <t>Les objectifs de communication sont-ils clairement définis et alignés avec le projet ?</t>
  </si>
  <si>
    <t>Document d’objectifs de communication, tableau de suivi des objectifs</t>
  </si>
  <si>
    <t>Objectifs flous, manque de lien avec les attentes des parties prenantes</t>
  </si>
  <si>
    <t>Mauvaise orientation de la communication, informations non pertinentes</t>
  </si>
  <si>
    <t>Définir clairement les objectifs de communication, avec des indicateurs mesurables</t>
  </si>
  <si>
    <t>Cible et segmentation des parties prenantes</t>
  </si>
  <si>
    <t>Les parties prenantes ont-elles été correctement identifiées et segmentées dans le plan de communication ?</t>
  </si>
  <si>
    <t>Liste des parties prenantes, analyse de segmentation</t>
  </si>
  <si>
    <t>Parties prenantes non identifiées ou mal segmentées</t>
  </si>
  <si>
    <t>Manque d’implication des bonnes personnes, risques de non-adhésion</t>
  </si>
  <si>
    <t>S’assurer que toutes les parties prenantes sont bien identifiées et que la communication est ciblée</t>
  </si>
  <si>
    <t>Fréquence et modes de communication</t>
  </si>
  <si>
    <t>La fréquence et les modes de communication sont-ils adaptés à chaque groupe cible ?</t>
  </si>
  <si>
    <t>Calendrier de communication, plan de diffusion (réunions, emails, etc.)</t>
  </si>
  <si>
    <t>Communication insuffisante ou trop fréquente, surcharge d'informations</t>
  </si>
  <si>
    <t>Engagement réduit, surcharge ou incompréhension des informations</t>
  </si>
  <si>
    <t>Ajuster la fréquence et choisir les bons canaux en fonction des parties prenantes</t>
  </si>
  <si>
    <t>Évaluation et suivi de la communication</t>
  </si>
  <si>
    <t>Des mécanismes d’évaluation et de suivi de la communication ont-ils été définis ?</t>
  </si>
  <si>
    <t>Tableau de suivi, rapports d’évaluation de la communication</t>
  </si>
  <si>
    <t>Manque de suivi, absence de retour d'information sur l’efficacité</t>
  </si>
  <si>
    <t>Échec de l’adoption, mauvaise gestion des retours, manque d’adaptation</t>
  </si>
  <si>
    <t>Intégrer des outils d’évaluation réguliers pour ajuster la stratégie de communication</t>
  </si>
  <si>
    <t>S’assurer que les messages sont clairs et simple</t>
  </si>
  <si>
    <t>Clarté du message</t>
  </si>
  <si>
    <t>Les messages sont-ils formulés de manière simple et compréhensible pour tous les destinataires ?</t>
  </si>
  <si>
    <t>Exemples de messages, rapports de communication</t>
  </si>
  <si>
    <t>Messages trop complexes, jargon, confusion parmi les destinataires</t>
  </si>
  <si>
    <t>Malentendus, mauvaise interprétation des informations</t>
  </si>
  <si>
    <t>Rédiger des messages concis et adaptés au public cible, éviter le jargon inutile</t>
  </si>
  <si>
    <t>Structure des messages</t>
  </si>
  <si>
    <t>Les messages sont-ils structurés de manière logique et fluide ?</t>
  </si>
  <si>
    <t>Exemples de communications, plans de communication</t>
  </si>
  <si>
    <t>Manque de structure, informations éparpillées ou non hiérarchisées</t>
  </si>
  <si>
    <t>Difficulté à saisir les points clés, perte d’attention des destinataires</t>
  </si>
  <si>
    <t>Utiliser une structure claire avec des points principaux en début de message</t>
  </si>
  <si>
    <t>Accessibilité du langage</t>
  </si>
  <si>
    <t>Le langage utilisé est-il accessible pour tous les destinataires, indépendamment de leur niveau d'expertise ?</t>
  </si>
  <si>
    <t>Exemples de messages, retour des parties prenantes</t>
  </si>
  <si>
    <t>Langage trop technique ou compliqué, excluant certains publics</t>
  </si>
  <si>
    <t>Absence d’adhésion, messages incompris par certains groupes</t>
  </si>
  <si>
    <t>Adapter le niveau de langage au public cible, simplifier les termes complexes</t>
  </si>
  <si>
    <t>Adaptation aux différents canaux de communication</t>
  </si>
  <si>
    <t>Les messages sont-ils adaptés à chaque canal de communication (email, réunion, etc.) ?</t>
  </si>
  <si>
    <t>Plan de communication, exemples de messages adaptés par canal</t>
  </si>
  <si>
    <t>Inadaptation des messages aux canaux, perte de clarté dans la diffusion</t>
  </si>
  <si>
    <t>Message mal perçu ou incompris selon le canal utilisé</t>
  </si>
  <si>
    <t>Adapter les messages à chaque canal de communication (format, longueur, ton)</t>
  </si>
  <si>
    <t>Feedback sur la compréhension des messages</t>
  </si>
  <si>
    <t>Des mécanismes sont-ils en place pour obtenir des retours sur la compréhension des messages par les destinataires ?</t>
  </si>
  <si>
    <t>Résultats des sondages, compte-rendu des retours sur la communication</t>
  </si>
  <si>
    <t>Manque de retour sur la compréhension des messages, incohérence perçue</t>
  </si>
  <si>
    <t>Risque de malentendus, adoption limitée des informations</t>
  </si>
  <si>
    <t>Mettre en place des outils de feedback pour évaluer et ajuster les messages</t>
  </si>
  <si>
    <t>S’assurer que la communication évolue et progresse par rapport au développement du projet</t>
  </si>
  <si>
    <t>Évolution du plan de communication</t>
  </si>
  <si>
    <t>Le plan de communication a-t-il été mis à jour en fonction de l'avancement du projet ?</t>
  </si>
  <si>
    <t>Plan de communication révisé, calendrier de mise à jour</t>
  </si>
  <si>
    <t>Communication obsolète, manque de prise en compte des changements du projet</t>
  </si>
  <si>
    <t>Message non pertinent, désalignement avec l'état actuel du projet</t>
  </si>
  <si>
    <t>Mettre à jour le plan régulièrement pour refléter les évolutions du projet</t>
  </si>
  <si>
    <t>Suivi de la progression de la communication</t>
  </si>
  <si>
    <t>Y a-t-il un suivi systématique de l’efficacité de la communication tout au long du projet ?</t>
  </si>
  <si>
    <t>Tableau de suivi de la communication, rapports d’analyse de l’efficacité</t>
  </si>
  <si>
    <t>Absence de suivi, évolution non mesurée des messages et des canaux</t>
  </si>
  <si>
    <t>Manque d'adaptation de la communication aux besoins du projet, déconnexion avec l’équipe</t>
  </si>
  <si>
    <t>Instaurer des indicateurs de performance pour évaluer l’efficacité de la communication</t>
  </si>
  <si>
    <t>Réactivité de la communication face aux besoins du projet</t>
  </si>
  <si>
    <t>La communication est-elle suffisamment réactive et ajustée aux besoins qui évoluent au fur et à mesure du projet ?</t>
  </si>
  <si>
    <t>Rapports de réunion, plan de communication ajusté</t>
  </si>
  <si>
    <t>Communication trop rigide, manque de flexibilité face aux changements</t>
  </si>
  <si>
    <t>Informations non actualisées, messages inadaptés à la situation actuelle</t>
  </si>
  <si>
    <t>Adopter une approche flexible et réactive pour ajuster les messages en fonction de l'évolution du projet</t>
  </si>
  <si>
    <t>Interaction entre la communication et le développement du projet</t>
  </si>
  <si>
    <t>La communication reflète-t-elle les différentes étapes du projet et les ajustements nécessaires à chaque phase ?</t>
  </si>
  <si>
    <t>Rapports d'avancement, mises à jour de communication, feedback des parties prenantes</t>
  </si>
  <si>
    <t>Discordance entre l’état du projet et la communication, manque de coordination</t>
  </si>
  <si>
    <t>Décisions basées sur des informations erronées, manque de transparence</t>
  </si>
  <si>
    <t>S’assurer que chaque étape de développement est accompagnée d’une communication pertinente et à jour</t>
  </si>
  <si>
    <t>Feedback et ajustement en continu</t>
  </si>
  <si>
    <t>Des retours réguliers sont-ils intégrés dans la stratégie de communication pour l’améliorer au fur et à mesure ?</t>
  </si>
  <si>
    <t>Compte-rendus de réunions, sondages auprès des parties prenantes</t>
  </si>
  <si>
    <t>Manque de retours, adaptation lente des messages</t>
  </si>
  <si>
    <t>Message non compris ou ignoré par les parties prenantes, inefficacité</t>
  </si>
  <si>
    <t>Recueillir des retours continus et ajuster la stratégie de communication régulièrement</t>
  </si>
  <si>
    <t>S’assurer que la communication est fortement soutenue par la MOA</t>
  </si>
  <si>
    <t>Soutien actif de la MOA à la communication</t>
  </si>
  <si>
    <t>La MOA soutient-elle activement la communication tout au long du projet ?</t>
  </si>
  <si>
    <t>Rapports de réunions, notes de soutien de la MOA</t>
  </si>
  <si>
    <t>Manque d’implication de la MOA, communication mal perçue</t>
  </si>
  <si>
    <t>Manque de coordination, désengagement des parties prenantes</t>
  </si>
  <si>
    <t>Assurer la participation régulière et visible de la MOA dans le processus de communication</t>
  </si>
  <si>
    <t>Engagement de la MOA dans l’élaboration du plan de communication</t>
  </si>
  <si>
    <t>La MOA est-elle impliquée dans l’élaboration et la validation du plan de communication ?</t>
  </si>
  <si>
    <t>Plan de communication, procès-verbaux de réunions</t>
  </si>
  <si>
    <t>Absence de participation de la MOA dans la création du plan</t>
  </si>
  <si>
    <t>Communication non alignée avec les attentes de la MOA, manque de cohérence</t>
  </si>
  <si>
    <t>Impliquer activement la MOA dès la phase de conception du plan de communication</t>
  </si>
  <si>
    <t>Communication continue et régulière de la MOA</t>
  </si>
  <si>
    <t>La MOA assure-t-elle une communication continue et régulière avec les parties prenantes ?</t>
  </si>
  <si>
    <t>Exemples de communications envoyées, calendrier de communication de la MOA</t>
  </si>
  <si>
    <t>Manque de mise à jour régulière, silos d’information</t>
  </si>
  <si>
    <t>Réticence des parties prenantes, information fragmentée</t>
  </si>
  <si>
    <t>Organiser des points réguliers et formels de communication avec la MOA</t>
  </si>
  <si>
    <t>Accessibilité des informations pour la MOA</t>
  </si>
  <si>
    <t>Les informations communiquées sont-elles accessibles et compréhensibles pour la MOA ?</t>
  </si>
  <si>
    <t>Compte-rendus, rapports d’avancement, feedbacks de la MOA</t>
  </si>
  <si>
    <t>Informations trop techniques ou floues, non adaptées à la MOA</t>
  </si>
  <si>
    <t>Détérioration de la collaboration, mauvaise prise de décision</t>
  </si>
  <si>
    <t>Simplifier et rendre accessibles les informations pour la MOA, en tenant compte de son niveau d'implication</t>
  </si>
  <si>
    <t>Feedback de la MOA sur la communication</t>
  </si>
  <si>
    <t>La MOA fournit-elle régulièrement des retours sur la communication pour l'améliorer ?</t>
  </si>
  <si>
    <t>Rapports de feedback, notes de révision de la MOA</t>
  </si>
  <si>
    <t>Absence de retour de la MOA, communication non ajustée</t>
  </si>
  <si>
    <t>Communication inefficace, message déconnecté des besoins réels de la MOA</t>
  </si>
  <si>
    <t>Mettre en place un mécanisme de feedback continu de la MOA pour ajuster la stratégie de communication</t>
  </si>
  <si>
    <t xml:space="preserve">S’assurer qu’il existe un plan de formation </t>
  </si>
  <si>
    <t>Existence d'un plan de formation formalisé</t>
  </si>
  <si>
    <t>Un plan de formation a-t-il été formalisé pour les utilisateurs du système ?</t>
  </si>
  <si>
    <t>Plan de formation, calendrier des sessions de formation</t>
  </si>
  <si>
    <t>Absence de plan de formation, confusion sur les responsabilités</t>
  </si>
  <si>
    <t>Utilisateurs mal préparés, mauvaise adoption du système</t>
  </si>
  <si>
    <t>Formaliser et documenter un plan de formation détaillé avec des objectifs précis</t>
  </si>
  <si>
    <t>Identification des besoins en formation</t>
  </si>
  <si>
    <t>Les besoins en formation ont-ils été identifiés en fonction des compétences des utilisateurs ?</t>
  </si>
  <si>
    <t>Analyse des besoins en formation, profil des utilisateurs</t>
  </si>
  <si>
    <t>Formation inadaptée aux besoins réels des utilisateurs</t>
  </si>
  <si>
    <t>Manque de compétences, difficultés dans l’utilisation du système</t>
  </si>
  <si>
    <t>Analyser les besoins spécifiques et adapter la formation en fonction des rôles et niveaux des utilisateurs</t>
  </si>
  <si>
    <t>Calendrier et organisation de la formation</t>
  </si>
  <si>
    <t>Le calendrier des formations est-il clairement défini et adapté à la disponibilité des utilisateurs ?</t>
  </si>
  <si>
    <t>Planification des sessions de formation, agenda des formations</t>
  </si>
  <si>
    <t>Formation mal planifiée, utilisateurs non disponibles</t>
  </si>
  <si>
    <t>Retards dans la formation, impact sur la mise en œuvre du système</t>
  </si>
  <si>
    <t>Planifier les sessions à des moments compatibles avec les disponibilités des utilisateurs</t>
  </si>
  <si>
    <t>Suivi de l'efficacité de la formation</t>
  </si>
  <si>
    <t>Un suivi est-il effectué pour évaluer l’efficacité de la formation après chaque session ?</t>
  </si>
  <si>
    <t>Feedback des participants, rapports d'évaluation de la formation</t>
  </si>
  <si>
    <t>Absence de suivi, non-évaluation de la qualité de la formation</t>
  </si>
  <si>
    <t>Faible amélioration des compétences, non-adaptation du programme de formation</t>
  </si>
  <si>
    <t>Mettre en place un système de feedback pour mesurer et ajuster les formations</t>
  </si>
  <si>
    <t>Mise à jour du plan de formation</t>
  </si>
  <si>
    <t>Le plan de formation est-il régulièrement mis à jour en fonction des évolutions du projet et des retours des utilisateurs ?</t>
  </si>
  <si>
    <t>Versions révisées du plan de formation, rapports d’évolution</t>
  </si>
  <si>
    <t>Plan obsolète, manque d’adaptation aux évolutions du projet</t>
  </si>
  <si>
    <t>Inadéquation entre formation et besoins réels, retard dans la prise en main du système</t>
  </si>
  <si>
    <t>Réajuster régulièrement le plan de formation pour qu’il reste aligné avec les évolutions du projet</t>
  </si>
  <si>
    <t>Documentation</t>
  </si>
  <si>
    <t>S’assurer qu’il existe un manuel d'utilisation</t>
  </si>
  <si>
    <t>Existence d'un manuel d'utilisation formalisé</t>
  </si>
  <si>
    <t>Un manuel d'utilisation a-t-il été rédigé et formalisé pour les utilisateurs du système ?</t>
  </si>
  <si>
    <t>Manuel d'utilisation documenté</t>
  </si>
  <si>
    <t>Absence de manuel, difficulté pour les utilisateurs de prendre en main le système</t>
  </si>
  <si>
    <t>Utilisateurs non formés, erreurs d'utilisation fréquentes</t>
  </si>
  <si>
    <t>Rédiger et valider un manuel d’utilisation détaillé, facilement compréhensible</t>
  </si>
  <si>
    <t>Clarté et accessibilité du manuel d'utilisation</t>
  </si>
  <si>
    <t>Le manuel d’utilisation est-il clair, compréhensible et facilement accessible pour les utilisateurs ?</t>
  </si>
  <si>
    <t>Exemples du manuel d'utilisation, supports numériques ou papier accessibles</t>
  </si>
  <si>
    <t>Manuel trop technique ou mal structuré, difficulté d'accès au document</t>
  </si>
  <si>
    <t>Difficultés pour les utilisateurs, adoption lente du système</t>
  </si>
  <si>
    <t>Simplifier le langage, organiser les informations de manière logique et intuitive</t>
  </si>
  <si>
    <t>Couverture des fonctionnalités du système</t>
  </si>
  <si>
    <t>Le manuel couvre-t-il l’ensemble des fonctionnalités du système, y compris les fonctionnalités avancées ?</t>
  </si>
  <si>
    <t>Version complète du manuel, documentation sur les fonctionnalités</t>
  </si>
  <si>
    <t>Fonctionnalités importantes non couvertes, manuel incomplet</t>
  </si>
  <si>
    <t>Utilisateurs manquent des informations importantes, mauvaise utilisation du système</t>
  </si>
  <si>
    <t>Mettre à jour le manuel pour qu’il couvre toutes les fonctionnalités, y compris avancées</t>
  </si>
  <si>
    <t>Mise à jour régulière du manuel</t>
  </si>
  <si>
    <t>Le manuel est-il mis à jour régulièrement pour refléter les évolutions du système ?</t>
  </si>
  <si>
    <t>Versions révisées du manuel, historique des mises à jour</t>
  </si>
  <si>
    <t>Manuel obsolète, ne prenant pas en compte les mises à jour du système</t>
  </si>
  <si>
    <t>Mauvaise utilisation du système après une mise à jour, confusion chez les utilisateurs</t>
  </si>
  <si>
    <t>Mettre en place un processus de mise à jour continue du manuel en fonction des évolutions</t>
  </si>
  <si>
    <t>Disponibilité du manuel pour les utilisateurs</t>
  </si>
  <si>
    <t>Le manuel d’utilisation est-il facilement accessible à tous les utilisateurs du système ?</t>
  </si>
  <si>
    <t>Liens vers le manuel (en ligne ou papier), accès à la documentation</t>
  </si>
  <si>
    <t>Manuel difficilement accessible, utilisateurs non informés de son existence</t>
  </si>
  <si>
    <t>Accès limité à l'information, utilisateurs ne peuvent pas résoudre leurs problèmes seuls</t>
  </si>
  <si>
    <t>Assurer un accès facile au manuel, notamment en ligne et via les canaux appropriés</t>
  </si>
  <si>
    <t>S’assurer que le manuel utilisateur est conforme aux normes envigueur</t>
  </si>
  <si>
    <t>Conformité avec les normes documentaires</t>
  </si>
  <si>
    <t>Le manuel utilisateur respecte-t-il les normes documentaires en vigueur dans l’entreprise ou l’industrie ?</t>
  </si>
  <si>
    <t>Exemples de normes appliquées, version du manuel conforme</t>
  </si>
  <si>
    <t>Manuel non conforme aux standards, perte de conformité avec les exigences légales ou internes</t>
  </si>
  <si>
    <t>Risques légaux, difficultés d'audit, mauvaise acceptation par les utilisateurs</t>
  </si>
  <si>
    <t>Vérifier et intégrer les normes documentaires pertinentes avant publication du manuel</t>
  </si>
  <si>
    <t>Structure et présentation du manuel selon les normes</t>
  </si>
  <si>
    <t>Le manuel suit-il une structure et un format conformes aux normes de présentation ?</t>
  </si>
  <si>
    <t>Exemples de normes de structure, table des matières, format du manuel</t>
  </si>
  <si>
    <t>Structure désorganisée, non conforme aux exigences réglementaires</t>
  </si>
  <si>
    <t>Difficile à utiliser pour les utilisateurs, inefficacité dans l’adoption du système</t>
  </si>
  <si>
    <t>Revoir et structurer le manuel selon les standards et bonnes pratiques en vigueur</t>
  </si>
  <si>
    <t>Utilisation d'un langage conforme aux standards</t>
  </si>
  <si>
    <t>Le langage utilisé dans le manuel est-il conforme aux normes de rédaction des manuels ?</t>
  </si>
  <si>
    <t>Exemples de rédactions conformes, guide de style utilisé</t>
  </si>
  <si>
    <t>Terminologie mal définie, non conforme aux standards de rédaction</t>
  </si>
  <si>
    <t>Compréhension réduite, mauvaise expérience utilisateur</t>
  </si>
  <si>
    <t>Assurer l'utilisation d’un langage simple, précis, et conforme aux guides rédactionnels</t>
  </si>
  <si>
    <t>Respect des exigences légales et réglementaires</t>
  </si>
  <si>
    <t>Le manuel utilisateur intègre-t-il toutes les informations requises par les réglementations en vigueur ?</t>
  </si>
  <si>
    <t>Documentation réglementaire applicable, version mise à jour du manuel</t>
  </si>
  <si>
    <t>Non-respect des exigences légales, manquement dans la conformité des informations</t>
  </si>
  <si>
    <t>Risques légaux, mauvaise conformité réglementaire</t>
  </si>
  <si>
    <t>Intégrer toutes les obligations légales et réglementaires dans le manuel avant sa diffusion</t>
  </si>
  <si>
    <t>Validation du manuel par les parties prenantes</t>
  </si>
  <si>
    <t>Le manuel utilisateur a-t-il été validé par les parties prenantes et les responsables qualité ?</t>
  </si>
  <si>
    <t>Procès-verbal de validation, retour des parties prenantes</t>
  </si>
  <si>
    <t>Validation manquante, erreurs ou omissions non détectées</t>
  </si>
  <si>
    <t>Manuel incomplet ou erroné, difficultés d’adoption</t>
  </si>
  <si>
    <t>Impliquer les parties prenantes et responsables qualité pour valider le manuel</t>
  </si>
  <si>
    <t>S’assurer que le manuel d’utilisateur est disponible etcompréhensible par l'ensemble des utilisateurs</t>
  </si>
  <si>
    <t>Accessibilité du manuel utilisateur</t>
  </si>
  <si>
    <t>Le manuel d’utilisation est-il facilement accessible à tous les utilisateurs concernés ?</t>
  </si>
  <si>
    <t>Versions numériques du manuel, lien d'accès, supports physiques</t>
  </si>
  <si>
    <t>Manuel difficile à trouver ou à accéder, utilisateurs non informés</t>
  </si>
  <si>
    <t>Difficulté d’adoption du système, erreurs d’utilisation fréquentes</t>
  </si>
  <si>
    <t>S'assurer que le manuel est disponible en ligne et sur support papier, avec des liens directs</t>
  </si>
  <si>
    <t>Clarté et simplicité du contenu</t>
  </si>
  <si>
    <t>Le manuel est-il rédigé de manière claire et compréhensible pour tous les utilisateurs ?</t>
  </si>
  <si>
    <t>Exemple du contenu du manuel, retour des utilisateurs</t>
  </si>
  <si>
    <t>Langage trop technique ou trop complexe, informations mal structurées</t>
  </si>
  <si>
    <t>Utilisateurs perdus, mauvaise utilisation du système</t>
  </si>
  <si>
    <t>Simplifier le langage, structurer le contenu en sections claires et concises</t>
  </si>
  <si>
    <t>Adaptabilité du manuel en fonction des utilisateurs</t>
  </si>
  <si>
    <t>Le manuel est-il adapté à différents niveaux d’utilisateurs (novices, intermédiaires, experts) ?</t>
  </si>
  <si>
    <t>Version diversifiée du manuel, retours des utilisateurs selon leur niveau</t>
  </si>
  <si>
    <t>Manuel trop complexe pour certains, trop simple pour d'autres</t>
  </si>
  <si>
    <t>Non-utilisation par certains utilisateurs, difficultés d’adoption</t>
  </si>
  <si>
    <t>Créer des versions adaptées aux différents niveaux de compétence des utilisateurs</t>
  </si>
  <si>
    <t>Prise en compte des retours des utilisateurs sur le manuel</t>
  </si>
  <si>
    <t>Le manuel a-t-il été testé avec des utilisateurs réels pour recueillir des retours sur sa compréhension ?</t>
  </si>
  <si>
    <t>Résultats des tests utilisateurs, feedbacks collectés</t>
  </si>
  <si>
    <t>Manque de retour utilisateur, aspects du manuel non testés</t>
  </si>
  <si>
    <t>Compréhension insuffisante du manuel, mauvaise adoption du système</t>
  </si>
  <si>
    <t>Organiser des sessions de tests utilisateurs pour ajuster le manuel selon leurs retours</t>
  </si>
  <si>
    <t>Mise à jour du manuel en fonction des retours</t>
  </si>
  <si>
    <t>Le manuel est-il mis à jour régulièrement en fonction des retours utilisateurs et des évolutions du système ?</t>
  </si>
  <si>
    <t>Versions mises à jour du manuel, historique des changements</t>
  </si>
  <si>
    <t>Manuel obsolète, ne tenant pas compte des évolutions du système</t>
  </si>
  <si>
    <t>Problèmes non résolus, mauvaise prise en main des nouvelles fonctionnalités</t>
  </si>
  <si>
    <t>Assurer une mise à jour régulière du manuel en fonction des évolutions du système et des retours</t>
  </si>
  <si>
    <t>S’assurer que le manuel utilisateur comprend les objets dusystème et la description des dessins d'écran et des commandes disponibles</t>
  </si>
  <si>
    <t>Description des objets du système</t>
  </si>
  <si>
    <t>Le manuel fournit-il une description complète des objets du système (interfaces, menus, boutons, etc.) ?</t>
  </si>
  <si>
    <t>Exemples d'objets du système, captures d'écran, liste des fonctionnalités</t>
  </si>
  <si>
    <t>Absence de description claire des objets, confusion pour les utilisateurs</t>
  </si>
  <si>
    <t>Mauvaise utilisation du système, erreurs d’interaction avec les objets</t>
  </si>
  <si>
    <t>Ajouter une description détaillée de tous les objets du système, y compris les éléments interactifs</t>
  </si>
  <si>
    <t>Description des dessins d'écran</t>
  </si>
  <si>
    <t>Le manuel inclut-il des dessins d'écran ou des captures d'écran pour illustrer les différents écrans du système ?</t>
  </si>
  <si>
    <t>Exemples de captures d'écran, croquis ou diagrammes de l'interface</t>
  </si>
  <si>
    <t>Manque d'illustrations visuelles, difficulté à comprendre l'interface</t>
  </si>
  <si>
    <t>Compréhension réduite de l'interface, mauvaise expérience utilisateur</t>
  </si>
  <si>
    <t>Intégrer des dessins d'écran clairs, annotés et légendés pour chaque écran clé du système</t>
  </si>
  <si>
    <t>Description des commandes disponibles</t>
  </si>
  <si>
    <t>Le manuel décrit-il toutes les commandes disponibles et leur utilisation ?</t>
  </si>
  <si>
    <t>Liste des commandes avec description, exemple d'utilisation des commandes</t>
  </si>
  <si>
    <t>Commandes mal expliquées ou oubliées, difficulté à utiliser le système</t>
  </si>
  <si>
    <t>Mauvaise utilisation, erreurs d’interaction avec les commandes</t>
  </si>
  <si>
    <t>Fournir une description détaillée de chaque commande avec des exemples d'utilisation pratiques</t>
  </si>
  <si>
    <t>Exemples d'utilisation des objets et commandes</t>
  </si>
  <si>
    <t>Le manuel fournit-il des exemples pratiques d’utilisation des objets et commandes dans des scénarios réels ?</t>
  </si>
  <si>
    <t>Scénarios d’utilisation, exemples pratiques d’interaction avec le système</t>
  </si>
  <si>
    <t>Absence d’exemples, difficulté à relier la théorie à la pratique</t>
  </si>
  <si>
    <t>Confusion, mauvaise adoption du système, utilisation inefficace</t>
  </si>
  <si>
    <t>Ajouter des exemples pratiques et des scénarios d’utilisation pour chaque fonction clé du système</t>
  </si>
  <si>
    <t>Clarté des descriptions visuelles et textuelles</t>
  </si>
  <si>
    <t>Les dessins d’écran et les descriptions des objets et commandes sont-ils clairs et compréhensibles ?</t>
  </si>
  <si>
    <t>Exemples de dessins d'écran, révisions des descriptions</t>
  </si>
  <si>
    <t>Descriptions ambiguës ou mal rédigées, dessins peu explicites</t>
  </si>
  <si>
    <t>Compréhension limitée, erreurs dans l’utilisation du système</t>
  </si>
  <si>
    <t>Assurer que les descriptions soient concises, précises et que les illustrations soient bien annotées</t>
  </si>
  <si>
    <t xml:space="preserve">S’assurer que le manuel utilisateur comprend les responsablesconcernant le redressement des erreurs ou anomalies </t>
  </si>
  <si>
    <t>Identification des responsables de la gestion des erreurs</t>
  </si>
  <si>
    <t>Le manuel spécifie-t-il les personnes ou équipes responsables de la gestion des erreurs ou anomalies ?</t>
  </si>
  <si>
    <t>Détail des responsables, organigramme des équipes de support</t>
  </si>
  <si>
    <t>Absence de responsables identifiés, confusion en cas d'erreur</t>
  </si>
  <si>
    <t>Absence de solution rapide en cas d'erreur, retard dans la résolution</t>
  </si>
  <si>
    <t>Identifier clairement les responsables et leurs rôles spécifiques dans la gestion des erreurs</t>
  </si>
  <si>
    <t>Procédures de redressement des erreurs et anomalies</t>
  </si>
  <si>
    <t>Le manuel décrit-il les procédures à suivre pour signaler et corriger les erreurs ou anomalies ?</t>
  </si>
  <si>
    <t>Procédure de gestion des erreurs, exemples de correction</t>
  </si>
  <si>
    <t>Processus de correction non défini, erreurs non traitées correctement</t>
  </si>
  <si>
    <t>Résolution retardée, utilisateurs frustrés par l’absence de solution</t>
  </si>
  <si>
    <t>Définir clairement les étapes et processus pour la gestion des erreurs et anomalies</t>
  </si>
  <si>
    <t>Canaux de communication pour signaler les erreurs</t>
  </si>
  <si>
    <t>Le manuel indique-t-il les canaux de communication à utiliser pour signaler les erreurs ou anomalies ?</t>
  </si>
  <si>
    <t>Liste des canaux (email, support, etc.), informations de contact</t>
  </si>
  <si>
    <t>Canaux non spécifiés, utilisateurs non informés sur comment signaler un problème</t>
  </si>
  <si>
    <t>Signalement d’erreurs difficile, manque de réactivité</t>
  </si>
  <si>
    <t>Spécifier les canaux exacts à utiliser (email, support en ligne, téléphone, etc.)</t>
  </si>
  <si>
    <t>Responsabilité des corrections et suivi</t>
  </si>
  <si>
    <t>Le manuel précise-t-il qui est responsable de suivre et de valider les corrections une fois les erreurs signalées ?</t>
  </si>
  <si>
    <t>Processus de suivi des corrections, responsables identifiés</t>
  </si>
  <si>
    <t>Absence de suivi, erreurs non résolues dans les délais</t>
  </si>
  <si>
    <t>Erreurs non corrigées, impact sur l’efficacité et la satisfaction</t>
  </si>
  <si>
    <t>Assigner des responsabilités claires pour le suivi et la validation des corrections</t>
  </si>
  <si>
    <t>Mise à jour du manuel en fonction des erreurs ou anomalies</t>
  </si>
  <si>
    <t>Le manuel indique-t-il comment les erreurs ou anomalies affectent la mise à jour du document utilisateur ?</t>
  </si>
  <si>
    <t>Documentation des mises à jour, suivi des modifications</t>
  </si>
  <si>
    <t>Manuel obsolète en cas de nouvelles erreurs, informations incorrectes</t>
  </si>
  <si>
    <t>Utilisation de documents obsolètes, difficulté à résoudre de nouvelles erreurs</t>
  </si>
  <si>
    <t>Mettre à jour le manuel régulièrement en fonction des erreurs corrigées et des retours</t>
  </si>
  <si>
    <t>S’assurer que le manuel utilisateur comprend la description dessorties et leur mode de diffusion ;</t>
  </si>
  <si>
    <t>Description des sorties générées par le système</t>
  </si>
  <si>
    <t>Le manuel spécifie-t-il clairement les types de sorties que le système peut générer (rapports, logs, résultats, etc.) ?</t>
  </si>
  <si>
    <t>Liste des sorties du système, exemples de rapports ou fichiers générés</t>
  </si>
  <si>
    <t>Sorties non décrites, confusion sur les résultats générés</t>
  </si>
  <si>
    <t>Difficulté à interpréter ou à utiliser les sorties générées</t>
  </si>
  <si>
    <t>Fournir une description détaillée de chaque type de sortie généré par le système</t>
  </si>
  <si>
    <t>Mode de diffusion des sorties</t>
  </si>
  <si>
    <t>Le manuel décrit-il comment les sorties sont diffusées (par email, téléchargement, intégration dans un autre système, etc.) ?</t>
  </si>
  <si>
    <t>Exemples de diffusion des sorties, diagrammes ou processus de diffusion</t>
  </si>
  <si>
    <t>Absence de précisions sur la diffusion, sortie mal reçue par les utilisateurs</t>
  </si>
  <si>
    <t>Sorties non distribuées correctement, impact sur l'utilisation des résultats</t>
  </si>
  <si>
    <t>Clarifier les modes de diffusion pour chaque type de sortie (email, téléchargement, etc.)</t>
  </si>
  <si>
    <t>Accès aux sorties par les utilisateurs</t>
  </si>
  <si>
    <t>Le manuel informe-t-il les utilisateurs sur la manière d’accéder aux sorties générées par le système ?</t>
  </si>
  <si>
    <t>Processus d’accès aux sorties, captures d'écran du processus</t>
  </si>
  <si>
    <t>Utilisateurs ne sachant pas comment accéder aux sorties</t>
  </si>
  <si>
    <t>Non-utilisation des résultats générés, confusion sur l’accès aux données</t>
  </si>
  <si>
    <t>Détailler les étapes d’accès aux sorties générées, y compris les permissions d’accès</t>
  </si>
  <si>
    <t>Fréquence de diffusion des sorties</t>
  </si>
  <si>
    <t>Le manuel précise-t-il la fréquence à laquelle les sorties sont générées ou mises à jour (quotidiennement, sur demande, etc.) ?</t>
  </si>
  <si>
    <t>Plan de génération des sorties, calendrier de diffusion</t>
  </si>
  <si>
    <t>Sorties non régulières, utilisateurs n’étant pas informés de la fréquence</t>
  </si>
  <si>
    <t>Mauvaise synchronisation, difficulté à travailler avec des données actualisées</t>
  </si>
  <si>
    <t>Spécifier les fréquences et les périodes pour chaque type de sortie du système</t>
  </si>
  <si>
    <t>Procédure de notification de la diffusion des sorties</t>
  </si>
  <si>
    <t>Le manuel spécifie-t-il un processus de notification pour informer les utilisateurs que les sorties sont disponibles ?</t>
  </si>
  <si>
    <t>Processus de notification, exemples d’alertes ou d’emails envoyés</t>
  </si>
  <si>
    <t>Absence de notification, utilisateurs non informés des sorties disponibles</t>
  </si>
  <si>
    <t>Utilisateurs manquant des informations critiques, non-utilisation des sorties</t>
  </si>
  <si>
    <t>Définir une procédure de notification claire (email, notification système, etc.)</t>
  </si>
  <si>
    <t>S’assurer que le manuel utilisateur comprend lesresponsabilités en matière de sauvegarde/archivage</t>
  </si>
  <si>
    <t>Identification des responsabilités en matière de sauvegarde</t>
  </si>
  <si>
    <t>Le manuel spécifie-t-il clairement qui est responsable de la sauvegarde et de l’archivage des données ?</t>
  </si>
  <si>
    <t>Détail des responsabilités, organigramme des équipes impliquées</t>
  </si>
  <si>
    <t>Absence de responsables identifiés, confusion en cas de problème</t>
  </si>
  <si>
    <t>Risque de perte de données, absence de responsabilité en cas de sinistre</t>
  </si>
  <si>
    <t>Identifier clairement les responsables de la sauvegarde et de l’archivage des données</t>
  </si>
  <si>
    <t>Procédure de sauvegarde</t>
  </si>
  <si>
    <t>Le manuel décrit-il les procédures spécifiques de sauvegarde des données du système (fréquence, méthode, etc.) ?</t>
  </si>
  <si>
    <t>Processus de sauvegarde, calendrier des sauvegardes</t>
  </si>
  <si>
    <t>Sauvegarde non planifiée, manque de clarté dans la procédure</t>
  </si>
  <si>
    <t>Perte de données importantes, reprise difficile après incident</t>
  </si>
  <si>
    <t>Détailler les procédures de sauvegarde avec fréquence, méthode et responsabilités claires</t>
  </si>
  <si>
    <t>Méthodes d'archivage des données</t>
  </si>
  <si>
    <t>Le manuel spécifie-t-il les méthodes d'archivage des données, y compris la durée de conservation et la sécurité ?</t>
  </si>
  <si>
    <t>Procédure d'archivage, politique de rétention des données</t>
  </si>
  <si>
    <t>Archivage mal géré, perte de données importantes ou non conformes</t>
  </si>
  <si>
    <t>Données archivées non accessibles ou perdues, problèmes juridiques</t>
  </si>
  <si>
    <t>Fournir des détails sur la méthode d’archivage et la durée de conservation des données</t>
  </si>
  <si>
    <t>Fréquence des sauvegardes et archivages</t>
  </si>
  <si>
    <t>Le manuel informe-t-il sur la fréquence des sauvegardes et des archivages (quotidienne, hebdomadaire, mensuelle, etc.) ?</t>
  </si>
  <si>
    <t>Calendrier des sauvegardes et archivages</t>
  </si>
  <si>
    <t>Fréquence non précisée, sauvegarde non réalisée de manière régulière</t>
  </si>
  <si>
    <t>Sauvegardes ou archivages manquants, risques de pertes de données récentes</t>
  </si>
  <si>
    <t>Préciser clairement les fréquences de sauvegarde et d’archivage pour chaque type de donnée</t>
  </si>
  <si>
    <t>Sécurité des sauvegardes et archives</t>
  </si>
  <si>
    <t>Le manuel précise-t-il les mesures de sécurité pour protéger les sauvegardes et archives contre la perte ou le vol ?</t>
  </si>
  <si>
    <t>Politiques de sécurité, procédures de cryptage ou de stockage sécurisé</t>
  </si>
  <si>
    <t>Manque de sécurité dans la gestion des sauvegardes et archives</t>
  </si>
  <si>
    <t>Fuite ou perte de données sensibles, accès non autorisé aux archives</t>
  </si>
  <si>
    <t>Intégrer des mesures de sécurité telles que le cryptage et le stockage sécurisé des archives</t>
  </si>
  <si>
    <t>S’assurer que le manuel d’utilisateur fait l'objet d'une procédurede mise à jour</t>
  </si>
  <si>
    <t>Existence d’une procédure de mise à jour du manuel</t>
  </si>
  <si>
    <t>Le manuel d'utilisateur est-il associé à une procédure formelle de mise à jour ?</t>
  </si>
  <si>
    <t>Procédure de mise à jour, calendrier de révision</t>
  </si>
  <si>
    <t>Absence de procédure de mise à jour, manuel obsolète</t>
  </si>
  <si>
    <t>Informations incorrectes ou périmées, mauvaise utilisation du système</t>
  </si>
  <si>
    <t>Mettre en place une procédure de mise à jour régulière et documentée du manuel utilisateur</t>
  </si>
  <si>
    <t>Fréquence de mise à jour du manuel</t>
  </si>
  <si>
    <t>Le manuel prévoit-il une fréquence de mise à jour (annuelle, semestrielle, etc.) ?</t>
  </si>
  <si>
    <t>Plan de révision, historique des mises à jour</t>
  </si>
  <si>
    <t>Mises à jour non planifiées, manuel obsolète</t>
  </si>
  <si>
    <t>Manque de pertinence des informations, mauvaise adaptation aux évolutions</t>
  </si>
  <si>
    <t>Définir une fréquence claire de mise à jour (par exemple, tous les 6 mois ou après chaque mise à jour majeure du système)</t>
  </si>
  <si>
    <t>Responsabilité de la mise à jour</t>
  </si>
  <si>
    <t>Le manuel spécifie-t-il qui est responsable de la mise à jour du document ?</t>
  </si>
  <si>
    <t>Liste des responsables de mise à jour</t>
  </si>
  <si>
    <t>Absence de responsable défini, confusion sur qui doit effectuer la mise à jour</t>
  </si>
  <si>
    <t>Mises à jour négligées, informations incorrectes ou manquantes</t>
  </si>
  <si>
    <t>Assigner clairement un ou plusieurs responsables pour la mise à jour du manuel</t>
  </si>
  <si>
    <t>Suivi des changements dans le manuel</t>
  </si>
  <si>
    <t>La procédure de mise à jour inclut-elle un suivi des modifications apportées au manuel ?</t>
  </si>
  <si>
    <t>Historique des changements, versionning du manuel</t>
  </si>
  <si>
    <t>Changements non suivis, versions obsolètes ou non validées</t>
  </si>
  <si>
    <t>Difficulté à suivre l’évolution du manuel, version inexacte ou manquante</t>
  </si>
  <si>
    <t>Intégrer un suivi des versions et des changements dans le manuel avec une liste de modifications</t>
  </si>
  <si>
    <t>Validation des mises à jour</t>
  </si>
  <si>
    <t>La procédure de mise à jour prévoit-elle un processus de validation des modifications avant leur intégration dans le manuel ?</t>
  </si>
  <si>
    <t>Processus de validation, personnes en charge de la validation</t>
  </si>
  <si>
    <t>Mises à jour non validées, erreurs ou oublis dans les informations mises à jour</t>
  </si>
  <si>
    <t>Erreurs dans le manuel validées, impact sur l'utilisation correcte du système</t>
  </si>
  <si>
    <t>Valider toutes les mises à jour du manuel avant leur intégration, avec un processus clair d'approbation</t>
  </si>
  <si>
    <t>S’assurer qu’il existe un manuel d'exploitation</t>
  </si>
  <si>
    <t>Existence d'un manuel d'exploitation</t>
  </si>
  <si>
    <t>Un manuel d'exploitation formel a-t-il été créé pour l'application ou le système ?</t>
  </si>
  <si>
    <t>Manuel d'exploitation complet</t>
  </si>
  <si>
    <t>Absence de manuel d'exploitation, mauvaise gestion opérationnelle</t>
  </si>
  <si>
    <t>Mauvaise gestion du système, manque de support pour les utilisateurs</t>
  </si>
  <si>
    <t>Créer un manuel d'exploitation détaillé et complet pour le système ou l'application</t>
  </si>
  <si>
    <t>Contenu du manuel d'exploitation</t>
  </si>
  <si>
    <t>Le manuel d'exploitation couvre-t-il tous les aspects techniques nécessaires à l’exploitation du système ?</t>
  </si>
  <si>
    <t>Table des matières du manuel, exemple de chapitre</t>
  </si>
  <si>
    <t>Manuel incomplet, absence d'instructions clés sur l’exploitation du système</t>
  </si>
  <si>
    <t>Problèmes opérationnels, erreurs dans la gestion quotidienne du système</t>
  </si>
  <si>
    <t>Assurer que le manuel couvre la configuration, la gestion, et les processus de dépannage</t>
  </si>
  <si>
    <t>Accessibilité du manuel d'exploitation</t>
  </si>
  <si>
    <t>Le manuel d'exploitation est-il facilement accessible à l'équipe responsable de l'exploitation ?</t>
  </si>
  <si>
    <t>Processus d'accès au manuel, lien ou emplacement du manuel</t>
  </si>
  <si>
    <t>Accès limité, difficile d'obtenir des informations quand nécessaire</t>
  </si>
  <si>
    <t>Difficultés d’accès en cas de problème, réponse retardée aux incidents</t>
  </si>
  <si>
    <t>S'assurer que le manuel est accessible en ligne ou sur un réseau centralisé pour les équipes opérationnelles</t>
  </si>
  <si>
    <t>Mise à jour du manuel d'exploitation</t>
  </si>
  <si>
    <t>Le manuel d'exploitation est-il mis à jour régulièrement en fonction des évolutions du système ?</t>
  </si>
  <si>
    <t>Processus de mise à jour, calendrier des révisions</t>
  </si>
  <si>
    <t>Manuel obsolète, non-aligné avec les mises à jour du système</t>
  </si>
  <si>
    <t>Risques liés à des instructions obsolètes, erreurs d’exploitation</t>
  </si>
  <si>
    <t>Définir un calendrier de révision et de mise à jour régulière du manuel d'exploitation</t>
  </si>
  <si>
    <t>Détails des procédures d’exploitation</t>
  </si>
  <si>
    <t>Le manuel spécifie-t-il clairement les procédures à suivre pour l’exploitation quotidienne ?</t>
  </si>
  <si>
    <t>Exemples de procédures dans le manuel</t>
  </si>
  <si>
    <t>Absence de procédures claires, confusion sur les tâches à effectuer</t>
  </si>
  <si>
    <t>Exploitation inefficace, erreurs humaines, délais augmentés</t>
  </si>
  <si>
    <t>Inclure des procédures détaillées sur les tâches courantes, les processus de surveillance et de maintenance</t>
  </si>
  <si>
    <t>Structures mises en place à l'occasion du projet</t>
  </si>
  <si>
    <t>S’assurer que les rôles et les responsabilités respectifs de laMOA et de la MOE sont clairement définis</t>
  </si>
  <si>
    <t>Définition des rôles de la MOA et de la MOE</t>
  </si>
  <si>
    <t>Les rôles de la MOA et de la MOE sont-ils clairement définis et documentés ?</t>
  </si>
  <si>
    <t>Organigramme, description des rôles de la MOA et de la MOE</t>
  </si>
  <si>
    <t>Ambiguïté dans les responsabilités, chevauchement des rôles</t>
  </si>
  <si>
    <t>Conflits dans la gestion du projet, retards, confusion sur les responsabilités</t>
  </si>
  <si>
    <t>Clarifier et documenter les rôles de la MOA et de la MOE avec un organigramme détaillé</t>
  </si>
  <si>
    <t>Responsabilités spécifiques de la MOA</t>
  </si>
  <si>
    <t>Les responsabilités spécifiques de la MOA sont-elles clairement spécifiées ?</t>
  </si>
  <si>
    <t>Description des responsabilités de la MOA</t>
  </si>
  <si>
    <t>Absence de délimitation des responsabilités de la MOA</t>
  </si>
  <si>
    <t>Manque de contrôle sur les exigences fonctionnelles, défaillance dans la validation</t>
  </si>
  <si>
    <t>Distinguer clairement les responsabilités de la MOA (par exemple, validation, gestion des exigences)</t>
  </si>
  <si>
    <t>Responsabilités spécifiques de la MOE</t>
  </si>
  <si>
    <t>Les responsabilités spécifiques de la MOE sont-elles clairement spécifiées ?</t>
  </si>
  <si>
    <t>Description des responsabilités de la MOE</t>
  </si>
  <si>
    <t>Absence de délimitation des responsabilités de la MOE</t>
  </si>
  <si>
    <t>Non-respect des délais techniques, erreurs dans l’implémentation des solutions</t>
  </si>
  <si>
    <t>Distinguer clairement les responsabilités de la MOE (par exemple, développement, tests, mise en production)</t>
  </si>
  <si>
    <t>Interaction entre la MOA et la MOE</t>
  </si>
  <si>
    <t>Les interactions entre la MOA et la MOE sont-elles bien définies (points de contact, processus de communication) ?</t>
  </si>
  <si>
    <t>Plan de communication, processus de gestion des interactions entre la MOA et la MOE</t>
  </si>
  <si>
    <t>Communication inefficace, manque de coordination</t>
  </si>
  <si>
    <t>Mauvaise gestion de projet, retards dans la livraison, mauvaise gestion des attentes</t>
  </si>
  <si>
    <t>Définir des points de contact et des processus de communication réguliers entre la MOA et la MOE</t>
  </si>
  <si>
    <t>Suivi et validation des responsabilités</t>
  </si>
  <si>
    <t>Existe-t-il un mécanisme pour s'assurer que chaque partie (MOA et MOE) respecte ses responsabilités ?</t>
  </si>
  <si>
    <t>Mécanisme de suivi, tableau de bord des responsabilités</t>
  </si>
  <si>
    <t>Manque de suivi, difficultés à assurer la responsabilité des deux parties</t>
  </si>
  <si>
    <t>Délais non respectés, non-conformité dans l'exécution des tâches</t>
  </si>
  <si>
    <t>Mettre en place un mécanisme de suivi et de validation pour assurer que chaque partie respecte ses engagements</t>
  </si>
  <si>
    <t>S’assurer que les prérogatives du chef de projet sont clairementdéfinies</t>
  </si>
  <si>
    <t>Clarté des prérogatives du chef de projet</t>
  </si>
  <si>
    <t>Les prérogatives du chef de projet sont-elles clairement définies et communiquées ?</t>
  </si>
  <si>
    <t>Description des prérogatives, organigramme du projet</t>
  </si>
  <si>
    <t>Manque de clarté dans les responsabilités, confusion sur le rôle du chef de projet</t>
  </si>
  <si>
    <t>Problèmes de gouvernance, mauvaise gestion du projet, conflits d'autorité</t>
  </si>
  <si>
    <t>Définir clairement les prérogatives et les communiquer à toute l'équipe projet</t>
  </si>
  <si>
    <t>Pouvoir de décision du chef de projet</t>
  </si>
  <si>
    <t>Le chef de projet dispose-t-il des pouvoirs nécessaires pour prendre des décisions ?</t>
  </si>
  <si>
    <t>Document de délégation de pouvoirs, description des décisions autonomes du chef de projet</t>
  </si>
  <si>
    <t>Manque de pouvoir décisionnel, ralentissement dans la prise de décisions</t>
  </si>
  <si>
    <t>Retards dans le projet, incapacité à résoudre des problèmes rapidement</t>
  </si>
  <si>
    <t>Clarifier et formaliser les pouvoirs décisionnels du chef de projet</t>
  </si>
  <si>
    <t>Responsabilité du chef de projet</t>
  </si>
  <si>
    <t>La responsabilité du chef de projet est-elle clairement délimitée par rapport aux autres parties prenantes ?</t>
  </si>
  <si>
    <t>Charte de projet, description des responsabilités du chef de projet</t>
  </si>
  <si>
    <t>Ambiguïté dans les responsabilités, chevauchement avec d'autres acteurs</t>
  </si>
  <si>
    <t>Délais non respectés, mauvaise gestion des risques, conflit de responsabilités</t>
  </si>
  <si>
    <t>Distinguer clairement la responsabilité du chef de projet par rapport aux autres acteurs</t>
  </si>
  <si>
    <t>Responsabilités en matière de gestion des ressources</t>
  </si>
  <si>
    <t>Le chef de projet est-il clairement responsable de la gestion des ressources humaines, matérielles et financières ?</t>
  </si>
  <si>
    <t>Plan de gestion des ressources, organigramme des responsabilités</t>
  </si>
  <si>
    <t>Manque de ressources allouées, mauvaise gestion des ressources</t>
  </si>
  <si>
    <t>Impact sur les performances du projet, dépassement de budget</t>
  </si>
  <si>
    <t>Assurer que le chef de projet a une responsabilité claire sur les ressources et leur allocation</t>
  </si>
  <si>
    <t>Suivi de l'avancement du projet</t>
  </si>
  <si>
    <t>Le chef de projet est-il responsable du suivi de l'avancement du projet et de la coordination entre les différentes équipes ?</t>
  </si>
  <si>
    <t>Plan de suivi de projet, rapport d'avancement</t>
  </si>
  <si>
    <t>Manque de suivi régulier, communication défaillante entre les équipes</t>
  </si>
  <si>
    <t>Retards dans la livraison, problèmes de coordination entre équipes</t>
  </si>
  <si>
    <t>Mettre en place un système de suivi et de reporting réguliers sous la responsabilité du chef de projet</t>
  </si>
  <si>
    <t>S’assurer que le chef de projet dispose de l'autorité suffisantepour résoudre les éventuels conflits</t>
  </si>
  <si>
    <t>Autorité pour résoudre les conflits</t>
  </si>
  <si>
    <t>Le chef de projet dispose-t-il de l'autorité nécessaire pour résoudre les conflits internes et externes ?</t>
  </si>
  <si>
    <t>Description des pouvoirs décisionnels, procédure de gestion des conflits</t>
  </si>
  <si>
    <t>Absence d’autorité pour trancher, conflits non résolus, perte de temps</t>
  </si>
  <si>
    <t>Problèmes de communication, blocages dans la progression du projet</t>
  </si>
  <si>
    <t>Clarifier et formaliser les pouvoirs du chef de projet pour résoudre les conflits rapidement</t>
  </si>
  <si>
    <t>Prise de décision sur les conflits</t>
  </si>
  <si>
    <t>Le chef de projet a-t-il la capacité de prendre des décisions rapides pour résoudre les conflits ?</t>
  </si>
  <si>
    <t>Règlement de gestion des conflits, document de délégation de pouvoir</t>
  </si>
  <si>
    <t>Décisions retardées, conflits qui se prolongent sans résolution rapide</t>
  </si>
  <si>
    <t>Détérioration des relations entre les parties prenantes, ralentissement du projet</t>
  </si>
  <si>
    <t>Accorder au chef de projet la capacité de décision rapide et autonome en cas de conflit</t>
  </si>
  <si>
    <t>Délégation de pouvoir en cas de conflit</t>
  </si>
  <si>
    <t>Le chef de projet peut-il déléguer l'autorité nécessaire à d'autres responsables pour gérer des conflits spécifiques ?</t>
  </si>
  <si>
    <t>Processus de délégation, description des responsabilités en cas de conflit</t>
  </si>
  <si>
    <t>Absence de délégation, surcharge du chef de projet, gestion inefficace des conflits</t>
  </si>
  <si>
    <t>Conflits non résolus, tensions augmentées, impact sur la cohésion d'équipe</t>
  </si>
  <si>
    <t>Mettre en place une procédure de délégation d’autorité pour la gestion des conflits spécifiques</t>
  </si>
  <si>
    <t>Gestion des conflits avec les parties prenantes externes</t>
  </si>
  <si>
    <t>Le chef de projet est-il habilité à gérer les conflits avec les parties prenantes externes (clients, fournisseurs, partenaires) ?</t>
  </si>
  <si>
    <t>Charte de projet, documents de gestion des relations externes</t>
  </si>
  <si>
    <t>Conflits non résolus avec les parties externes, mauvaise gestion de la relation</t>
  </si>
  <si>
    <t>Risques de rupture de partenariat, image négative du projet</t>
  </si>
  <si>
    <t>Garantir que le chef de projet a l'autorité pour gérer les conflits externes de manière autonome</t>
  </si>
  <si>
    <t>Processus de résolution de conflits formalisé</t>
  </si>
  <si>
    <t>Existe-t-il un processus formalisé pour que le chef de projet puisse résoudre les conflits de manière efficace et cohérente ?</t>
  </si>
  <si>
    <t>Processus formalisé de gestion des conflits, plan de résolution</t>
  </si>
  <si>
    <t>Absence de procédure formalisée, incohérence dans la gestion des conflits</t>
  </si>
  <si>
    <t>Risques d'incohérence dans la gestion des conflits, perte de confiance</t>
  </si>
  <si>
    <t>Formaliser un processus clair et cohérent pour la gestion des conflits dans le projet</t>
  </si>
  <si>
    <t>S’assurer que la MOA et la MOE disposent des compétences etdes ressources managériales, techniques et fonctionnelles suffisantes</t>
  </si>
  <si>
    <t>Compétences managériales disponibles</t>
  </si>
  <si>
    <t>La MOA et la MOE disposent-elles de compétences managériales adaptées pour piloter le projet ?</t>
  </si>
  <si>
    <t>CV, fiches de poste, organigrammes, historique des projets similaires</t>
  </si>
  <si>
    <t>Mauvaise coordination, mauvaise gestion des délais et des ressources</t>
  </si>
  <si>
    <t>Échec de pilotage, dérive du projet</t>
  </si>
  <si>
    <t>Assurer la présence de chefs de projet expérimentés côté MOA et MOE</t>
  </si>
  <si>
    <t>Compétences techniques suffisantes</t>
  </si>
  <si>
    <t>Les équipes MOE ont-elles les compétences techniques nécessaires pour réaliser le projet ?</t>
  </si>
  <si>
    <t>CV techniques, certifications, retours d’expérience, bilans de compétences</t>
  </si>
  <si>
    <t>Déficit technique, mauvaise qualité des livrables</t>
  </si>
  <si>
    <t>Bugs, non-conformité technique, coût de reprise</t>
  </si>
  <si>
    <t>Renforcer les compétences via formations ciblées ou recrutement de profils experts</t>
  </si>
  <si>
    <t>Compétences fonctionnelles en lien avec le métier</t>
  </si>
  <si>
    <t>La MOA maîtrise-t-elle les aspects fonctionnels et métiers liés au projet ?</t>
  </si>
  <si>
    <t>Analyse des besoins, documentation métier, retour d’expérience</t>
  </si>
  <si>
    <t>Incompréhension des besoins utilisateurs</t>
  </si>
  <si>
    <t>Solutions mal adaptées, non-adhésion des utilisateurs finaux</t>
  </si>
  <si>
    <t>Impliquer des experts métier dans les phases de conception et validation</t>
  </si>
  <si>
    <t>Ressources humaines allouées au projet</t>
  </si>
  <si>
    <t>Les ressources humaines allouées au projet sont-elles suffisantes et disponibles ?</t>
  </si>
  <si>
    <t>Planning des ressources, plan de charge, tableau d’affectation</t>
  </si>
  <si>
    <t>Sous-dimensionnement de l’équipe, surcharge de travail</t>
  </si>
  <si>
    <t>Retards, surcharge, baisse de qualité</t>
  </si>
  <si>
    <t>Adapter les ressources en fonction de la charge de travail prévue</t>
  </si>
  <si>
    <t>Ressources matérielles et logicielles disponibles</t>
  </si>
  <si>
    <t>Les ressources matérielles et logicielles nécessaires sont-elles disponibles pour les deux équipes ?</t>
  </si>
  <si>
    <t>Inventaire des outils, licences, environnements de développement/test</t>
  </si>
  <si>
    <t>Blocage technique, dépendance externe</t>
  </si>
  <si>
    <t>Retards de développement, dysfonctionnements techniques</t>
  </si>
  <si>
    <t>Mettre à disposition les outils et environnements nécessaires à chaque étape</t>
  </si>
  <si>
    <t>S’assurer que les principales décisions et orientations du projetsont prises par le niveau de management adéquat</t>
  </si>
  <si>
    <t>Clarté des niveaux décisionnels</t>
  </si>
  <si>
    <t>Les niveaux de responsabilité et de prise de décision sont-ils clairement définis dans le projet ?</t>
  </si>
  <si>
    <t>Organigramme de gouvernance, RACI, charte projet</t>
  </si>
  <si>
    <t>Confusion des rôles, décisions contradictoires</t>
  </si>
  <si>
    <t>Délai dans les prises de décisions, conflits d’intérêts</t>
  </si>
  <si>
    <t>Définir et documenter une structure de gouvernance claire avec répartition des décisions</t>
  </si>
  <si>
    <t>Implication du bon niveau hiérarchique</t>
  </si>
  <si>
    <t>Les décisions stratégiques sont-elles validées par le niveau de management adéquat (direction, comité, etc.) ?</t>
  </si>
  <si>
    <t>Comptes rendus de comités, décisions formalisées</t>
  </si>
  <si>
    <t>Décisions prises trop bas ou sans légitimité</t>
  </si>
  <si>
    <t>Mauvaise orientation du projet, rejet des décisions</t>
  </si>
  <si>
    <t>S’assurer que les décisions clés sont prises ou validées au niveau stratégique</t>
  </si>
  <si>
    <t>Traçabilité des décisions</t>
  </si>
  <si>
    <t>Les décisions majeures sont-elles documentées et tracées ?</t>
  </si>
  <si>
    <t>Registre des décisions, PV de réunions, outil de gestion de projet</t>
  </si>
  <si>
    <t>Décisions perdues, mal interprétées ou non suivies</t>
  </si>
  <si>
    <t>Perte de contrôle, incompréhension, dérive du projet</t>
  </si>
  <si>
    <t>Mettre en place un registre des décisions accessible à toutes les parties prenantes</t>
  </si>
  <si>
    <t>Revue régulière par le management</t>
  </si>
  <si>
    <t>Le niveau de management adéquat suit-il régulièrement les avancées du projet ?</t>
  </si>
  <si>
    <t>Planning de revues de projet, rapports de suivi</t>
  </si>
  <si>
    <t>Manque de pilotage stratégique, dérives non détectées</t>
  </si>
  <si>
    <t>Mauvais alignement avec les objectifs globaux</t>
  </si>
  <si>
    <t>Prévoir des revues de projet périodiques avec la direction ou le comité de pilotage</t>
  </si>
  <si>
    <t>Responsabilité en cas d'escalade</t>
  </si>
  <si>
    <t>Existe-t-il un processus d’escalade des décisions ou problèmes vers le bon niveau de décision ?</t>
  </si>
  <si>
    <t>Procédure d’escalade, matrice des responsabilités</t>
  </si>
  <si>
    <t>Blocages non résolus, décisions retardées</t>
  </si>
  <si>
    <t>Perte de temps, démotivation, inefficacité</t>
  </si>
  <si>
    <t>Mettre en place une procédure d’escalade claire et rapide</t>
  </si>
  <si>
    <t xml:space="preserve">S’assurer que les principaux intervenants sur le projet sont100% dédiés au projet avec suppression, pendant la durée du projet, des anciens liens hiérarchiques </t>
  </si>
  <si>
    <t>Dédié à temps plein au projet</t>
  </si>
  <si>
    <t>Les acteurs clés du projet sont-ils alloués à 100 % au projet ?</t>
  </si>
  <si>
    <t>Planning de charge, fiche d’affectation, planning RH</t>
  </si>
  <si>
    <t>Manque de disponibilité, priorités conflictuelles</t>
  </si>
  <si>
    <t>Retards, baisse d’implication, perte de qualité</t>
  </si>
  <si>
    <t>Affecter les ressources clés à 100 %, avec engagement formalisé de la hiérarchie</t>
  </si>
  <si>
    <t>Suppression des anciens liens hiérarchiques</t>
  </si>
  <si>
    <t>Les intervenants sont-ils libérés de leurs anciennes obligations hiérarchiques durant le projet ?</t>
  </si>
  <si>
    <t>Note de service, fiche de mission, communication RH</t>
  </si>
  <si>
    <t>Double reporting, conflits d’autorité</t>
  </si>
  <si>
    <t>Manque de clarté dans les responsabilités, tensions internes</t>
  </si>
  <si>
    <t>Suspendre temporairement les anciennes chaînes hiérarchiques et clarifier les nouvelles lignes de reporting</t>
  </si>
  <si>
    <t>Clarté du positionnement dans l’équipe projet</t>
  </si>
  <si>
    <t>Les intervenants ont-ils une position clairement définie dans la structure projet ?</t>
  </si>
  <si>
    <t>Organigramme projet, matrice RACI</t>
  </si>
  <si>
    <t>Ambiguïtés sur le rôle, conflits entre missions</t>
  </si>
  <si>
    <t>Retards, démotivation</t>
  </si>
  <si>
    <t>Communiquer clairement la structure du projet et le rôle de chacun</t>
  </si>
  <si>
    <t>Engagement formel des directions fonctionnelles</t>
  </si>
  <si>
    <t>Les directions ont-elles formalisé leur accord sur la mise à disposition des ressources ?</t>
  </si>
  <si>
    <t>Courriers d'engagement, PV de comités</t>
  </si>
  <si>
    <t>Désengagement partiel, priorités revues à la baisse</t>
  </si>
  <si>
    <t>Récupération des ressources en cours de projet</t>
  </si>
  <si>
    <t>Obtenir un engagement clair et formalisé des directions concernées</t>
  </si>
  <si>
    <t>Suivi de la disponibilité effective</t>
  </si>
  <si>
    <t>Existe-t-il un suivi régulier de la disponibilité effective des intervenants projet ?</t>
  </si>
  <si>
    <t>Rapports d’activité, outils de suivi des temps</t>
  </si>
  <si>
    <t>Affectation théorique non respectée, surcharge</t>
  </si>
  <si>
    <t>Écarts entre le planifié et le réel, dégradation du climat de travail</t>
  </si>
  <si>
    <t>Mettre en place un mécanisme de suivi de la disponibilité effective (revues hebdomadaires, outils, etc.)</t>
  </si>
  <si>
    <t>S’assurer que la MOA ou la MOE ont bénéficié d'une assistanceextérieure au cours du projet</t>
  </si>
  <si>
    <t>Recours à une assistance extérieure</t>
  </si>
  <si>
    <t>La MOA ou la MOE ont-elles fait appel à une expertise ou assistance externe pendant le projet ?</t>
  </si>
  <si>
    <t>Contrats de prestation, PV de mission, rapports de consultants</t>
  </si>
  <si>
    <t>Manque de compétences internes, erreurs non détectées</t>
  </si>
  <si>
    <t>Risques techniques ou fonctionnels non maîtrisés, perte de temps</t>
  </si>
  <si>
    <t>Solliciter une assistance externe qualifiée pour pallier les manques internes</t>
  </si>
  <si>
    <t>Clarté du périmètre de l’assistance</t>
  </si>
  <si>
    <t>Le périmètre d’intervention des experts externes est-il bien défini ?</t>
  </si>
  <si>
    <t>Cahier des charges, contrat de prestation</t>
  </si>
  <si>
    <t>Flou dans les responsabilités, chevauchement de rôles</t>
  </si>
  <si>
    <t>Perte d’efficacité, conflits entre intervenants</t>
  </si>
  <si>
    <t>Définir précisément les missions et livrables attendus de l’assistance externe</t>
  </si>
  <si>
    <t>Transfert de compétences assuré</t>
  </si>
  <si>
    <t>L’assistance a-t-elle prévu un transfert de compétences vers les équipes MOA/MOE ?</t>
  </si>
  <si>
    <t>Plan de transfert, supports de formation, rapports de fin de mission</t>
  </si>
  <si>
    <t>Dépendance aux prestataires, manque d’autonomie</t>
  </si>
  <si>
    <t>Difficulté de maintien en conditions opérationnelles</t>
  </si>
  <si>
    <t>Intégrer un plan de transfert de compétences obligatoire dans le contrat d’assistance</t>
  </si>
  <si>
    <t>Suivi de la qualité de l’assistance</t>
  </si>
  <si>
    <t>Y a-t-il un suivi formalisé de la qualité des prestations réalisées par les intervenants externes ?</t>
  </si>
  <si>
    <t>Rapports d’évaluation, grille de suivi des prestations</t>
  </si>
  <si>
    <t>Prestations non conformes aux attentes</t>
  </si>
  <si>
    <t>Évaluer régulièrement les prestations des assistants externes sur la base d’objectifs clairs</t>
  </si>
  <si>
    <t>Complémentarité avec les équipes internes</t>
  </si>
  <si>
    <t>Les experts externes ont-ils bien complété les compétences des équipes internes sans les remplacer ?</t>
  </si>
  <si>
    <t>Analyse des rôles, retour d’expérience, revue d’organisation</t>
  </si>
  <si>
    <t>Substitution de l’équipe interne, perte de maîtrise du projet</t>
  </si>
  <si>
    <t>Faible montée en compétence interne, perte d’appropriation du projet</t>
  </si>
  <si>
    <t>Positionner l’assistance extérieure en soutien, pas en remplacement des compétences internes</t>
  </si>
  <si>
    <t xml:space="preserve">S’assurer que la consultation et l'implication des utilisateurs aété suffisante au cours des différentes phases du projet </t>
  </si>
  <si>
    <t>Implication dès la phase de cadrage</t>
  </si>
  <si>
    <t>Les utilisateurs ont-ils été associés dès les premières étapes de définition du besoin ?</t>
  </si>
  <si>
    <t>PV d’ateliers, comptes-rendus de réunions, questionnaires</t>
  </si>
  <si>
    <t>Incompréhension des attentes réelles, rejet du projet</t>
  </si>
  <si>
    <t>Solution inadaptée aux besoins, faible adhésion</t>
  </si>
  <si>
    <t>Associer les utilisateurs dès la phase de cadrage pour valider les besoins fonctionnels</t>
  </si>
  <si>
    <t>Consultation régulière tout au long du projet</t>
  </si>
  <si>
    <t>Des consultations régulières avec les utilisateurs ont-elles été organisées ?</t>
  </si>
  <si>
    <t>Planning des ateliers, comptes rendus de comités utilisateurs</t>
  </si>
  <si>
    <t>Décalage entre les besoins évolutifs et les choix de conception</t>
  </si>
  <si>
    <t>Réalisation d’une solution partiellement adaptée</t>
  </si>
  <si>
    <t>Prévoir des points de contact réguliers avec les utilisateurs à chaque jalon important</t>
  </si>
  <si>
    <t>Représentativité des utilisateurs consultés</t>
  </si>
  <si>
    <t>Les utilisateurs consultés représentent-ils bien l’ensemble des profils concernés par la solution ?</t>
  </si>
  <si>
    <t>Liste des participants, analyse des profils utilisateurs</t>
  </si>
  <si>
    <t>Biais dans les retours utilisateurs</t>
  </si>
  <si>
    <t>Solution adaptée uniquement à un sous-ensemble d’utilisateurs</t>
  </si>
  <si>
    <t>S’assurer de la diversité des utilisateurs impliqués : métiers, niveaux hiérarchiques, usages</t>
  </si>
  <si>
    <t>Capacité d’influence des utilisateurs</t>
  </si>
  <si>
    <t>Les retours des utilisateurs ont-ils été pris en compte dans les décisions clés ?</t>
  </si>
  <si>
    <t>Tableaux de synthèse des retours, décisions de comité</t>
  </si>
  <si>
    <t>Frustration, désengagement</t>
  </si>
  <si>
    <t>Rejet de la solution, résistance au changement</t>
  </si>
  <si>
    <t>Communiquer les décisions prises et en quoi elles tiennent compte des retours utilisateurs</t>
  </si>
  <si>
    <t>Implication lors des phases de tests et recette</t>
  </si>
  <si>
    <t>Les utilisateurs ont-ils été impliqués dans les phases de tests et de validation de la solution ?</t>
  </si>
  <si>
    <t>PV de tests utilisateurs, scénarios de tests, compte rendu de recette</t>
  </si>
  <si>
    <t>Non-détection de dysfonctionnements ou inadéquations</t>
  </si>
  <si>
    <t>Déploiement d’une solution défaillante ou mal comprise</t>
  </si>
  <si>
    <t>Prévoir des tests utilisateurs complets, en conditions réelles, avec validation formelle</t>
  </si>
  <si>
    <t>S’assurer qu’il existe un contrat de prestation entre la MOA et laMOE</t>
  </si>
  <si>
    <t>Existence d’un contrat formel</t>
  </si>
  <si>
    <t>Un contrat de prestation a-t-il été formalisé entre la MOA et la MOE ?</t>
  </si>
  <si>
    <t>Contrat signé, convention de collaboration</t>
  </si>
  <si>
    <t>Flou dans la collaboration, litiges potentiels</t>
  </si>
  <si>
    <t>Manque de cadre légal, conflits, blocages dans la réalisation du projet</t>
  </si>
  <si>
    <t>Formaliser un contrat précisant les engagements, responsabilités et livrables</t>
  </si>
  <si>
    <t>Précision des rôles et responsabilités</t>
  </si>
  <si>
    <t>Le contrat définit-il clairement les rôles et responsabilités de chaque partie ?</t>
  </si>
  <si>
    <t>Contrat, annexes, fiches de responsabilités</t>
  </si>
  <si>
    <t>Ambiguïtés dans la répartition des tâches</t>
  </si>
  <si>
    <t>Retards, mauvaise exécution du projet</t>
  </si>
  <si>
    <t>Intégrer un organigramme fonctionnel et une matrice RACI dans les annexes du contrat</t>
  </si>
  <si>
    <t>Détail des livrables et modalités de validation</t>
  </si>
  <si>
    <t>Les livrables attendus ainsi que leur mode de validation sont-ils précisés dans le contrat ?</t>
  </si>
  <si>
    <t>Planning des livrables, fiches de validation</t>
  </si>
  <si>
    <t>Défaut de qualité, litiges sur les attendus</t>
  </si>
  <si>
    <t>Incompréhensions, refus de réception, retards</t>
  </si>
  <si>
    <t>Détailler chaque livrable avec critères de validation et jalons associés</t>
  </si>
  <si>
    <t>Clauses de révision et de résiliation</t>
  </si>
  <si>
    <t>Le contrat prévoit-il des modalités en cas d’évolution du projet ou de rupture ?</t>
  </si>
  <si>
    <t>Clauses contractuelles spécifiques</t>
  </si>
  <si>
    <t>Blocages juridiques ou contractuels en cas de changement</t>
  </si>
  <si>
    <t>Difficulté d’adaptation aux imprévus du projet</t>
  </si>
  <si>
    <t>Intégrer des clauses d’avenants et de sortie clairement définies</t>
  </si>
  <si>
    <t>Validation juridique du contrat</t>
  </si>
  <si>
    <t>Le contrat a-t-il été validé par les services juridiques ou compétents ?</t>
  </si>
  <si>
    <t>Visa juridique, correspondance avec le service légal</t>
  </si>
  <si>
    <t>Non-conformité aux règles internes, contrat non opposable</t>
  </si>
  <si>
    <t>Invalidité du contrat, contentieux possible</t>
  </si>
  <si>
    <t>Faire relire et valider tout contrat par un service juridique spécialisé</t>
  </si>
  <si>
    <t>S’assurer qu’il existe un engagement de résultat</t>
  </si>
  <si>
    <t>Existence d’un engagement de résultat formel</t>
  </si>
  <si>
    <t>Un engagement de résultat est-il clairement formalisé dans les documents contractuels ?</t>
  </si>
  <si>
    <t>Contrat de prestation, clauses d’engagement</t>
  </si>
  <si>
    <t>Absence de garanties sur les livrables ou la qualité attendue</t>
  </si>
  <si>
    <t>Non-atteinte des objectifs du projet, litiges contractuels</t>
  </si>
  <si>
    <t>Intégrer un engagement de résultat clair et mesurable dans le contrat</t>
  </si>
  <si>
    <t>Définition des résultats attendus</t>
  </si>
  <si>
    <t>Les résultats attendus sont-ils précisément décrits avec des indicateurs mesurables ?</t>
  </si>
  <si>
    <t>Cahier des charges, indicateurs de performance (KPI)</t>
  </si>
  <si>
    <t>Difficulté à vérifier la conformité des livrables, absence de pilotage</t>
  </si>
  <si>
    <t>Liens entre résultats et modalités de paiement</t>
  </si>
  <si>
    <t>Le versement des paiements est-il conditionné à l’atteinte des résultats définis ?</t>
  </si>
  <si>
    <t>Planning de facturation lié aux livrables, contrat</t>
  </si>
  <si>
    <t>Paiement sans garantie de résultat</t>
  </si>
  <si>
    <t>Dépenses injustifiées, difficulté de pression contractuelle</t>
  </si>
  <si>
    <t>Conditionner les paiements à la validation des résultats définis</t>
  </si>
  <si>
    <t>Mécanismes de pénalités ou bonus</t>
  </si>
  <si>
    <t>Le contrat prévoit-il des pénalités en cas de non-atteinte ou des bonus en cas de dépassement ?</t>
  </si>
  <si>
    <t>Clauses de pénalité/bonus</t>
  </si>
  <si>
    <t>Aucun levier contractuel pour garantir la performance</t>
  </si>
  <si>
    <t>Manque de motivation à fournir un service optimal</t>
  </si>
  <si>
    <t>Intégrer des clauses incitatives dans le contrat</t>
  </si>
  <si>
    <t>Suivi de la performance en lien avec l’engagement</t>
  </si>
  <si>
    <t>Existe-t-il un dispositif de suivi permettant de vérifier la réalisation des résultats engagés ?</t>
  </si>
  <si>
    <t>Tableau de bord projet, rapports d’avancement</t>
  </si>
  <si>
    <t>Difficulté à prouver l’atteinte ou non des objectifs</t>
  </si>
  <si>
    <t>Suivi du projet non maîtrisé, conflits d’interprétation</t>
  </si>
  <si>
    <t>Mettre en place des indicateurs de suivi réguliers avec revues de performance</t>
  </si>
  <si>
    <t>Gestion des évolutions</t>
  </si>
  <si>
    <t>S’assurer que les demandes d'évolution du périmètre sontfréquentes</t>
  </si>
  <si>
    <t>Fréquence des demandes d’évolution</t>
  </si>
  <si>
    <t>Les demandes d’évolution du périmètre sont-elles nombreuses depuis le lancement du projet ?</t>
  </si>
  <si>
    <t>Registre des demandes de changement, comptes rendus de comité</t>
  </si>
  <si>
    <t>Instabilité du périmètre, surcharge de travail</t>
  </si>
  <si>
    <t>Dérapage des délais, du budget, dilution des objectifs initiaux</t>
  </si>
  <si>
    <t>Suivre les demandes via un registre de changement structuré et limiter les évolutions arbitraires</t>
  </si>
  <si>
    <t>Analyse des causes des évolutions</t>
  </si>
  <si>
    <t>Les causes des demandes fréquentes sont-elles identifiées et documentées ?</t>
  </si>
  <si>
    <t>Rapports d’analyse d’impact, procès-verbaux de réunions</t>
  </si>
  <si>
    <t>Reproduction des erreurs, incompréhensions</t>
  </si>
  <si>
    <t>Risques récurrents non maîtrisés, perte de maîtrise du projet</t>
  </si>
  <si>
    <t>Mener une analyse systématique des causes et adapter la gouvernance du projet</t>
  </si>
  <si>
    <t>Processus de validation des évolutions</t>
  </si>
  <si>
    <t>Un processus de validation formel est-il en place pour accepter ou refuser les demandes ?</t>
  </si>
  <si>
    <t>Procédure de gestion des changements, fiche de validation</t>
  </si>
  <si>
    <t>Intégration non maîtrisée d’évolutions non justifiées</t>
  </si>
  <si>
    <t>Complexification inutile du projet, surcharge des équipes</t>
  </si>
  <si>
    <t>Mettre en place un comité de pilotage pour valider les changements majeurs</t>
  </si>
  <si>
    <t>Impact des évolutions sur le projet</t>
  </si>
  <si>
    <t>Les impacts des demandes d’évolution sont-ils systématiquement évalués ?</t>
  </si>
  <si>
    <t>Grille d’analyse d’impact (coût, délai, qualité)</t>
  </si>
  <si>
    <t>Décalage entre objectifs initiaux et livrables finaux</t>
  </si>
  <si>
    <t>Non-conformité au cahier des charges, désalignement avec la stratégie</t>
  </si>
  <si>
    <t>Évaluer chaque demande avec une analyse coût/bénéfice rigoureuse</t>
  </si>
  <si>
    <t>Communication des évolutions à l’ensemble des acteurs</t>
  </si>
  <si>
    <t>Les évolutions du périmètre sont-elles clairement communiquées à tous les acteurs du projet ?</t>
  </si>
  <si>
    <t>Notes d’information, courriers, comptes rendus de comités</t>
  </si>
  <si>
    <t>Mauvaise compréhension du périmètre, tensions</t>
  </si>
  <si>
    <t>Erreurs de mise en œuvre, baisse de motivation ou de cohérence</t>
  </si>
  <si>
    <t>Mettre à jour régulièrement le périmètre partagé à tous les acteurs du projet</t>
  </si>
  <si>
    <t>S’assurer que les demandes d'évolutions sont formalisées ;</t>
  </si>
  <si>
    <t>Existence d’un processus de formalisation des demandes</t>
  </si>
  <si>
    <t>Existe-t-il un processus clair et documenté pour formaliser chaque demande d’évolution ?</t>
  </si>
  <si>
    <t>Procédure de gestion des changements, fiche de demande d’évolution</t>
  </si>
  <si>
    <t>Changements non cadrés, décisions prises à l’oral</t>
  </si>
  <si>
    <t>Perte de traçabilité, mauvaise gestion du périmètre</t>
  </si>
  <si>
    <t>Mettre en place un formulaire normalisé pour toute demande d’évolution</t>
  </si>
  <si>
    <t>Traçabilité des demandes d’évolution</t>
  </si>
  <si>
    <t>Chaque demande d’évolution est-elle enregistrée dans un registre de suivi ?</t>
  </si>
  <si>
    <t>Registre des changements, historique des modifications</t>
  </si>
  <si>
    <t>Oublis, doublons, incohérences</t>
  </si>
  <si>
    <t>Incompréhensions entre MOA et MOE, efforts redondants</t>
  </si>
  <si>
    <t>Tenir à jour un registre horodaté des demandes d’évolution</t>
  </si>
  <si>
    <t>Validation formelle des demandes</t>
  </si>
  <si>
    <t>Chaque demande d’évolution est-elle validée par les parties concernées avant mise en œuvre ?</t>
  </si>
  <si>
    <t>Signature de validation, PV de comité de pilotage</t>
  </si>
  <si>
    <t>Évolutions non approuvées, engagements unilatéraux</t>
  </si>
  <si>
    <t>Non-conformité, conflits entre parties prenantes</t>
  </si>
  <si>
    <t>Valider chaque demande via une procédure officielle et partagée</t>
  </si>
  <si>
    <t>Analyse de l’impact des demandes</t>
  </si>
  <si>
    <t>Une analyse d’impact est-elle systématiquement réalisée avant toute validation ?</t>
  </si>
  <si>
    <t>Fiche d’impact, rapport de faisabilité</t>
  </si>
  <si>
    <t>Évolutions lourdes non anticipées</t>
  </si>
  <si>
    <t>Débordement du budget ou des délais, baisse de qualité</t>
  </si>
  <si>
    <t>Associer chaque demande à une analyse d’impact détaillée</t>
  </si>
  <si>
    <t>Communication des décisions</t>
  </si>
  <si>
    <t>Les décisions concernant les demandes sont-elles communiquées à tous les acteurs concernés ?</t>
  </si>
  <si>
    <t>Compte rendu de comité, mise à jour du plan de projet</t>
  </si>
  <si>
    <t>Manque d’alignement, incompréhension sur les changements</t>
  </si>
  <si>
    <t>Exécution erronée des nouvelles directives</t>
  </si>
  <si>
    <t>Mettre en place un canal de communication structuré pour les évolutions validées</t>
  </si>
  <si>
    <t>S’assurer qu’il existe une procédure de gestion des évolutionsdu périmètre</t>
  </si>
  <si>
    <t>existence d’une procédure formalisée de gestion du périmètre</t>
  </si>
  <si>
    <t>Une procédure de gestion des évolutions du périmètre existe-t-elle et est-elle formalisée ?</t>
  </si>
  <si>
    <t>Manuel qualité, procédure de gestion de projet, fiche d’évolution</t>
  </si>
  <si>
    <t>Évolutions non encadrées, risques de dérive</t>
  </si>
  <si>
    <t>Désalignement avec les objectifs initiaux, dérive de planning et de budget</t>
  </si>
  <si>
    <t>Formaliser une procédure claire de gestion des évolutions du périmètre</t>
  </si>
  <si>
    <t>Accessibilité et communication de la procédure</t>
  </si>
  <si>
    <t>La procédure est-elle connue et accessible à toutes les parties prenantes ?</t>
  </si>
  <si>
    <t>Plan de communication, intranet projet</t>
  </si>
  <si>
    <t>Mauvaise application des règles, incompréhensions</t>
  </si>
  <si>
    <t>Confusion dans le traitement des changements, rejet des nouvelles directives</t>
  </si>
  <si>
    <t>Diffuser largement la procédure et former les parties prenantes</t>
  </si>
  <si>
    <t>Application effective de la procédure</t>
  </si>
  <si>
    <t>La procédure est-elle effectivement utilisée pour gérer les demandes d’évolution du périmètre ?</t>
  </si>
  <si>
    <t>Registre des changements, rapports de revue de projet</t>
  </si>
  <si>
    <t>Procédures ignorées ou contournées</t>
  </si>
  <si>
    <t>Changements non validés ou non maîtrisés</t>
  </si>
  <si>
    <t>Réaliser des audits réguliers sur le respect de la procédure</t>
  </si>
  <si>
    <t>Suivi et traçabilité des évolutions</t>
  </si>
  <si>
    <t>Les évolutions sont-elles tracées et suivies selon la procédure définie ?</t>
  </si>
  <si>
    <t>Tableau de suivi, PV de comités</t>
  </si>
  <si>
    <t>Perte d'historique, absence de justification</t>
  </si>
  <si>
    <t>Reprise d’erreurs passées, incompréhensions dans les décisions</t>
  </si>
  <si>
    <t>Tenir un registre à jour avec toutes les évolutions et leurs validations</t>
  </si>
  <si>
    <t>Mise à jour de la procédure</t>
  </si>
  <si>
    <t>La procédure est-elle mise à jour régulièrement selon les retours d'expérience ?</t>
  </si>
  <si>
    <t>Historique des versions, comptes rendus d’audit</t>
  </si>
  <si>
    <t>Procédure obsolète, inadaptée au contexte</t>
  </si>
  <si>
    <t>Faible à Moyenne</t>
  </si>
  <si>
    <t>Diminution de la qualité de gestion des évolutions</t>
  </si>
  <si>
    <t>Intégrer une révision périodique de la procédure dans le plan qualité</t>
  </si>
  <si>
    <t>S’assurer qu’une mesure d'impact est effectuée</t>
  </si>
  <si>
    <t>Existence d’un processus de mesure d’impact</t>
  </si>
  <si>
    <t>Existe-t-il une procédure formalisée de mesure d’impact des changements ou évolutions ?</t>
  </si>
  <si>
    <t>Procédure de gestion des impacts, grille d’analyse d’impact</t>
  </si>
  <si>
    <t>Changements non évalués, décisions prises à l’aveugle</t>
  </si>
  <si>
    <t>Mauvais choix stratégique, perte de performance, insatisfaction des utilisateurs</t>
  </si>
  <si>
    <t>Mettre en place une procédure systématique de mesure d’impact</t>
  </si>
  <si>
    <t>Prise en compte des impacts multiples</t>
  </si>
  <si>
    <t>La mesure d’impact tient-elle compte des aspects techniques, organisationnels, RH, etc. ?</t>
  </si>
  <si>
    <t>Matrice d’impact, rapport d’analyse</t>
  </si>
  <si>
    <t>Analyse partielle, manque de visibilité globale</t>
  </si>
  <si>
    <t>Risques ignorés, mauvaise préparation aux changements</t>
  </si>
  <si>
    <t>Élaborer une grille multi-critères pour une évaluation complète</t>
  </si>
  <si>
    <t>Responsabilité de l’évaluation d’impact</t>
  </si>
  <si>
    <t>Un responsable identifié est-il chargé de conduire ou valider l’analyse d’impact ?</t>
  </si>
  <si>
    <t>RACI, fiche de responsabilités</t>
  </si>
  <si>
    <t>Absence de pilotage de l’analyse</t>
  </si>
  <si>
    <t>Analyses approximatives, absence de suivi</t>
  </si>
  <si>
    <t>Désigner un référent chargé de la cohérence des mesures d’impact</t>
  </si>
  <si>
    <t>Traçabilité des résultats de l’analyse</t>
  </si>
  <si>
    <t>Les résultats des mesures d’impact sont-ils documentés et partagés avec les parties ?</t>
  </si>
  <si>
    <t>Rapports, procès-verbaux de comités</t>
  </si>
  <si>
    <t>Manque de communication, retour d’expérience impossible</t>
  </si>
  <si>
    <t>Répétition des erreurs, perte d’information stratégique</t>
  </si>
  <si>
    <t>Archiver et diffuser chaque analyse d’impact de manière structurée</t>
  </si>
  <si>
    <t>Utilisation des résultats dans la prise de décision</t>
  </si>
  <si>
    <t>Les résultats de l’analyse d’impact sont-ils utilisés pour orienter les décisions ?</t>
  </si>
  <si>
    <t>CR de réunions, plan d’action</t>
  </si>
  <si>
    <t>Décisions prises indépendamment des données analysées</t>
  </si>
  <si>
    <t>Dérive stratégique, rejet des solutions proposées</t>
  </si>
  <si>
    <t>Intégrer la validation de l’analyse d’impact dans le processus décisionnel</t>
  </si>
  <si>
    <t>S’assurer qu’il existe une gestion des versions</t>
  </si>
  <si>
    <t>Existence d’un processus de gestion des versions</t>
  </si>
  <si>
    <t>Existe-t-il une procédure claire et formalisée de gestion des versions des livrables et systèmes ?</t>
  </si>
  <si>
    <t>Procédure de gestion de configuration, guide versioning</t>
  </si>
  <si>
    <t>Confusion entre versions, perte de traçabilité</t>
  </si>
  <si>
    <t>Déploiement de versions instables ou obsolètes</t>
  </si>
  <si>
    <t>Formaliser une politique de gestion des versions avec des règles claires</t>
  </si>
  <si>
    <t>Outils de gestion des versions utilisés</t>
  </si>
  <si>
    <t>Des outils (ex : Git, SVN, etc.) sont-ils utilisés pour tracer les versions ?</t>
  </si>
  <si>
    <t>Registre de version, historique des commits</t>
  </si>
  <si>
    <t>Absence d’historique fiable, travail écrasé ou dupliqué</t>
  </si>
  <si>
    <t>Perte d’avancement, erreurs de code, conflit de modifications</t>
  </si>
  <si>
    <t>Mettre en place un outil de gestion des versions adapté au type de projet</t>
  </si>
  <si>
    <t>Traçabilité et archivage des versions</t>
  </si>
  <si>
    <t>Chaque version est-elle identifiable, datée, documentée et archivée ?</t>
  </si>
  <si>
    <t>Historique des versions, plan de versionnage</t>
  </si>
  <si>
    <t>Versionnage incohérent, difficulté à revenir en arrière</t>
  </si>
  <si>
    <t>Instabilité des livrables, absence de base de référence fiable</t>
  </si>
  <si>
    <t>Adopter une nomenclature cohérente et assurer l’archivage structuré</t>
  </si>
  <si>
    <t>Communication des changements de version</t>
  </si>
  <si>
    <t>Les utilisateurs et intervenants sont-ils informés des nouvelles versions et de leurs impacts ?</t>
  </si>
  <si>
    <t>Notes de version, journal de mise à jour</t>
  </si>
  <si>
    <t>Mauvaise adoption, incompréhension sur les changements</t>
  </si>
  <si>
    <t>Rejets utilisateurs, incidents non anticipés</t>
  </si>
  <si>
    <t>Rédiger et diffuser des notes de version compréhensibles à chaque mise à jour</t>
  </si>
  <si>
    <t>Lien avec la gestion des évolutions</t>
  </si>
  <si>
    <t>La gestion des versions est-elle intégrée à la procédure globale de gestion des évolutions ?</t>
  </si>
  <si>
    <t>Procédure de gestion des changements, tableau de suivi</t>
  </si>
  <si>
    <t>Versions incohérentes avec les décisions prises</t>
  </si>
  <si>
    <t>Désalignement entre spécifications, développement et déploiement</t>
  </si>
  <si>
    <t>Intégrer le versionnage dans le processus global de gestion du projet et des évolutions</t>
  </si>
  <si>
    <t xml:space="preserve">S’assurer que les décisions sont prises dans un délaisatisfaisant </t>
  </si>
  <si>
    <t>Existence d’un processus décisionnel formalisé</t>
  </si>
  <si>
    <t>Le processus de prise de décision est-il défini et documenté ?</t>
  </si>
  <si>
    <t>Organigramme décisionnel, procédures internes</t>
  </si>
  <si>
    <t>Indécision, allongement des délais</t>
  </si>
  <si>
    <t>Blocages dans le projet, perte de productivité, démotivation des équipes</t>
  </si>
  <si>
    <t>Documenter le processus décisionnel avec des délais et niveaux de validation clairs</t>
  </si>
  <si>
    <t>Respect des délais de décision</t>
  </si>
  <si>
    <t>Les décisions sont-elles prises dans les délais définis ?</t>
  </si>
  <si>
    <t>Tableau de suivi des décisions, relevés de réunions</t>
  </si>
  <si>
    <t>Retards accumulés, effet domino sur d'autres activités</t>
  </si>
  <si>
    <t>Dépassement de planning, mauvaise synchronisation des phases</t>
  </si>
  <si>
    <t>Instaurer un suivi régulier des décisions en attente et fixer des échéances</t>
  </si>
  <si>
    <t>Responsabilité de la prise de décision</t>
  </si>
  <si>
    <t>Les responsabilités sont-elles clairement assignées pour chaque type de décision ?</t>
  </si>
  <si>
    <t>RACI, matrice de décision</t>
  </si>
  <si>
    <t>Flou sur qui doit décider, perte de temps</t>
  </si>
  <si>
    <t>Conflits ou hésitations dans les choix, manque de leadership</t>
  </si>
  <si>
    <t>Définir précisément les rôles décisionnels dans la gouvernance du projet</t>
  </si>
  <si>
    <t>Suivi des décisions et actions associées</t>
  </si>
  <si>
    <t>Existe-t-il un mécanisme de suivi des décisions et de leur mise en œuvre ?</t>
  </si>
  <si>
    <t>Registre des décisions, compte rendu de comités</t>
  </si>
  <si>
    <t>Décisions prises mais non appliquées</t>
  </si>
  <si>
    <t>Écart entre stratégie décidée et actions menées</t>
  </si>
  <si>
    <t>Mettre à jour régulièrement un registre de décisions et suivre les plans d’actions</t>
  </si>
  <si>
    <t>Réactivité en situation d’urgence ou de blocage</t>
  </si>
  <si>
    <t>Des mécanismes sont-ils prévus pour accélérer la prise de décision en cas d’urgence ?</t>
  </si>
  <si>
    <t>Procédure de gestion de crise ou d’urgence</t>
  </si>
  <si>
    <t>Paralysie du projet en cas d’imprévu</t>
  </si>
  <si>
    <t>Non-résolution rapide des problèmes critiques</t>
  </si>
  <si>
    <t>Mettre en place un circuit court de décision pour les situations à criticité élevée</t>
  </si>
  <si>
    <t>S’assurer que les décisions sont prises sur la base d'un niveaud'information pertinent ;</t>
  </si>
  <si>
    <t>Qualité de l'information fournie</t>
  </si>
  <si>
    <t>Les informations nécessaires à la prise de décision sont-elles complètes, fiables et à jour ?</t>
  </si>
  <si>
    <t>Dossiers d’aide à la décision, rapports d’analyse, KPI</t>
  </si>
  <si>
    <t>Décisions erronées fondées sur des données inexactes ou incomplètes</t>
  </si>
  <si>
    <t>Mauvais choix stratégiques ou opérationnels, perte de temps et de ressources</t>
  </si>
  <si>
    <t>Mettre en place un processus de validation de l’information utilisée pour la décision</t>
  </si>
  <si>
    <t>Pertinence des sources d'information</t>
  </si>
  <si>
    <t>Les sources d’information utilisées sont-elles pertinentes, vérifiées et adaptées au contexte ?</t>
  </si>
  <si>
    <t>Liste des sources, audit des sources</t>
  </si>
  <si>
    <t>Manipulation, biais, manque de crédibilité</t>
  </si>
  <si>
    <t>Décisions biaisées ou non adaptées à la réalité</t>
  </si>
  <si>
    <t>Utiliser des sources fiables et actualisées, validées par des experts</t>
  </si>
  <si>
    <t>Adéquation de l’information au niveau décisionnel</t>
  </si>
  <si>
    <t>Le niveau d'information fourni est-il adapté aux décideurs concernés (ni trop technique, ni vague) ?</t>
  </si>
  <si>
    <t>Notes de synthèse, tableaux de bord</t>
  </si>
  <si>
    <t>Mauvaise compréhension, dilution de l’essentiel</t>
  </si>
  <si>
    <t>Décisions prises sans saisir les enjeux réels</t>
  </si>
  <si>
    <t>Adapter la présentation de l’information au profil des décideurs</t>
  </si>
  <si>
    <t>Traçabilité de l'information utilisée</t>
  </si>
  <si>
    <t>Les données ayant servi de base aux décisions sont-elles tracées et justifiables ?</t>
  </si>
  <si>
    <t>Fiches de décision, annexes justificatives</t>
  </si>
  <si>
    <t>Manque de transparence, non-réplicabilité</t>
  </si>
  <si>
    <t>Impossibilité de justifier une décision, perte de confiance</t>
  </si>
  <si>
    <t>Conserver un dossier justificatif pour chaque décision importante</t>
  </si>
  <si>
    <t>Temps accordé à l’analyse de l’information</t>
  </si>
  <si>
    <t>Le temps consacré à l’analyse de l’information est-il suffisant pour éclairer la décision ?</t>
  </si>
  <si>
    <t>Planning de préparation des décisions</t>
  </si>
  <si>
    <t>Précipitation, décisions hâtives</t>
  </si>
  <si>
    <t>Prise de décision inefficace ou contre-productive</t>
  </si>
  <si>
    <t>Allouer un temps dédié à l’analyse préalable à chaque point de décision</t>
  </si>
  <si>
    <t xml:space="preserve">S’assurer que le manuel d'exploitation fait l'objet d'uneprocédure de mise à jour </t>
  </si>
  <si>
    <t>Existence d’une procédure de mise à jour</t>
  </si>
  <si>
    <t>Existe-t-il une procédure formalisée pour la mise à jour du manuel d'exploitation ?</t>
  </si>
  <si>
    <t>Procédure de mise à jour, calendrier des mises à jour</t>
  </si>
  <si>
    <t>Non-mise à jour régulière, incohérence avec le système opérationnel</t>
  </si>
  <si>
    <t>Mauvaise utilisation du manuel, obsolescence des informations</t>
  </si>
  <si>
    <t>Formaliser une procédure de mise à jour avec des responsabilités claires et des délais</t>
  </si>
  <si>
    <t>Fréquence des mises à jour</t>
  </si>
  <si>
    <t>La mise à jour du manuel d'exploitation est-elle effectuée à une fréquence régulière et définie ?</t>
  </si>
  <si>
    <t>Planning des mises à jour, historique des révisions</t>
  </si>
  <si>
    <t>Manque d’actualisation, informations dépassées</t>
  </si>
  <si>
    <t>Risque d’erreurs lors de l’exploitation, obsolescence des données</t>
  </si>
  <si>
    <t>Définir une fréquence et un calendrier de révision pour garantir une mise à jour continue</t>
  </si>
  <si>
    <t>Qui est responsable de la mise à jour du manuel d'exploitation ?</t>
  </si>
  <si>
    <t>Liste des responsables de la mise à jour</t>
  </si>
  <si>
    <t>Ambiguïté des rôles, absence de suivi</t>
  </si>
  <si>
    <t>Perte de contrôle, mise à jour incomplète ou incorrecte</t>
  </si>
  <si>
    <t>Désigner un responsable dédié à la mise à jour et à la vérification des informations</t>
  </si>
  <si>
    <t>Contrôle et validation des mises à jour</t>
  </si>
  <si>
    <t>Un contrôle est-il effectué pour valider les mises à jour du manuel d'exploitation ?</t>
  </si>
  <si>
    <t>Procédure de validation des mises à jour, validation formelle</t>
  </si>
  <si>
    <t>Modifications erronées validées sans vérification</t>
  </si>
  <si>
    <t>Erreurs dans les processus d'exploitation, incohérence avec les pratiques réelles</t>
  </si>
  <si>
    <t>Mettre en place une procédure de validation rigoureuse des mises à jour</t>
  </si>
  <si>
    <t>Communication des mises à jour</t>
  </si>
  <si>
    <t>Les utilisateurs sont-ils informés des mises à jour du manuel d'exploitation ?</t>
  </si>
  <si>
    <t>Registre des notifications, compte-rendu des réunions</t>
  </si>
  <si>
    <t>Manque de communication, absence de prise en compte des changements</t>
  </si>
  <si>
    <t>Non-adoption des nouvelles pratiques ou erreurs lors de l’utilisation du système</t>
  </si>
  <si>
    <t>Informer systématiquement tous les utilisateurs des mises à jour et modifications effectuées</t>
  </si>
  <si>
    <t>S’assurer que l’organisation de soutien aux utilisateurs estinformée des évolutions et les a anticipées</t>
  </si>
  <si>
    <t>Communication des évolutions aux équipes de soutien</t>
  </si>
  <si>
    <t>Les évolutions du système sont-elles régulièrement communiquées à l'organisation de soutien ?</t>
  </si>
  <si>
    <t>Plan de communication, relevé de réunions de coordination</t>
  </si>
  <si>
    <t>Manque d'information, retard dans la réponse aux incidents</t>
  </si>
  <si>
    <t>Incapacité à répondre rapidement aux besoins des utilisateurs</t>
  </si>
  <si>
    <t>Mettre en place un système de communication fluide entre les équipes de développement et de support</t>
  </si>
  <si>
    <t>Formation du support aux évolutions</t>
  </si>
  <si>
    <t>L’organisation de soutien reçoit-elle une formation régulière sur les évolutions du système ?</t>
  </si>
  <si>
    <t>Plan de formation, rapport de sessions de formation</t>
  </si>
  <si>
    <t>Inadéquation des compétences du support, mauvaise gestion des évolutions</t>
  </si>
  <si>
    <t>Mauvaise gestion des demandes des utilisateurs, réactivité réduite</t>
  </si>
  <si>
    <t>Prévoir des sessions de formation sur les évolutions pour le personnel de soutien</t>
  </si>
  <si>
    <t>Anticipation des besoins liés aux évolutions</t>
  </si>
  <si>
    <t>L’organisation de soutien anticipe-t-elle les besoins liés aux évolutions du système ?</t>
  </si>
  <si>
    <t>Analyse des besoins, feedback des utilisateurs</t>
  </si>
  <si>
    <t>Réactions retardées, manque de préparation face aux évolutions</t>
  </si>
  <si>
    <t>Insatisfaction des utilisateurs, augmentation des tickets de support</t>
  </si>
  <si>
    <t>Instaurer un processus d'anticipation et de préparation basé sur les retours des utilisateurs</t>
  </si>
  <si>
    <t>Suivi des évolutions post-déploiement</t>
  </si>
  <si>
    <t>L’organisation de soutien suit-elle l’impact des évolutions sur les utilisateurs après leur déploiement ?</t>
  </si>
  <si>
    <t>Tableau de suivi, rapports de performance</t>
  </si>
  <si>
    <t>Absence de suivi post-déploiement, non-identification des problèmes</t>
  </si>
  <si>
    <t>Problèmes non résolus rapidement, insatisfaction continue des utilisateurs</t>
  </si>
  <si>
    <t>Mettre en place un suivi systématique des évolutions après leur déploiement</t>
  </si>
  <si>
    <t>Accessibilité des informations sur les évolutions</t>
  </si>
  <si>
    <t>Les informations concernant les évolutions sont-elles facilement accessibles pour le support ?</t>
  </si>
  <si>
    <t>Base de données de documentation, manuel d’utilisation mis à jour</t>
  </si>
  <si>
    <t>Difficulté d'accès aux informations nécessaires à la résolution</t>
  </si>
  <si>
    <t>Réponse lente et inefficace aux demandes des utilisateurs</t>
  </si>
  <si>
    <t>Centraliser les informations sur les évolutions dans un système accessible et à jour</t>
  </si>
  <si>
    <t>S’assurer qu’il existe un bilan de qualité de l’évolution</t>
  </si>
  <si>
    <t>Existence d'un bilan de qualité formalisé</t>
  </si>
  <si>
    <t>Existe-t-il un bilan formalisé de la qualité des évolutions après chaque mise en œuvre ?</t>
  </si>
  <si>
    <t>Rapport d'évaluation, analyse de qualité, tableau de bord de suivi</t>
  </si>
  <si>
    <t>Absence de suivi qualitatif, erreurs non identifiées après mise à jour</t>
  </si>
  <si>
    <t>Problèmes persistants non résolus, insatisfaction des utilisateurs</t>
  </si>
  <si>
    <t>Formaliser un bilan de qualité post-évolution, à effectuer après chaque déploiement</t>
  </si>
  <si>
    <t>Critères d'évaluation de la qualité</t>
  </si>
  <si>
    <t>Les critères permettant d’évaluer la qualité des évolutions sont-ils définis et suivis ?</t>
  </si>
  <si>
    <t>Liste de critères de qualité, rapport d'audit qualité</t>
  </si>
  <si>
    <t>Manque de critères clairs, évaluation subjective ou imprécise</t>
  </si>
  <si>
    <t>Difficulté à évaluer l'impact réel des évolutions, non-prise en compte des erreurs</t>
  </si>
  <si>
    <t>Définir des critères de qualité précis et mesurables, adaptés à chaque évolution</t>
  </si>
  <si>
    <t>Suivi des résultats après évolution</t>
  </si>
  <si>
    <t>Les résultats des évolutions sont-ils suivis de manière continue après leur mise en œuvre ?</t>
  </si>
  <si>
    <t>Tableau de bord, rapports d'analyse post-déploiement</t>
  </si>
  <si>
    <t>Résultats non mesurés, évaluation incomplète</t>
  </si>
  <si>
    <t>Manque de données pour améliorer les processus futurs, mauvaise prise de décision</t>
  </si>
  <si>
    <t>Mettre en place un suivi post-déploiement pour évaluer l'impact des évolutions sur le long terme</t>
  </si>
  <si>
    <t>Prise en compte des retours des utilisateurs</t>
  </si>
  <si>
    <t>Les retours des utilisateurs sont-ils intégrés dans l’évaluation de la qualité des évolutions ?</t>
  </si>
  <si>
    <t>Questionnaire de satisfaction, rapports d'analyse de feedback</t>
  </si>
  <si>
    <t>Ignorer les retours utilisateurs, non-adoption des améliorations</t>
  </si>
  <si>
    <t>Risque de non-adaptation aux besoins réels, faible acceptation des évolutions</t>
  </si>
  <si>
    <t>Collecter et analyser systématiquement les retours des utilisateurs pour affiner les évolutions</t>
  </si>
  <si>
    <t>Actions correctives en fonction du bilan de qualité</t>
  </si>
  <si>
    <t>Des actions correctives sont-elles prises en fonction du bilan de qualité ?</t>
  </si>
  <si>
    <t>Plan d'actions, rapports d'amélioration continue</t>
  </si>
  <si>
    <t>Absence d’action corrective, maintien des mêmes erreurs</t>
  </si>
  <si>
    <t>Problèmes récurrents non corrigés, stagnation du projet</t>
  </si>
  <si>
    <t>Établir un plan d’action correctif à partir des bilans de qualité, pour assurer l’amélioration continue</t>
  </si>
  <si>
    <t>Mise en production</t>
  </si>
  <si>
    <t xml:space="preserve">S’assurer que les responsabilités respectives des directions des projets et de la production sont clairement établies et les périmètres décrits respectent les principes de séparation des tâches </t>
  </si>
  <si>
    <t>Clarté des responsabilités</t>
  </si>
  <si>
    <t>Les responsabilités des directions des projets et de la production sont-elles clairement définies ?</t>
  </si>
  <si>
    <t>Organigramme, charte de projet, description des rôles</t>
  </si>
  <si>
    <t>Ambiguïté des rôles, confusion dans la gestion des responsabilités</t>
  </si>
  <si>
    <t>Confusion dans les décisions, mauvaise gestion des tâches, retards dans le projet</t>
  </si>
  <si>
    <t>Clarifier les responsabilités des directions dans un document officiel, avec des rôles définis</t>
  </si>
  <si>
    <t>Séparation des tâches entre les directions</t>
  </si>
  <si>
    <t>Les périmètres des directions des projets et de la production respectent-ils les principes de séparation des tâches ?</t>
  </si>
  <si>
    <t>Description des périmètres de chaque direction, plan de projet</t>
  </si>
  <si>
    <t>Non-respect de la séparation des tâches, chevauchement des responsabilités</t>
  </si>
  <si>
    <t>Conflits de gestion, inefficacité dans les processus, manque de coordination</t>
  </si>
  <si>
    <t>Définir clairement les périmètres de chaque direction pour éviter les conflits et chevauchements</t>
  </si>
  <si>
    <t>Coordination entre les directions</t>
  </si>
  <si>
    <t>Existe-t-il un mécanisme de coordination formalisé entre la direction des projets et la direction de la production ?</t>
  </si>
  <si>
    <t>Plan de coordination, protocoles de communication</t>
  </si>
  <si>
    <t>Manque de coordination, erreurs dans la transmission des informations</t>
  </si>
  <si>
    <t>Risque de disfonctionnement dans l’exécution des tâches, manque de communication</t>
  </si>
  <si>
    <t>Mettre en place une communication régulière et des réunions de coordination entre les équipes</t>
  </si>
  <si>
    <t>Suivi des responsabilités</t>
  </si>
  <si>
    <t>Le suivi des responsabilités et des actions des différentes directions est-il effectué de manière rigoureuse ?</t>
  </si>
  <si>
    <t>Tableaux de suivi des responsabilités, rapports de performance</t>
  </si>
  <si>
    <t>Absence de suivi, mauvaise attribution des tâches</t>
  </si>
  <si>
    <t>Problèmes non identifiés à temps, retard dans l’exécution des tâches</t>
  </si>
  <si>
    <t>Créer un système de suivi des responsabilités et des actions au sein des directions</t>
  </si>
  <si>
    <t>Documenter les responsabilités et périmètres</t>
  </si>
  <si>
    <t>Les responsabilités et périmètres sont-ils bien documentés et accessibles à tous les acteurs concernés ?</t>
  </si>
  <si>
    <t>Documentation officielle, référentiel de gestion de projet</t>
  </si>
  <si>
    <t>Documentation incomplète ou inaccessible</t>
  </si>
  <si>
    <t>Problèmes d’alignement entre les équipes, confusion sur les attentes et actions</t>
  </si>
  <si>
    <t>Assurer une documentation claire, accessible et à jour sur les responsabilités et périmètres</t>
  </si>
  <si>
    <t>S’assurer qu’il existe un document décrivant les responsabilitésrespectives des projets et de la production lors d’une mise en production</t>
  </si>
  <si>
    <t>Existence du document de responsabilités</t>
  </si>
  <si>
    <t>Existe-t-il un document formel décrivant les responsabilités respectives des projets et de la production lors d’une mise en production ?</t>
  </si>
  <si>
    <t>Document de répartition des responsabilités, plan de mise en production</t>
  </si>
  <si>
    <t>Absence de clarté sur les rôles, risques de confusion lors de la mise en production</t>
  </si>
  <si>
    <t>Confusion lors de la mise en production, erreurs d’attribution des responsabilités</t>
  </si>
  <si>
    <t>Formaliser un document officiel décrivant clairement les responsabilités avant la mise en production</t>
  </si>
  <si>
    <t>Les responsabilités des équipes projets et production sont-elles clairement définies et séparées ?</t>
  </si>
  <si>
    <t>Charte de mise en production, organigramme des équipes</t>
  </si>
  <si>
    <t>Manque de définition claire des rôles, confusion sur les actions à entreprendre</t>
  </si>
  <si>
    <t>Risques d’erreurs, délais non respectés, mise en production chaotique</t>
  </si>
  <si>
    <t>Préciser et formaliser chaque rôle dans le processus de mise en production</t>
  </si>
  <si>
    <t>Accessibilité du document</t>
  </si>
  <si>
    <t>Le document est-il accessible à toutes les parties prenantes impliquées dans la mise en production ?</t>
  </si>
  <si>
    <t>Référentiel de documents de projet, plateforme de gestion de projet</t>
  </si>
  <si>
    <t>Documentation non partagée, difficultés d’accès pour les parties prenantes</t>
  </si>
  <si>
    <t>Mauvaise coordination, perte de temps, erreurs de communication</t>
  </si>
  <si>
    <t>Assurer une accessibilité facile et rapide du document à toutes les équipes concernées</t>
  </si>
  <si>
    <t>Révision et mise à jour régulière</t>
  </si>
  <si>
    <t>Le document est-il régulièrement mis à jour en fonction des évolutions du projet ou des besoins spécifiques de mise en production ?</t>
  </si>
  <si>
    <t>Historique des mises à jour du document, rapport de revue des processus</t>
  </si>
  <si>
    <t>Absence de mise à jour, documents obsolètes ou non adaptés aux évolutions</t>
  </si>
  <si>
    <t>Risques de non-adaptation aux nouvelles exigences, erreurs de préparation</t>
  </si>
  <si>
    <t>Mettre en place une procédure de mise à jour régulière pour que le document reste pertinent</t>
  </si>
  <si>
    <t>Validation du document</t>
  </si>
  <si>
    <t>Le document a-t-il été validé par les parties prenantes concernées, y compris la direction et les responsables de la production ?</t>
  </si>
  <si>
    <t>Compte rendu de validation, preuve de signature du document</t>
  </si>
  <si>
    <t>Document non validé, désalignement entre les équipes sur les responsabilités</t>
  </si>
  <si>
    <t>Risques de non-respect des rôles, problèmes de communication pendant la mise en production</t>
  </si>
  <si>
    <t>S’assurer que le document soit validé et signé par toutes les parties prenantes avant mise en production</t>
  </si>
  <si>
    <t>S’assurer que les équipes projet et de production connaissentet respectent ce document</t>
  </si>
  <si>
    <t>Connaissance du document par les équipes</t>
  </si>
  <si>
    <t>Les équipes projet et production connaissent-elles le document décrivant les responsabilités lors de la mise en production ?</t>
  </si>
  <si>
    <t>Rapport de formation, liste de diffusion du document</t>
  </si>
  <si>
    <t>Manque de connaissance du document, erreurs dans l’exécution des tâches</t>
  </si>
  <si>
    <t>Risques de confusion lors de la mise en production, erreurs d'attribution des rôles</t>
  </si>
  <si>
    <t>Organiser des sessions de formation pour assurer la compréhension du document par toutes les équipes</t>
  </si>
  <si>
    <t>Respect des responsabilités définies dans le document</t>
  </si>
  <si>
    <t>Les équipes respectent-elles les responsabilités définies dans le document lors de la mise en production ?</t>
  </si>
  <si>
    <t>Suivi des actions et des responsabilités, rapport de conformité</t>
  </si>
  <si>
    <t>Non-respect des responsabilités, mauvaise coordination entre les équipes</t>
  </si>
  <si>
    <t>Retards dans la mise en production, erreurs dans l'exécution des rôles</t>
  </si>
  <si>
    <t>Mettre en place un système de suivi pour vérifier l’application des responsabilités définies</t>
  </si>
  <si>
    <t>Formation sur le document</t>
  </si>
  <si>
    <t>Les équipes ont-elles reçu une formation sur le document et son application lors de la mise en production ?</t>
  </si>
  <si>
    <t>Planning de formation, registre des participants</t>
  </si>
  <si>
    <t>Absence de formation, mauvaise application des processus définis</t>
  </si>
  <si>
    <t>Mauvaise préparation des équipes, confusion dans la mise en production</t>
  </si>
  <si>
    <t>Assurer une formation initiale et des rappels réguliers pour garantir l’adhésion au document</t>
  </si>
  <si>
    <t>Communication sur le document</t>
  </si>
  <si>
    <t>Le document a-t-il été communiqué à toutes les parties prenantes (projet et production) avant la mise en production ?</t>
  </si>
  <si>
    <t>Liste de diffusion, rapport de communication interne</t>
  </si>
  <si>
    <t>Mauvaise circulation de l'information, confusion entre les équipes</t>
  </si>
  <si>
    <t>Non-respect des responsabilités, problèmes dans la mise en production</t>
  </si>
  <si>
    <t>Garantir une distribution claire et complète du document à toutes les parties prenantes</t>
  </si>
  <si>
    <t>Suivi du respect du document</t>
  </si>
  <si>
    <t>Un suivi est-il effectué pour vérifier que les équipes respectent bien les responsabilités définies dans le document ?</t>
  </si>
  <si>
    <t>Tableau de suivi des responsabilités, rapports de contrôle</t>
  </si>
  <si>
    <t>Absence de mécanisme de suivi, non détection des écarts dans le respect des responsabilités</t>
  </si>
  <si>
    <t>Erreurs ou négligence non détectées, retards dans le projet</t>
  </si>
  <si>
    <t>Instaurer un suivi rigoureux avec des points de contrôle réguliers pendant la mise en production</t>
  </si>
  <si>
    <t>Organiser des sessions de formation pour assurer que toutes les équipes comprennent le document</t>
  </si>
  <si>
    <t>Mettre en place un système de suivi et des rappels pour garantir que le document est respecté</t>
  </si>
  <si>
    <t>Assurer une formation initiale et un suivi de rappel régulier auprès des équipes</t>
  </si>
  <si>
    <t>Communication du document</t>
  </si>
  <si>
    <t>Non-respect des responsabilités, mauvaise communication lors de la mise en production</t>
  </si>
  <si>
    <t>S'assurer que le document est distribué et bien compris par toutes les équipes concernées</t>
  </si>
  <si>
    <t>Erreurs ou négligence non détectées, mise en production chaotique</t>
  </si>
  <si>
    <t>Mettre en place un mécanisme de suivi rigoureux pour s’assurer du respect des responsabilités</t>
  </si>
  <si>
    <t>S’assurer que les membres de l’organisation et les fournisseursrespectent leurs obligations lors de la mise en production</t>
  </si>
  <si>
    <t>Respect des obligations par les membres de l’organisation</t>
  </si>
  <si>
    <t>Les membres de l’organisation respectent-ils leurs obligations et responsabilités définies pour la mise en production ?</t>
  </si>
  <si>
    <t>Rapport de suivi, liste des responsabilités, plan de mise en production</t>
  </si>
  <si>
    <t>Non-respect des engagements, retards ou erreurs dans la mise en production</t>
  </si>
  <si>
    <t>Retards dans la mise en production, défaillance de l'organisation</t>
  </si>
  <si>
    <t>Mettre en place des rappels réguliers et des mécanismes de contrôle pour garantir le respect des obligations</t>
  </si>
  <si>
    <t>Respect des obligations par les fournisseurs</t>
  </si>
  <si>
    <t>Les fournisseurs respectent-ils les obligations définies dans le contrat pour la mise en production ?</t>
  </si>
  <si>
    <t>Contrat de prestation, rapports de suivi fournisseur</t>
  </si>
  <si>
    <t>Non-respect des engagements des fournisseurs, délais non respectés</t>
  </si>
  <si>
    <t>Retards dans la mise en production, qualité insuffisante des livrables fournis</t>
  </si>
  <si>
    <t>Effectuer des suivis réguliers et des réunions avec les fournisseurs pour assurer la conformité</t>
  </si>
  <si>
    <t>Suivi de l'avancement des obligations</t>
  </si>
  <si>
    <t>Un suivi régulier est-il effectué pour vérifier que les membres de l'organisation et les fournisseurs respectent leurs obligations ?</t>
  </si>
  <si>
    <t>Tableau de bord de suivi, rapports d’avancement</t>
  </si>
  <si>
    <t>Absence de suivi, non-détection des écarts dans le respect des obligations</t>
  </si>
  <si>
    <t>Retards ou défauts de qualité non identifiés à temps, mise en production retardée</t>
  </si>
  <si>
    <t>Mettre en place des outils de suivi rigoureux et des points de contrôle réguliers</t>
  </si>
  <si>
    <t>Communication des obligations</t>
  </si>
  <si>
    <t>Les obligations sont-elles communiquées clairement à tous les acteurs concernés (organisation et fournisseurs) ?</t>
  </si>
  <si>
    <t>Plan de communication, rapports de réunion</t>
  </si>
  <si>
    <t>Mauvaise communication, confusion sur les responsabilités</t>
  </si>
  <si>
    <t>Malentendus, retards ou erreurs dans la mise en production</t>
  </si>
  <si>
    <t>Assurer une communication claire et efficace de toutes les obligations auprès des parties prenantes</t>
  </si>
  <si>
    <t>Mesure des performances et des résultats</t>
  </si>
  <si>
    <t>Des indicateurs sont-ils utilisés pour mesurer que les obligations sont respectées par les parties prenantes ?</t>
  </si>
  <si>
    <t>Indicateurs de performance, tableau de suivi des obligations</t>
  </si>
  <si>
    <t>Absence de mesure de la performance, difficultés à évaluer le respect des obligations</t>
  </si>
  <si>
    <t>Mauvaise gestion des performances, manque de visibilité sur l’avancement du projet</t>
  </si>
  <si>
    <t>Implémenter des indicateurs de performance clairs et pertinents pour suivre le respect des obligations</t>
  </si>
  <si>
    <t>S’assurer que la bascule de la garantie vers la maintenance estorganisée à travers des documents contractuels clairs</t>
  </si>
  <si>
    <t>Existence de documents contractuels clairs pour la bascule</t>
  </si>
  <si>
    <t>Existe-t-il des documents contractuels clairs définissant la bascule de la garantie vers la maintenance ?</t>
  </si>
  <si>
    <t>Contrat de maintenance, avenant de transition, SLA (Service Level Agreement)</t>
  </si>
  <si>
    <t>Manque de documentation claire, confusion sur les responsabilités</t>
  </si>
  <si>
    <t>Risques de malentendus, non-respect des engagements, coûts supplémentaires</t>
  </si>
  <si>
    <t>Formaliser les documents contractuels pour la transition et s'assurer de leur compréhension par toutes les parties</t>
  </si>
  <si>
    <t>Conditions de bascule définies clairement</t>
  </si>
  <si>
    <t>Les conditions de bascule de la garantie vers la maintenance sont-elles clairement définies dans les documents contractuels ?</t>
  </si>
  <si>
    <t>Avenant contractuel, plan de transition, clauses de garantie et de maintenance</t>
  </si>
  <si>
    <t>Ambiguïté sur les critères de bascule, conflits entre parties</t>
  </si>
  <si>
    <t>Retards dans la transition, conflits contractuels, confusion sur les responsabilités</t>
  </si>
  <si>
    <t>Clarifier les conditions de bascule dans les documents contractuels et valider avec toutes les parties prenantes</t>
  </si>
  <si>
    <t>Communication des conditions de bascule aux parties prenantes</t>
  </si>
  <si>
    <t>Les conditions de bascule sont-elles clairement communiquées à toutes les parties prenantes (MOA, MOE, fournisseurs) ?</t>
  </si>
  <si>
    <t>Compte-rendu de réunion, plan de communication interne</t>
  </si>
  <si>
    <t>Mauvaise communication des conditions, confusion sur les responsabilités</t>
  </si>
  <si>
    <t>Mauvais alignement entre les parties, non-respect des engagements contractuels</t>
  </si>
  <si>
    <t>Organiser des réunions de clarification avec toutes les parties et fournir des documents détaillés</t>
  </si>
  <si>
    <t>Suivi de la transition garantie vers maintenance</t>
  </si>
  <si>
    <t>Un suivi est-il mis en place pour assurer que la transition de la garantie vers la maintenance se déroule conformément aux documents contractuels ?</t>
  </si>
  <si>
    <t>Rapport de suivi de transition, tableau de bord de suivi de performance</t>
  </si>
  <si>
    <t>Absence de suivi, mauvaise gestion de la transition</t>
  </si>
  <si>
    <t>Difficulté à suivre l’avancement de la transition, risques d'oublis ou d'écarts</t>
  </si>
  <si>
    <t>Mettre en place un suivi détaillé de la transition et des indicateurs de performance pour assurer la conformité</t>
  </si>
  <si>
    <t>Révision et validation des documents de bascule</t>
  </si>
  <si>
    <t>Les documents de bascule ont-ils été validés et révisés par toutes les parties prenantes avant la transition ?</t>
  </si>
  <si>
    <t>Validation par les responsables des contrats, accords de bascule</t>
  </si>
  <si>
    <t>Documents non validés par toutes les parties, mauvaises interprétations des termes</t>
  </si>
  <si>
    <t>Retards dans la mise en place de la maintenance, problèmes de conformité</t>
  </si>
  <si>
    <t>S’assurer que les documents de bascule sont validés formellement par toutes les parties avant la transition</t>
  </si>
  <si>
    <t>Points de contrôle</t>
  </si>
  <si>
    <t>objectifs de contrôle</t>
  </si>
  <si>
    <t>criteres d'evaluation</t>
  </si>
  <si>
    <t>Questions d'evaluation</t>
  </si>
  <si>
    <t>Consequences</t>
  </si>
  <si>
    <t>Audit des applications en service</t>
  </si>
  <si>
    <t>Décision de création du comité informatique signée par le DG</t>
  </si>
  <si>
    <t>Existe-t-il un comité informatique ?</t>
  </si>
  <si>
    <t>Inexistence d'un comité informatique</t>
  </si>
  <si>
    <t>Décisions informatiques déconnectées des besoins métiers.</t>
  </si>
  <si>
    <t>mpliquer les métiers dans les instances de décision concernant les SI.</t>
  </si>
  <si>
    <t>Procès-verbal de réunion attestant de la création du comité informatique.</t>
  </si>
  <si>
    <t>Formaliser les besoins métiers et les traduire en exigences fonctionnelles et techniques.</t>
  </si>
  <si>
    <t>PV de session du comité</t>
  </si>
  <si>
    <t>Le Comité est-il présidé par le Directeur Général ?</t>
  </si>
  <si>
    <t>Le Comité n'est pas présidé par le Directeur Général</t>
  </si>
  <si>
    <t>Manque d'autorité et de légitimité des décisions du comité.</t>
  </si>
  <si>
    <t>Clarifier les rôles et responsabilités du comité de pilotage SI.</t>
  </si>
  <si>
    <t>Décision de nomination du Président du comité informatique signée par le Directeur Général.</t>
  </si>
  <si>
    <t>Documenter les décisions prises et les diffuser aux parties prenantes.</t>
  </si>
  <si>
    <t>Les directions utilisatrices sont représentées au sein de ce Comité</t>
  </si>
  <si>
    <t>Décision d'affectation des directions au comité</t>
  </si>
  <si>
    <t>Les directions utilisatrices sont-elles représentées au sein de ce Comité ?</t>
  </si>
  <si>
    <t>Les directions utilisatrices ne sont pas représentées au sein de 
 ce Comité.</t>
  </si>
  <si>
    <t>Systèmes inadaptés aux besoins réels des utilisateurs.</t>
  </si>
  <si>
    <t>Mener des études d'utilisabilité et des tests utilisateurs avant et après la mise en production.</t>
  </si>
  <si>
    <t>Mettre en place un processus de recueil et de gestion des feedbacks utilisateurs.</t>
  </si>
  <si>
    <t>Les directions utilisatrices sont influentes au sein de ce Comité</t>
  </si>
  <si>
    <t>Procès-verbal des réunions mentionnant les contributions des directions utilisatrices</t>
  </si>
  <si>
    <t>Les directions utilisatrices sont-elles influentes au sein de ce Comité ?</t>
  </si>
  <si>
    <t>Les directions utilisatrices ne sont pas influentes au sein de ce 
 Comité</t>
  </si>
  <si>
    <t>Faible adoption par les utilisateurs et non atteinte des objectifs métiers.</t>
  </si>
  <si>
    <t>Accompagner les utilisateurs dans la prise en main des nouveaux systèmes.</t>
  </si>
  <si>
    <t>Document de gouvernance IT attestant du poids décisionnel des directions métiers</t>
  </si>
  <si>
    <t>Définir des indicateurs de performance (KPI) pour mesurer l'adoption et l'atteinte des objectifs.</t>
  </si>
  <si>
    <t>L'ordre du jour des réunions est documenté?</t>
  </si>
  <si>
    <t>Ordres du jour archivés des réunions du comité</t>
  </si>
  <si>
    <t>L'ordre du jour des réunions est-il documenté?</t>
  </si>
  <si>
    <t>Systèmes inadaptés aux besoins métiers.</t>
  </si>
  <si>
    <t>Pertes de temps et sujets importants non traités.</t>
  </si>
  <si>
    <t>Prioriser les sujets et les tâches en fonction de leur importance et de leur urgence.</t>
  </si>
  <si>
    <t>Procès-verbaux des réunions avec suivi des points traités</t>
  </si>
  <si>
    <t>Mettre en place des outils de gestion de projet et de suivi des tâches.</t>
  </si>
  <si>
    <t>S’assurer de l’existence d'une politique relative aux 
 applications</t>
  </si>
  <si>
    <t>Document officiel de la politique applicative</t>
  </si>
  <si>
    <t>Existe-t-il une politique relative aux applications au sein de l'institution?</t>
  </si>
  <si>
    <t>Réunions inefficaces.</t>
  </si>
  <si>
    <t>Coûts élevés et duplication des fonctions.</t>
  </si>
  <si>
    <t>Rationaliser les applications et les systèmes existants.</t>
  </si>
  <si>
    <t>Procès-verbal de validation par la direction générale</t>
  </si>
  <si>
    <t>Automatiser les tâches répétitives et chronophages.</t>
  </si>
  <si>
    <t>La politique est connue des utilisateurs d'applications</t>
  </si>
  <si>
    <t>Registre des formations suivies par les utilisateurs</t>
  </si>
  <si>
    <t>La politique est-elle connue des utilisateurs d'applications?</t>
  </si>
  <si>
    <t>Gestion anarchique des applications.</t>
  </si>
  <si>
    <t>Problèmes de sécurité et erreurs d'utilisation.</t>
  </si>
  <si>
    <t>Sensibiliser les utilisateurs aux bonnes pratiques de sécurité.</t>
  </si>
  <si>
    <t>Attestations de connaissance de la politique signées par les utilisateurs</t>
  </si>
  <si>
    <t>Mettre en place des contrôles d'accès et des mécanismes d'authentification robustes.</t>
  </si>
  <si>
    <t>Plan de communication institutionnel</t>
  </si>
  <si>
    <t>La politique est-elle largement diffusée?</t>
  </si>
  <si>
    <t>Non-respect de la politique.</t>
  </si>
  <si>
    <t>Application incomplète de la politique et problèmes de conformité.</t>
  </si>
  <si>
    <t>Formaliser et diffuser la politique de sécurité SI.</t>
  </si>
  <si>
    <t>Preuves matérielles de diffusion (emails, publications intranet)</t>
  </si>
  <si>
    <t>Effectuer des audits réguliers pour vérifier la conformité aux normes et réglementations.</t>
  </si>
  <si>
    <t>Rapport d'audit de conformité</t>
  </si>
  <si>
    <t>La politique est-elle mise en œuvre?</t>
  </si>
  <si>
    <t>Méconnaissance de la politique par une partie du personnel.</t>
  </si>
  <si>
    <t>Aucun impact concret sur les pratiques et les problèmes persistent.</t>
  </si>
  <si>
    <t>Mettre en place un plan d'action correctif pour résoudre les problèmes identifiés.</t>
  </si>
  <si>
    <t>Journal des contrôles effectués</t>
  </si>
  <si>
    <t>Suivre l'efficacité des actions correctives et ajuster si nécessaire.</t>
  </si>
  <si>
    <t>Document décrivant le cycle de vie complet des applications</t>
  </si>
  <si>
    <t>La politique couvre-t-elle l'ensemble du cycle de vie de l'application?</t>
  </si>
  <si>
    <t>La politique reste théorique.</t>
  </si>
  <si>
    <t>Problèmes de sécurité et erreurs lors de certaines phases du cycle de vie de l'application.</t>
  </si>
  <si>
    <t>Intégrer la sécurité dès la phase de conception des applications (approche Security by Design).</t>
  </si>
  <si>
    <t>Procédures opérationnelles pour chaque phase du cycle</t>
  </si>
  <si>
    <t>Réaliser des tests de sécurité tout au long du cycle de développement.</t>
  </si>
  <si>
    <t>La politique favorise la responsabilisation des utilisateurs dans l'usage de leur système d’information (application)</t>
  </si>
  <si>
    <t>Charte d'utilisation signée par les utilisateurs</t>
  </si>
  <si>
    <t>La politique favorise-t-elle la responsabilisation des utilisateurs dans l'usage de leur système d'information (application)?</t>
  </si>
  <si>
    <t>La politique est incomplète et ne couvre pas toutes les étapes.</t>
  </si>
  <si>
    <t>Mauvaise qualité des données et pertes d'informations.</t>
  </si>
  <si>
    <t>Mettre en place des processus de validation et de nettoyage des données.</t>
  </si>
  <si>
    <t>Sauvegarder régulièrement les données et mettre en place un plan de reprise d'activité.</t>
  </si>
  <si>
    <t>Fiches de poste avec responsabilités applicatives définies</t>
  </si>
  <si>
    <t>La politique préconise-t-elle l'attribution formelle de responsabilités aux utilisateurs du système (application)?</t>
  </si>
  <si>
    <t>Manque d'implication des utilisateurs.</t>
  </si>
  <si>
    <t>Manque de clarté sur qui fait quoi et erreurs fréquentes.</t>
  </si>
  <si>
    <t>Définir clairement les rôles et responsabilités de chaque acteur.</t>
  </si>
  <si>
    <t>Matrice RACI officielle</t>
  </si>
  <si>
    <t>Documenter les processus et les procédures.</t>
  </si>
  <si>
    <t>S’assurer que les rôle et responsabilités des utilisateurs sont 
 bien définis</t>
  </si>
  <si>
    <t>Le rôle et les responsabilités des utilisateurs vis-à-vis de l’application sont clairement identifiés</t>
  </si>
  <si>
    <t>Manuel des procédures utilisateurs</t>
  </si>
  <si>
    <t>Le rôle et les responsabilités des utilisateurs vis-à-vis de l'application sont-ils clairement identifiés?</t>
  </si>
  <si>
    <t>Responsabilités mal définies.</t>
  </si>
  <si>
    <t>Difficultés à identifier les responsables en cas de problème.</t>
  </si>
  <si>
    <t>Mettre en place une matrice RACI (Responsible, Accountable, Consulted, Informed).</t>
  </si>
  <si>
    <t>Tableau des droits d'accès par profil métier</t>
  </si>
  <si>
    <t>Définir un processus d'escalade des problèmes.</t>
  </si>
  <si>
    <t>Le rôle et les responsabilités des utilisateurs vis-à-vis de l’application couvrent l’analyse des risques</t>
  </si>
  <si>
    <t>Rapport d'analyse des risques impliquant les utilisateurs métiers</t>
  </si>
  <si>
    <t>Le rôle et les responsabilités des utilisateurs vis-à-vis de l'application couvrent-ils l'analyse des risques?</t>
  </si>
  <si>
    <t>Manque de clarté sur les rôles et responsabilités.</t>
  </si>
  <si>
    <t>Mesures de sécurité non adaptées.</t>
  </si>
  <si>
    <t>Effectuer une analyse de risques pour identifier les menaces et les vulnérabilités.</t>
  </si>
  <si>
    <t>Procès-verbal de validation des risques par les responsables métiers</t>
  </si>
  <si>
    <t>Mettre en place des mesures de sécurité appropriées pour atténuer les risques.</t>
  </si>
  <si>
    <t>Cahier des charges sécurité co-construit avec les métiers</t>
  </si>
  <si>
    <t>Le rôle et les responsabilités des utilisateurs vis-à-vis de l'application couvrent-ils la définition des besoins de sécurité?</t>
  </si>
  <si>
    <t>Absence de prise en compte des besoins de sécurité par les utilisateurs.</t>
  </si>
  <si>
    <t>Systèmes obsolètes.</t>
  </si>
  <si>
    <t>Systèmes à jour et maintenus.</t>
  </si>
  <si>
    <t>PV de réunion de définition des exigences de sécurité</t>
  </si>
  <si>
    <t>Plan de secours et de reprise après sinistre.</t>
  </si>
  <si>
    <t>Procédure formalisée de gestion des changements</t>
  </si>
  <si>
    <t>Le rôle et les responsabilités des utilisateurs vis-à-vis de l'application couvrent-ils la gestion des changements et des évolutions?</t>
  </si>
  <si>
    <t>Gestion des changements et des évolutions inadaptée aux besoins.</t>
  </si>
  <si>
    <t>Difficultés à maintenir l'application et insatisfaction des utilisateurs.</t>
  </si>
  <si>
    <t>Définir des objectifs de sécurité clairs et mesurables.</t>
  </si>
  <si>
    <t>Registre des demandes d'évolution initiées par les métiers</t>
  </si>
  <si>
    <t>Suivre et évaluer régulièrement la performance de la sécurité.</t>
  </si>
  <si>
    <t>Le rôle et les responsabilités des utilisateurs vis-à-vis de l’application couvrent l’administration de l’application</t>
  </si>
  <si>
    <t>Procédures d'administration déléguée aux utilisateurs</t>
  </si>
  <si>
    <t>Le rôle et les responsabilités des utilisateurs vis-à-vis de l'application couvrent-ils l'administration de l'application?</t>
  </si>
  <si>
    <t>Administration de l'application déconnectée des besoins des utilisateurs.</t>
  </si>
  <si>
    <t>Difficulté à maintenir l'application et insatisfaction des utilisateurs.</t>
  </si>
  <si>
    <t>Séparer les tâches critiques pour éviter les conflits d'intérêts et les fraudes.</t>
  </si>
  <si>
    <t>Journal des opérations administratives réalisées par les métiers</t>
  </si>
  <si>
    <t>Former le personnel sur les politiques et procédures de sécurité.</t>
  </si>
  <si>
    <t>Rapport complet d'analyse des risques applicative</t>
  </si>
  <si>
    <t>Une analyse des risques spécifique à l'application a-t-elle été réalisée?</t>
  </si>
  <si>
    <t>Mauvaise identification des risques pour l'application.</t>
  </si>
  <si>
    <t>Définir un niveau de sécurité cible et allouer les ressources nécessaires.</t>
  </si>
  <si>
    <t>Grille d'évaluation des risques spécifique à l'application</t>
  </si>
  <si>
    <t>Mettre en œuvre des contrôles de sécurité pour surveiller et protéger les systèmes.</t>
  </si>
  <si>
    <t>L'analyse des risques a débouché sur la définition des besoins de sécurité</t>
  </si>
  <si>
    <t>Document de synthèse des besoins de sécurité</t>
  </si>
  <si>
    <t>L'analyse des risques a-t-elle débouché sur la définition des besoins de sécurité?</t>
  </si>
  <si>
    <t>Définition des besoins de sécurité incomplète ou inadaptée.</t>
  </si>
  <si>
    <t>Définition des besoins de sécurité incomplète ou inadéquate.</t>
  </si>
  <si>
    <t>Documenter la méthodologie utilisée pour l'analyse et la gestion des risques.</t>
  </si>
  <si>
    <t>PV de validation des exigences par la direction</t>
  </si>
  <si>
    <t>Former le personnel sur la méthodologie et les outils utilisés.</t>
  </si>
  <si>
    <t>La méthode d'analyse des risques est définie et documentée (ex: EBIOS Risk Manager, MEHARI)?</t>
  </si>
  <si>
    <t>Manuel méthodologique d'analyse des risques (EBIOS/MEHARI)</t>
  </si>
  <si>
    <t>La méthode d'analyse des risques est-elle définie et documentée (ex: EBIOS Risk Manager, MEHARI)?</t>
  </si>
  <si>
    <t>Méthode d'analyse des risques non standardisée et non documentée.</t>
  </si>
  <si>
    <t>Prendre en compte la confidentialité, l'intégrité et la disponibilité des données lors de la conception et de la mise en œuvre des systèmes.</t>
  </si>
  <si>
    <t>Procédure d'évaluation des risques documentée</t>
  </si>
  <si>
    <t>Mettre en place des mesures pour protéger les données contre les accès non autorisés, les modifications et les pertes.</t>
  </si>
  <si>
    <t>Les risques identifiés sont classifiés et priorisés?</t>
  </si>
  <si>
    <t>Matrice de criticité des risques classés</t>
  </si>
  <si>
    <t>Les risques identifiés sont-ils classifiés et priorisés?</t>
  </si>
  <si>
    <t>Risques mal identifiés et non priorisés.</t>
  </si>
  <si>
    <t>Effectuer une analyse de risques approfondie et prioriser les risques en fonction de leur impact potentiel.</t>
  </si>
  <si>
    <t>Plan de traitement des risques priorisés</t>
  </si>
  <si>
    <t>Mettre en place un processus de gestion des risques.</t>
  </si>
  <si>
    <t>Les mesures de sécurité mises en place sont proportionnées aux risques identifiés?</t>
  </si>
  <si>
    <t>Rapport de mise en œuvre des mesures de sécurité</t>
  </si>
  <si>
    <t>Les mesures de sécurité mises en place sont-elles proportionnées aux risques identifiés?</t>
  </si>
  <si>
    <t>Mesures de sécurité inadaptées aux risques identifiés.</t>
  </si>
  <si>
    <t>Adopter des mesures de sécurité appropriées et proportionnées aux risques identifiés.</t>
  </si>
  <si>
    <t>Évaluation du niveau de couverture des risques</t>
  </si>
  <si>
    <t>Effectuer des tests de pénétration et des audits de sécurité réguliers.</t>
  </si>
  <si>
    <t>Il y a eu un prolongement de l'analyse des risques et de l'expression des besoins de sécurité?</t>
  </si>
  <si>
    <t>Compte-rendu d'extension de l'analyse des risques</t>
  </si>
  <si>
    <t>Y a-t-il eu un prolongement de l'analyse des risques et de l'expression des besoins de sécurité?</t>
  </si>
  <si>
    <t>Expression des besoins de sécurité non prise en compte.</t>
  </si>
  <si>
    <t>Recueillir et prendre en compte les besoins de sécurité des utilisateurs et des parties prenantes.</t>
  </si>
  <si>
    <t>Document d'évolution des besoins de sécurité</t>
  </si>
  <si>
    <t>Organiser des sessions de sensibilisation à la sécurité pour les utilisateurs.</t>
  </si>
  <si>
    <t>Un contrat de service (SLA) entre l'informatique et la direction utilisatrice a été mis en œuvre?</t>
  </si>
  <si>
    <t>Contrat de Service (SLA) signé avec la direction métier</t>
  </si>
  <si>
    <t>Un contrat de service (SLA) entre l'informatique et la direction utilisatrice a-t-il été mis en œuvre?</t>
  </si>
  <si>
    <t>Contrat de service (SLA) inexistant ou non appliqué.</t>
  </si>
  <si>
    <t>Mettre en place un contrat de service (SLA) clair et précis qui définit les responsabilités en matière de sécurité.</t>
  </si>
  <si>
    <t>Annexe sécurité du SLA définissant les engagements</t>
  </si>
  <si>
    <t>S'assurer que le SLA est respecté et appliqué.</t>
  </si>
  <si>
    <t>L'analyse des risques est mise à jour régulièrement en fonction des évolutions de l'application et des menaces?</t>
  </si>
  <si>
    <t>Plan de révision périodique des risques</t>
  </si>
  <si>
    <t>L'analyse des risques est-elle mise à jour régulièrement en fonction des évolutions de l'application et des menaces?</t>
  </si>
  <si>
    <t>Analyse des risques non mise à jour régulièrement.</t>
  </si>
  <si>
    <t>Mettre à jour régulièrement l'analyse des risques pour refléter l'évolution des menaces et des vulnérabilités.</t>
  </si>
  <si>
    <t>PV des mises à jour de l'analyse des risques</t>
  </si>
  <si>
    <t>Documenter les modifications apportées à l'analyse des risques.</t>
  </si>
  <si>
    <t>Les besoins de sécurité sont revus et validés par les parties prenantes?</t>
  </si>
  <si>
    <t>PV de revue des besoins de sécurité</t>
  </si>
  <si>
    <t>Les besoins de sécurité sont-ils revus et validés par les parties prenantes?</t>
  </si>
  <si>
    <t>Besoins de sécurité non revus ni validés.</t>
  </si>
  <si>
    <t>Revoir et valider régulièrement les besoins de sécurité pour s'assurer qu'ils restent pertinents.</t>
  </si>
  <si>
    <t>Fiche de validation des modifications par les métiers</t>
  </si>
  <si>
    <t>Documenter les besoins de sécurité et les décisions prises.</t>
  </si>
  <si>
    <t>Les résultats de l'analyse des risques sont utilisés pour définir les priorités en matière de sécurité?</t>
  </si>
  <si>
    <t>Plan d'action sécurité priorisé</t>
  </si>
  <si>
    <t>Les résultats de l'analyse des risques sont-ils utilisés pour définir les priorités en matière de sécurité?</t>
  </si>
  <si>
    <t>Mauvaise définition des priorités en matière de sécurité.</t>
  </si>
  <si>
    <t>Définir clairement les priorités en matière de sécurité en fonction des risques identifiés et des objectifs de l'organisation.</t>
  </si>
  <si>
    <t>Tableau de bord des risques résiduels</t>
  </si>
  <si>
    <t>Allouer les ressources nécessaires pour mettre en œuvre les mesures de sécurité prioritaires.</t>
  </si>
  <si>
    <t>Il y a une séparation des tâches au sein de la direction utilisatrice indépendamment de l'application?</t>
  </si>
  <si>
    <t>Organigramme fonctionnel avec séparation des tâches</t>
  </si>
  <si>
    <t>Absence de séparation des tâches au sein de la direction utilisatrice.</t>
  </si>
  <si>
    <t>Mettre en place une séparation des tâches pour les fonctions critiques au sein de la direction utilisatrice afin de minimiser les risques de conflits d'intérêts et de fraudes.</t>
  </si>
  <si>
    <t>Description des contrôles d'incompatibilité</t>
  </si>
  <si>
    <t>Définir des rôles et des responsabilités clairs pour chaque membre du personnel.</t>
  </si>
  <si>
    <t>Il y a une « maturité » de l'organisation vis-à-vis de ses systèmes d'information?</t>
  </si>
  <si>
    <t>Rapport d'évaluation de la maturité organisationnelle</t>
  </si>
  <si>
    <t>Il y a une «maturité» de l'organisation vis-à-vis de ses systèmes d'information?</t>
  </si>
  <si>
    <t>Niveau de sécurité insuffisant.</t>
  </si>
  <si>
    <t>Définir un niveau de sécurité cible et allouer les ressources nécessaires pour atteindre ce niveau.</t>
  </si>
  <si>
    <t>Plan d'amélioration continue des processus</t>
  </si>
  <si>
    <t>Mettre en œuvre des contrôles de sécurité pour surveiller et protéger les systèmes et les données.</t>
  </si>
  <si>
    <t>Une méthode d'évaluation de la sensibilité des données est définie et documentée?</t>
  </si>
  <si>
    <t>Politique de classification des données</t>
  </si>
  <si>
    <t>Méthode non définie et non documentée.</t>
  </si>
  <si>
    <t>Définir et documenter une méthodologie claire pour l'analyse et la gestion des risques de sécurité.</t>
  </si>
  <si>
    <t>Grille d'évaluation de la sensibilité des informations</t>
  </si>
  <si>
    <t>L'évaluation prend en compte la confidentialité, l'intégrité et la disponibilité des données?</t>
  </si>
  <si>
    <t>Rapport d'évaluation CID (Confidentialité, Intégrité, Disponibilité)</t>
  </si>
  <si>
    <t>Confidentialité, l'intégrité et la disponibilité non prises en compte.</t>
  </si>
  <si>
    <t>Cartographie des flux de données sensibles</t>
  </si>
  <si>
    <t>Les résultats de l'évaluation sont utilisés pour définir les mesures de sécurité appropriées?</t>
  </si>
  <si>
    <t>Plan de sécurité adapté aux niveaux de sensibilité</t>
  </si>
  <si>
    <t>Mesures de sécurité inappropriées.</t>
  </si>
  <si>
    <t>Vulnérabilité aux menaces.</t>
  </si>
  <si>
    <t>Identifier et corriger les vulnérabilités.</t>
  </si>
  <si>
    <t>Matrice des mesures de protection par type de données</t>
  </si>
  <si>
    <t>Mettre en place des mesures de sécurité pour atténuer les menaces.</t>
  </si>
  <si>
    <t>Vérifier l’existence d’un manuel d'administration de l'application</t>
  </si>
  <si>
    <t>Fiche de versionnage du manuel</t>
  </si>
  <si>
    <t>Un ou des manuels pour l'application existe?</t>
  </si>
  <si>
    <t>Manuels inexistants.</t>
  </si>
  <si>
    <t>Difficulté d'utilisation et erreurs potentielles.</t>
  </si>
  <si>
    <t>Simplifier l'interface utilisateur et fournir une documentation claire.</t>
  </si>
  <si>
    <t>Procès-verbal de validation</t>
  </si>
  <si>
    <t>Former les utilisateurs sur l'utilisation correcte de l'application.</t>
  </si>
  <si>
    <t>Registre de formation des utilisateurs</t>
  </si>
  <si>
    <t>Le manuel est à jour?</t>
  </si>
  <si>
    <t>Manuels non mis à jour.</t>
  </si>
  <si>
    <t>Information obsolète et utilisation incorrecte de l'application.</t>
  </si>
  <si>
    <t>Mettre à jour régulièrement les informations et les données de l'application.</t>
  </si>
  <si>
    <t>Test de connaissance utilisateurs</t>
  </si>
  <si>
    <t>Fournir des instructions claires sur l'utilisation prévue de l'application.</t>
  </si>
  <si>
    <t>Manuel utilisateur complet</t>
  </si>
  <si>
    <t>Le manuel est maîtrisé?</t>
  </si>
  <si>
    <t>Manuels non maîtrisés.</t>
  </si>
  <si>
    <t>Difficulté à appliquer les bonnes pratiques et procédures.</t>
  </si>
  <si>
    <t>Fournir une formation et un soutien adéquats aux utilisateurs.</t>
  </si>
  <si>
    <t>Procédure opérationnelle standardisée</t>
  </si>
  <si>
    <t>Mettre en place des mécanismes pour encourager l'adoption des meilleures pratiques.</t>
  </si>
  <si>
    <t>Guide administrateur applicatif</t>
  </si>
  <si>
    <t>Le manuel comprend un mode d'emploi?</t>
  </si>
  <si>
    <t>Absence de mode d'emploi.</t>
  </si>
  <si>
    <t>Concevoir une interface utilisateur intuitive et conviviale.</t>
  </si>
  <si>
    <t>Schéma d'architecture technique</t>
  </si>
  <si>
    <t>Mettre en œuvre des contrôles pour prévenir les erreurs potentielles.</t>
  </si>
  <si>
    <t>Le manuel comprend une présentation du module d’administration de l’application</t>
  </si>
  <si>
    <t>Matrice des droits d'accès</t>
  </si>
  <si>
    <t>Le manuel comprend une présentation du module d'administration de l'application?</t>
  </si>
  <si>
    <t>Absence de présentation du module d'administration.</t>
  </si>
  <si>
    <t>Administration difficile.</t>
  </si>
  <si>
    <t>Simplifier les tâches d'administration et automatiser les processus.</t>
  </si>
  <si>
    <t>Politique de sécurité applicative</t>
  </si>
  <si>
    <t>Fournir aux administrateurs les outils et la formation nécessaires.</t>
  </si>
  <si>
    <t>Formulaire de demande de modification</t>
  </si>
  <si>
    <t>Le manuel comprend des droits d'accès?</t>
  </si>
  <si>
    <t>Absence d'information sur les droits d'accès.</t>
  </si>
  <si>
    <t>Accès non autorisés et gestion des droits inefficace.</t>
  </si>
  <si>
    <t>Mettre en place un contrôle d'accès strict et une gestion des droits efficace.</t>
  </si>
  <si>
    <t>Procès-verbal de validation propriétaire</t>
  </si>
  <si>
    <t>Surveiller régulièrement les accès et les activités des utilisateurs.</t>
  </si>
  <si>
    <t>Des procédures formalisées imposant l’accord du « propriétaire » de l’application pour tout changement sur les programmes de l’application existent</t>
  </si>
  <si>
    <t>Procédure de changement de planning</t>
  </si>
  <si>
    <t>Des procédures formalisées imposant l'accord du «propriétaire» de l'application pour tout changement sur les programmes de l'application existent?</t>
  </si>
  <si>
    <t>Absence d'accord du « propriétaire » de l'application pour tout changement sur les programmes.</t>
  </si>
  <si>
    <t>Changement non autorisées.</t>
  </si>
  <si>
    <t>Mettre en place des contrôles pour empêcher les modifications non autorisées.</t>
  </si>
  <si>
    <t>Journal des modifications approuvées</t>
  </si>
  <si>
    <t>Enregistrer et auditer tous les changements.</t>
  </si>
  <si>
    <t>Des procédures formalisées imposant l’accord du « propriétaire » de l’application pour tout changement sur la planification des traitements informatiques existent</t>
  </si>
  <si>
    <t>Charte d'évolution technologique</t>
  </si>
  <si>
    <t>Des procédures formalisées imposant l'accord du «propriétaire» de l'application pour tout changement sur la planification des traitements informatiques existent?</t>
  </si>
  <si>
    <t>Absence d'accord du « propriétaire » de l'application pour la planification des traitements informatiques.</t>
  </si>
  <si>
    <t>Risques liées à une gestion mauvaise.</t>
  </si>
  <si>
    <t>Adopter des pratiques de gestion des risques saines.</t>
  </si>
  <si>
    <t>PV du comité technique</t>
  </si>
  <si>
    <t>Examiner et mettre à jour régulièrement les politiques et les procédures.</t>
  </si>
  <si>
    <t>Des procédures formalisées imposant l’accord du « propriétaire » de l’application pour tout changement sur l’environnement technologique de l’application existent</t>
  </si>
  <si>
    <t>Procédures administratives formalisées</t>
  </si>
  <si>
    <t>Des procédures formalisées imposant l'accord du «propriétaire» de l'application pour tout changement sur l'environnement technologique de l'application existent?</t>
  </si>
  <si>
    <t>Absence d'accord du « propriétaire » de l'application pour tout changement sur l'environnement technologique.</t>
  </si>
  <si>
    <t>Résolution lente des incidents.</t>
  </si>
  <si>
    <t>Mettre en place un processus efficace de gestion des incidents.</t>
  </si>
  <si>
    <t>Registre des opérations effectuées</t>
  </si>
  <si>
    <t>Allouer des ressources suffisantes pour la résolution des incidents.</t>
  </si>
  <si>
    <t>Processus de gestion des incidents</t>
  </si>
  <si>
    <t>L'administration est bien assurée par les utilisateurs?</t>
  </si>
  <si>
    <t>Mauvaise gestion de l'application.</t>
  </si>
  <si>
    <t>Identifier les performance des applications pas a jour</t>
  </si>
  <si>
    <t>Mettre en place une surveillance des performances et des alertes.</t>
  </si>
  <si>
    <t>Fiches types d'intervention</t>
  </si>
  <si>
    <t>Maintenir les applications à jour.</t>
  </si>
  <si>
    <t>Vérifier l'existence de procédures formalisées de gestion des incidents</t>
  </si>
  <si>
    <t>Des procédures formalisées de gestion des incidents sont-elles en place ?</t>
  </si>
  <si>
    <t>Problèmes de gestion des incidents.</t>
  </si>
  <si>
    <t>Définir des accords de niveau de service (SLA) et des procédures d'escalade.</t>
  </si>
  <si>
    <t>Tableau de bord SLA</t>
  </si>
  <si>
    <t>Automatiser la résolution des incidents.</t>
  </si>
  <si>
    <t>Le propriétaire dispose d'un compte rendu mensuel de la performance de l'application</t>
  </si>
  <si>
    <t>Engagement contractuel formalisé</t>
  </si>
  <si>
    <t>Le propriétaire dispose-t-il d'un compte rendu mensuel de la performance de l'application ?</t>
  </si>
  <si>
    <t>Manque de visibilité sur la performance de l'application.</t>
  </si>
  <si>
    <t>Dégradation des performances non détectées.</t>
  </si>
  <si>
    <t>Mettre en place une surveillance proactive des performances.</t>
  </si>
  <si>
    <t>Preuve de livraison dans les délais</t>
  </si>
  <si>
    <t>Analyser les causes profondes des dégradations de performance.</t>
  </si>
  <si>
    <t>Indicateurs clés de performance</t>
  </si>
  <si>
    <t>Le compte rendu respecte-t-il le contrat de service ?</t>
  </si>
  <si>
    <t>Non-respect des obligations contractuelles.</t>
  </si>
  <si>
    <t>Contentieux avec le fournisseur.</t>
  </si>
  <si>
    <t>Négocier des contrats clairs avec des clauses de pénalité.</t>
  </si>
  <si>
    <t>Commentaires du propriétaire</t>
  </si>
  <si>
    <t>Mettre en place une communication régulière avec le fournisseur.</t>
  </si>
  <si>
    <t>Le compte rendu est transmis au propriétaire dans les délais convenus?</t>
  </si>
  <si>
    <t>Procédure de validation</t>
  </si>
  <si>
    <t>Le compte rendu est-il transmis au propriétaire dans les délais convenus ?</t>
  </si>
  <si>
    <t>Comptes rendus incompréhensibles ou incomplets.</t>
  </si>
  <si>
    <t>Compte rendu inexistant.</t>
  </si>
  <si>
    <t>Fournir des comptes rendus réguliers sur les performances et les incidents.</t>
  </si>
  <si>
    <t>Attestation de réception</t>
  </si>
  <si>
    <t>Documenter tous les échanges et les accords.</t>
  </si>
  <si>
    <t>Le compte rendu contient des indicateurs de performance pertinents pour le propriétaire?</t>
  </si>
  <si>
    <t>Manuel des procédures</t>
  </si>
  <si>
    <t>Le compte rendu contient-il des indicateurs de performance pertinents pour le propriétaire ?</t>
  </si>
  <si>
    <t>Mauvaise communication avec le propriétaire.</t>
  </si>
  <si>
    <t>Contrats de niveau service inadéquats.</t>
  </si>
  <si>
    <t>Négocier des contrats de niveau de service adaptés aux besoins de l'entreprise.</t>
  </si>
  <si>
    <t>Plan de diffusion interne</t>
  </si>
  <si>
    <t>Revoir régulièrement les contrats et les ajuster si nécessaire.</t>
  </si>
  <si>
    <t>Un processus est en place pour s'assurer que le propriétaire comprend et valide le compte rendu</t>
  </si>
  <si>
    <t>Registre de diffusion</t>
  </si>
  <si>
    <t>Un processus est-il en place pour s'assurer que le propriétaire comprend et valide le compte rendu ?</t>
  </si>
  <si>
    <t>Absence de guide utilisateur.</t>
  </si>
  <si>
    <t>Mauvaise connaissance et manque de conformité.</t>
  </si>
  <si>
    <t>Former le personnel sur les politiques, les procédures et les exigences de conformité.</t>
  </si>
  <si>
    <t>Accusés de réception</t>
  </si>
  <si>
    <t>Mettre à disposition des ressources et une documentation accessibles.</t>
  </si>
  <si>
    <t>S’assurer de l’existence d'un guide d'utilisateur, manuel de 
 procédures</t>
  </si>
  <si>
    <t>Version officielle du manuel utilisateur</t>
  </si>
  <si>
    <t>Existe-t-il un guide utilisateurs / manuel de procédures ?</t>
  </si>
  <si>
    <t>Mauvaise diffusion des guides.</t>
  </si>
  <si>
    <t>Information inaccessible.</t>
  </si>
  <si>
    <t>Mettre en place des contrôles d'accès pour restreindre l'accès aux informations sensibles.</t>
  </si>
  <si>
    <t>Plan de diffusion et registre de distribution</t>
  </si>
  <si>
    <t>Chiffrer les données sensibles.</t>
  </si>
  <si>
    <t>Historique des versions et dates de mise à jour</t>
  </si>
  <si>
    <t>Le manuel est-il diffusé ?</t>
  </si>
  <si>
    <t>Guides non mis à jour.</t>
  </si>
  <si>
    <t>Mauvaise utilisation de l'outil.</t>
  </si>
  <si>
    <t>Fournir une formation adéquate sur l'utilisation correcte des outils.</t>
  </si>
  <si>
    <t>Procès-verbal de validation des mises à jour</t>
  </si>
  <si>
    <t>Mettre en place des mécanismes de contrôle pour éviter les erreurs.</t>
  </si>
  <si>
    <t>Registre des formations dispensées</t>
  </si>
  <si>
    <t>Le manuel est-il à jour ?</t>
  </si>
  <si>
    <t>Guides non maîtrisés.</t>
  </si>
  <si>
    <t>Personnel incompétent.</t>
  </si>
  <si>
    <t>Recruter du personnel qualifié et expérimenté.</t>
  </si>
  <si>
    <t>Évaluations des connaissances des utilisateurs</t>
  </si>
  <si>
    <t>Fournir une formation continue au personnel.</t>
  </si>
  <si>
    <t>Guide d'utilisation complet</t>
  </si>
  <si>
    <t>Le manuel est-il maîtrisé ?</t>
  </si>
  <si>
    <t>Absence de description des contrôles.</t>
  </si>
  <si>
    <t>Contrôle d'accès inapproprié.</t>
  </si>
  <si>
    <t>Mettre en place un contrôle d'accès basé sur les rôles et les responsabilités.</t>
  </si>
  <si>
    <t>Cas pratiques et exemples d'utilisation</t>
  </si>
  <si>
    <t>Revoir et révoquer régulièrement les accès inutiles.</t>
  </si>
  <si>
    <t>Documentation des contrôles automatisés</t>
  </si>
  <si>
    <t>Le manuel comprend-il le mode d'emploi de l'application ?</t>
  </si>
  <si>
    <t>Absence de matrice d'accès.</t>
  </si>
  <si>
    <t>Accès non contrôlé à des données sensibles.</t>
  </si>
  <si>
    <t>Restreindre l'accès aux données sensibles en fonction du principe du moindre privilège.</t>
  </si>
  <si>
    <t>Procédures des contrôles manuels compensatoires</t>
  </si>
  <si>
    <t>Mettre en place des journaux d'audit et des alertes pour les accès non autorisés.</t>
  </si>
  <si>
    <t>Le manuel comprend une description des contrôles programmés et des contrôles manuels compensatoires à chaque phase du traitement</t>
  </si>
  <si>
    <t>Matrice officielle des droits d'accès</t>
  </si>
  <si>
    <t>Le manuel comprend-il une description des contrôles programmés et des contrôles manuels compensatoires à chaque phase du traitement ?</t>
  </si>
  <si>
    <t>Principe du moindre privilège non appliqué.</t>
  </si>
  <si>
    <t>Habilitations inutiles.</t>
  </si>
  <si>
    <t>Supprimer les habilitations inutiles et révoquer les accès des anciens employés.</t>
  </si>
  <si>
    <t>Procédure de gestion des habilitations</t>
  </si>
  <si>
    <t>Revoir régulièrement les habilitations et les accès.</t>
  </si>
  <si>
    <t>S'assurer que l'accès aux ressources de l'application (données et transactions) est restreint par un système de gestion d'accès</t>
  </si>
  <si>
    <t>Existence d'une matrice d'accès formelle</t>
  </si>
  <si>
    <t>Procédures de contrôle intégrées</t>
  </si>
  <si>
    <t>Existe-t-il une matrice d'accès formelle ?</t>
  </si>
  <si>
    <t>Droits d'accès non revus.</t>
  </si>
  <si>
    <t>Informations de comptes compromis.</t>
  </si>
  <si>
    <t>Mettre en place des mesures de sécurité pour protéger les informations de compte, telles que l'authentification multifacteur (MFA).</t>
  </si>
  <si>
    <t>Guide des contrôles manuels compensatoires</t>
  </si>
  <si>
    <t>Surveiller régulièrement les comptes à la recherche d'activités suspectes.</t>
  </si>
  <si>
    <t>Mise en œuvre du principe du moindre privilège</t>
  </si>
  <si>
    <t>Le principe du moindre privilège est-il mis en œuvre ?</t>
  </si>
  <si>
    <t>Accès non contrôlés aux ressources sensibles.</t>
  </si>
  <si>
    <t>Absence de suivi et gestion.</t>
  </si>
  <si>
    <t>Mettre en place des outils et des processus de surveillance et de gestion.</t>
  </si>
  <si>
    <t>Définir des indicateurs clés de performance (KPI) et des rapports réguliers.</t>
  </si>
  <si>
    <t>Revue périodique des droits d'accès</t>
  </si>
  <si>
    <t>Calendrier des revues</t>
  </si>
  <si>
    <t>Les droits d'accès sont-ils revus périodiquement ?</t>
  </si>
  <si>
    <t>Escalade des accès non maîtrisée.</t>
  </si>
  <si>
    <t>Accès de la fraude.</t>
  </si>
  <si>
    <t>Mettre en place des contrôles pour détecter et prévenir les activités frauduleuses.</t>
  </si>
  <si>
    <t>Compte-rendu de revue</t>
  </si>
  <si>
    <t>Former le personnel sur la détection et la prévention des fraudes.</t>
  </si>
  <si>
    <t>Journalisation des accès aux ressources sensibles</t>
  </si>
  <si>
    <t>Évaluation de la Conception</t>
  </si>
  <si>
    <t>Les accès aux ressources sensibles sont-ils journalisés ?</t>
  </si>
  <si>
    <t>Absence de politique de gestion des identités et des accès.</t>
  </si>
  <si>
    <t>Mesures de sécurité insuffisante.</t>
  </si>
  <si>
    <t>Renforcer les mesures de sécurité, telles que les pare-feu, les systèmes de détection d'intrusion et les logiciels antivirus.</t>
  </si>
  <si>
    <t>Évaluation de l'Efficacité</t>
  </si>
  <si>
    <t>Effectuer des audits de sécurité réguliers.</t>
  </si>
  <si>
    <t>Processus d'escalade pour les accès exceptionnels</t>
  </si>
  <si>
    <t>Procédure formalisée de demande d'accès exceptionnel</t>
  </si>
  <si>
    <t>Un processus d'escalade est-il en place pour les accès exceptionnels ?</t>
  </si>
  <si>
    <t>Mauvaise définition des rôles et des responsabilités.</t>
  </si>
  <si>
    <t>Mettre en place un contrôle d'accès approprié pour limiter l'accès aux systèmes et aux données.</t>
  </si>
  <si>
    <t>Registre des accès exceptionnels</t>
  </si>
  <si>
    <t>Surveiller les accès et les activités des utilisateurs.</t>
  </si>
  <si>
    <t>Existence d'une politique de gestion des identités et des accès</t>
  </si>
  <si>
    <t>Politique IAM officielle (document approuvé par la direction)</t>
  </si>
  <si>
    <t>Existe-t-il une politique de gestion des identités et des accès ?</t>
  </si>
  <si>
    <t>Processus de création non formalisé.</t>
  </si>
  <si>
    <t>Mauvais compréhension des privilèges.</t>
  </si>
  <si>
    <t>Fournir une formation claire et concise sur les privilèges et les responsabilités.</t>
  </si>
  <si>
    <t>Schéma des processus IAM (workflows visuels de gestion du cycle de vie des identités)</t>
  </si>
  <si>
    <t>Mettre en place des mécanismes pour vérifier la compréhension des utilisateurs.</t>
  </si>
  <si>
    <t>Définition claire des rôles et responsabilités</t>
  </si>
  <si>
    <t>Matrice RACI (Responsible/Accountable/Consulted/Informed) pour les tâches IAM</t>
  </si>
  <si>
    <t>Les rôles et responsabilités sont-ils clairement définis ?</t>
  </si>
  <si>
    <t>Processus de modification non existant.</t>
  </si>
  <si>
    <t>Mots de passe partagés.</t>
  </si>
  <si>
    <t>Interdire le partage des mots de passe et mettre en place des politiques de mots de passe forts.</t>
  </si>
  <si>
    <t>Fiches de poste détaillant les responsabilités liées aux accès applicatifs</t>
  </si>
  <si>
    <t>Utiliser un gestionnaire de mots de passe.</t>
  </si>
  <si>
    <t>Processus de création de compte utilisateur formalisé</t>
  </si>
  <si>
    <t>Procédure de création de compte (étapes de A à Z avec acteurs)</t>
  </si>
  <si>
    <t>Un processus de création de compte utilisateur est-il formalisé ?</t>
  </si>
  <si>
    <t>Processus de suppression inexistant.</t>
  </si>
  <si>
    <t>Compte avec mots de passe.</t>
  </si>
  <si>
    <t>Imposer des mots de passe forts.</t>
  </si>
  <si>
    <t>Formulaire de demande d'accès (modèle standardisé avec validation hiérarchique)</t>
  </si>
  <si>
    <t>Mettre en place l'authentification multifacteur (MFA).</t>
  </si>
  <si>
    <t>Procédure de modification de profil utilisateur</t>
  </si>
  <si>
    <t>Procédure écrite de modification de profil</t>
  </si>
  <si>
    <t>Existe-t-il une procédure de modification de profil utilisateur ?</t>
  </si>
  <si>
    <t>Authentification non renforcée.</t>
  </si>
  <si>
    <t>Risque d'accès compromis.</t>
  </si>
  <si>
    <t>Surveiller les tentatives de connexion suspectes.</t>
  </si>
  <si>
    <t>Registre des modifications de profils</t>
  </si>
  <si>
    <t>Mettre en place des alertes pour les accès inhabituels.</t>
  </si>
  <si>
    <t>Procédure de suppression de compte utilisateur</t>
  </si>
  <si>
    <t>Procédure de suppression/désactivation des comptes</t>
  </si>
  <si>
    <t>Existe-t-il une procédure de suppression de compte utilisateur ?</t>
  </si>
  <si>
    <t>Politique de mot de passe inexistante.</t>
  </si>
  <si>
    <t>Donnée d'identification non sécurisées.</t>
  </si>
  <si>
    <t>Chiffrer les données d'identification stockées.</t>
  </si>
  <si>
    <t>Liste des comptes supprimés avec justifications</t>
  </si>
  <si>
    <t>Ne jamais stocker les mots de passe en clair.</t>
  </si>
  <si>
    <t>Vérifier que l’identification des utilisateurs est réalisée</t>
  </si>
  <si>
    <t>Mise en œuvre d'un mécanisme d'authentification fort</t>
  </si>
  <si>
    <t>Documentation technique du mécanisme</t>
  </si>
  <si>
    <t>Un mécanisme d'authentification fort est-il mis en œuvre ?</t>
  </si>
  <si>
    <t>Verrouillage de compte absent.</t>
  </si>
  <si>
    <t>Détournement du contrôle de la sécurité.</t>
  </si>
  <si>
    <t>Appliquer le principe du moindre privilège.</t>
  </si>
  <si>
    <t>Rapport de mise en œuvre et tests</t>
  </si>
  <si>
    <t>Séparer les tâches critiques entre plusieurs personnes.</t>
  </si>
  <si>
    <t>Existence d'une politique de mot de passe</t>
  </si>
  <si>
    <t>Document de politique des mots de passe</t>
  </si>
  <si>
    <t>Existe-t-il une politique de mot de passe ?</t>
  </si>
  <si>
    <t>Audits inexistants.</t>
  </si>
  <si>
    <t>Activités malveillantes non détectées.</t>
  </si>
  <si>
    <t>Mettre en place un système de détection d'intrusion (IDS).</t>
  </si>
  <si>
    <t>Preuve de configuration système (captures)</t>
  </si>
  <si>
    <t>Analyser régulièrement les journaux d'événements.</t>
  </si>
  <si>
    <t>Mise en œuvre d'un verrouillage de compte</t>
  </si>
  <si>
    <t>Politique de verrouillage de compte documentée</t>
  </si>
  <si>
    <t>Un verrouillage de compte est-il mis en œuvre ?</t>
  </si>
  <si>
    <t>Intégrité non vérifiée.</t>
  </si>
  <si>
    <t>Violation de données non détecté.</t>
  </si>
  <si>
    <t>Mettre en place des systèmes de surveillance de l'intégrité des données.</t>
  </si>
  <si>
    <t>Journal des verrouillages automatiques appliqués</t>
  </si>
  <si>
    <t>Effectuer des tests de pénétration réguliers.</t>
  </si>
  <si>
    <t>Audits réguliers des comptes utilisateurs inactifs</t>
  </si>
  <si>
    <t>Procédure d'audit des comptes inactifs</t>
  </si>
  <si>
    <t>Des audits réguliers des comptes utilisateurs inactifs sont-ils réalisés ?</t>
  </si>
  <si>
    <t>Mots de passe non uniques et personnels.</t>
  </si>
  <si>
    <t>Protection réduite des informations.</t>
  </si>
  <si>
    <t>Chiffrer les données sensibles en transit et au repos.</t>
  </si>
  <si>
    <t>Liste des comptes désactivés pour inactivité</t>
  </si>
  <si>
    <t>Mettre en place des politiques de contrôle d'accès strictes.</t>
  </si>
  <si>
    <t>Vérification de l'intégrité du processus d'identification</t>
  </si>
  <si>
    <t>Rapport de test du processus d'identification</t>
  </si>
  <si>
    <t>L'intégrité du processus d'identification est-elle vérifiée ?</t>
  </si>
  <si>
    <t>Mots de passe par défaut conservés.</t>
  </si>
  <si>
    <t>Compromettre l'ensemble de sécurité.</t>
  </si>
  <si>
    <t>Mettre en œuvre une architecture de sécurité en couches.</t>
  </si>
  <si>
    <t>Procédure de contrôle d'intégrité</t>
  </si>
  <si>
    <t>Tous les comptes utilisateurs disposent d'un mot de passe unique et personnel</t>
  </si>
  <si>
    <t>Procédure de première connexion</t>
  </si>
  <si>
    <t>Tous les comptes utilisateurs disposent-ils d'un mot de passe unique et personnel ?</t>
  </si>
  <si>
    <t>Stockage non sécurisé des mots de passe.</t>
  </si>
  <si>
    <t>Compromettre des informations.</t>
  </si>
  <si>
    <t>Classifier les données selon leur sensibilité.</t>
  </si>
  <si>
    <t>Journal des premières connexions</t>
  </si>
  <si>
    <t>Appliquer des mesures de protection spécifiques à chaque niveau de classification.</t>
  </si>
  <si>
    <t>Les mots de passe par défaut sont modifiés lors de la première connexion</t>
  </si>
  <si>
    <t>Documentation technique du mécanisme de stockage</t>
  </si>
  <si>
    <t>existe-t-il un rapport d'audit de securite de stockage ?</t>
  </si>
  <si>
    <t>Stockage des mots de passe en clair.</t>
  </si>
  <si>
    <t>Vulnérabilité des mots de passe.</t>
  </si>
  <si>
    <t>Interdire l'utilisation de mots de passe courants ou facilement devinables.</t>
  </si>
  <si>
    <t>Rapport d'audit de sécurité du stockage</t>
  </si>
  <si>
    <t>Encourager l'utilisation de gestionnaires de mots de passe.</t>
  </si>
  <si>
    <t>Les mots de passe sont stockés de manière sécurisée</t>
  </si>
  <si>
    <t>Liste des règles de complexité appliquées</t>
  </si>
  <si>
    <t>Les mots de passe sont-ils stockés de manière sécurisée ?</t>
  </si>
  <si>
    <t>Utilisation de mots de passe faibles.</t>
  </si>
  <si>
    <t>Les intrusions passe ne pas être découvert.</t>
  </si>
  <si>
    <t>Mettre en place une surveillance continue des systèmes.</t>
  </si>
  <si>
    <t>Rapport de test des règles de mot de passe</t>
  </si>
  <si>
    <t>Collecter et analyser les logs de sécurité.</t>
  </si>
  <si>
    <t>Les mots de passe ne sont pas stockés en clair</t>
  </si>
  <si>
    <t>Rapport d'audit du mécanisme de chiffrement</t>
  </si>
  <si>
    <t>Les mots de passe ne sont-ils pas stockés en clair ?</t>
  </si>
  <si>
    <t>Tentatives d'intrusion non enregistrées.</t>
  </si>
  <si>
    <t>Manque de compréhension et des problèmes de sécurité.</t>
  </si>
  <si>
    <t>Fournir une formation régulière sur la sécurité aux utilisateurs.</t>
  </si>
  <si>
    <t>Configuration système du stockage sécurisé</t>
  </si>
  <si>
    <t>Sensibiliser les utilisateurs aux risques de sécurité.</t>
  </si>
  <si>
    <t>Le système n'autorise pas l'utilisation de mots de passe faibles</t>
  </si>
  <si>
    <t>Règles techniques de complexité appliquées</t>
  </si>
  <si>
    <t>Le système n'autorise-t-il pas l'utilisation de mots de passe faibles ?</t>
  </si>
  <si>
    <t>Logs non analysés.</t>
  </si>
  <si>
    <t>Attaques non traitées.</t>
  </si>
  <si>
    <t>Traiter les attaques.</t>
  </si>
  <si>
    <t>Analyser les pistes.</t>
  </si>
  <si>
    <t>Journalisation des tentatives de connexion infructueuses</t>
  </si>
  <si>
    <t>Politique de journalisation des tentatives</t>
  </si>
  <si>
    <t>Les tentatives de connexion infructueuses sont-elles journalisées ?</t>
  </si>
  <si>
    <t>Alertes non mises en place.</t>
  </si>
  <si>
    <t>Pistes non analysés</t>
  </si>
  <si>
    <t>Renforcer les mesures de sécurité.</t>
  </si>
  <si>
    <t>Exemple de logs de connexion infructueuses</t>
  </si>
  <si>
    <t>Documenter les privilèges.</t>
  </si>
  <si>
    <t>Analyse des logs de connexion</t>
  </si>
  <si>
    <t>Procédure d'analyse régulière</t>
  </si>
  <si>
    <t>Les logs de connexion sont-ils analysés ?</t>
  </si>
  <si>
    <t>Procédure de réponse inexistante.</t>
  </si>
  <si>
    <t>Minimiser les risques liés aux opérations techniques.</t>
  </si>
  <si>
    <t>Rapport d'analyse mensuel des logs</t>
  </si>
  <si>
    <t>Sécuriser l'application et améliorer ses performances.</t>
  </si>
  <si>
    <t>Mise en place d'alertes en cas de nombre anormal de tentatives</t>
  </si>
  <si>
    <t>Paramétrage des seuils d'alerte</t>
  </si>
  <si>
    <t>Des alertes sont-elles mises en place en cas de nombre anormal de tentatives de connexion ?</t>
  </si>
  <si>
    <t>Logs de connexion non conservés.</t>
  </si>
  <si>
    <t>Privilège non documenté.</t>
  </si>
  <si>
    <t>Sécuriser les informations.</t>
  </si>
  <si>
    <t>Historique des alertes déclenchées</t>
  </si>
  <si>
    <t>Assurer le suivi des actions.</t>
  </si>
  <si>
    <t>Procédure de réponse aux incidents de sécurité</t>
  </si>
  <si>
    <t>Procédure de réponse aux incidents</t>
  </si>
  <si>
    <t>Existe-t-il une procédure de réponse aux incidents de sécurité ?</t>
  </si>
  <si>
    <t>Absence de rôles et de droits spécifiques.</t>
  </si>
  <si>
    <t>Risque liée aux opération dans le domaine technique.</t>
  </si>
  <si>
    <t>Former sur les systèmes.</t>
  </si>
  <si>
    <t>Fiche type de traitement d'incident</t>
  </si>
  <si>
    <t>Garantir l'intégrité des données.</t>
  </si>
  <si>
    <t>Conservation des logs de connexion</t>
  </si>
  <si>
    <t>Politique de rétention des logs</t>
  </si>
  <si>
    <t>Les logs de connexion sont-ils conservés ?</t>
  </si>
  <si>
    <t>Mâtres non séparés.</t>
  </si>
  <si>
    <t>Application vulnérable et peu performante.</t>
  </si>
  <si>
    <t>Corriger les erreurs de saisie.</t>
  </si>
  <si>
    <t>Preuve de conformité (archivage)</t>
  </si>
  <si>
    <t>Protéger les journaux d'événements.</t>
  </si>
  <si>
    <t>S’assurer que l'accès aux données et aux transactions de l’application est géré</t>
  </si>
  <si>
    <t>Existence de rôles et de droits d'accès spécifiques</t>
  </si>
  <si>
    <t>Catalogue des rôles applicatifs</t>
  </si>
  <si>
    <t>Existe-t-il des rôles et des droits d'accès spécifiques ?</t>
  </si>
  <si>
    <t>Mesures de contrôle inadéquates.</t>
  </si>
  <si>
    <t>Informations pas sécurisée.</t>
  </si>
  <si>
    <t>Mettre à jour le suivi.</t>
  </si>
  <si>
    <t>Matrice des droits associés</t>
  </si>
  <si>
    <t>Intégrer les données.</t>
  </si>
  <si>
    <t>Séparation des tâches</t>
  </si>
  <si>
    <t>Schéma des incompatibilités fonctionnelles</t>
  </si>
  <si>
    <t>Les tâches sont-elles séparées ?</t>
  </si>
  <si>
    <t>Capacité non garantie.</t>
  </si>
  <si>
    <t>Action sans suivis.</t>
  </si>
  <si>
    <t>Définir des mesures.</t>
  </si>
  <si>
    <t>Rapport d'audit des conflits potentiels</t>
  </si>
  <si>
    <t>Documenter les informations.</t>
  </si>
  <si>
    <t>Mise en œuvre de contrôles d'accès basés sur les rôles</t>
  </si>
  <si>
    <t>Politique de gestion des accès</t>
  </si>
  <si>
    <t>La mise en œuvre de contrôles d'accès basés sur les rôles est-elle assurée ?</t>
  </si>
  <si>
    <t>Données sensibles non protégées.</t>
  </si>
  <si>
    <t>Non-connaissance des systèmes.</t>
  </si>
  <si>
    <t>Gérer correctement l'information.</t>
  </si>
  <si>
    <t>Matrice des rôles et responsabilités</t>
  </si>
  <si>
    <t>Mettre en place des actions et des accompagnements.</t>
  </si>
  <si>
    <t>Traçabilité des modifications apportées aux données et aux transactions</t>
  </si>
  <si>
    <t>Journal des modifications</t>
  </si>
  <si>
    <t>La traçabilité des modifications apportées aux données et aux transactions est-elle assurée ?</t>
  </si>
  <si>
    <t>Actions des administrateurs non journalisées.</t>
  </si>
  <si>
    <t>Manque d'intégrité des donnés.</t>
  </si>
  <si>
    <t>Simplifier l'interface.</t>
  </si>
  <si>
    <t>Clarifier les messages.</t>
  </si>
  <si>
    <t>Protection des données sensibles</t>
  </si>
  <si>
    <t>Politique de protection des données</t>
  </si>
  <si>
    <t>Les données sensibles sont-elles protégées ?</t>
  </si>
  <si>
    <t>Logs d'audit insuffisants.</t>
  </si>
  <si>
    <t>Erreur pendant les phases de saisie</t>
  </si>
  <si>
    <t>Vérifier les informations.</t>
  </si>
  <si>
    <t>Registre des traitements</t>
  </si>
  <si>
    <t>Promouvoir la découverte et l'utilisation.</t>
  </si>
  <si>
    <t>Journalisation de toutes les actions réalisées par les administrateurs</t>
  </si>
  <si>
    <t>Journal d'audit des actions administrateur</t>
  </si>
  <si>
    <t>Toutes les actions réalisées par les administrateurs sont-elles journalisées ?</t>
  </si>
  <si>
    <t>Logs d'audit non protégés.</t>
  </si>
  <si>
    <t>Protection des journaux d'évènements.</t>
  </si>
  <si>
    <t>Faciliter l'accès aux paramètres et l'utilisation de l'application.</t>
  </si>
  <si>
    <t>Procédure de gestion des accès privilégiés</t>
  </si>
  <si>
    <t>Vérifier les données.</t>
  </si>
  <si>
    <t>Les logs d'audit contiennent suffisamment d'informations</t>
  </si>
  <si>
    <t>Politique de conservation des logs d'audit</t>
  </si>
  <si>
    <t>Les logs d'audit contiennent-ils suffisamment d'informations ?</t>
  </si>
  <si>
    <t>Logs d'audit non revus.</t>
  </si>
  <si>
    <t>Suivis non mit à jours.</t>
  </si>
  <si>
    <t>Mettre en place un système de suivi automatisé</t>
  </si>
  <si>
    <t>Guide de configuration des logs</t>
  </si>
  <si>
    <t>Développer un référentiel de données centralisé</t>
  </si>
  <si>
    <t>Les logs d'audit sont protégés contre les modifications et les suppressions non autorisées</t>
  </si>
  <si>
    <t>Politique de sécurité des logs d'audit</t>
  </si>
  <si>
    <t>Les logs d'audit sont-ils protégés contre les modifications et les suppressions non autorisées ?</t>
  </si>
  <si>
    <t>Procédure de gestion inexistante.</t>
  </si>
  <si>
    <t>Données pas intégrés.</t>
  </si>
  <si>
    <t>Établir un cadre de mesure précis</t>
  </si>
  <si>
    <t>Procédure de gestion des incidents de sécurité</t>
  </si>
  <si>
    <t>Créer une politique de documentation systématique</t>
  </si>
  <si>
    <t>Les logs d'audit sont régulièrement revus</t>
  </si>
  <si>
    <t>Planning de revue des logs d'audit</t>
  </si>
  <si>
    <t>Les logs d'audit sont-ils régulièrement revus ?</t>
  </si>
  <si>
    <t>Procédure de contrôle inexistante.</t>
  </si>
  <si>
    <t>Mesures non définies.</t>
  </si>
  <si>
    <t>Développer un processus de gouvernance des données</t>
  </si>
  <si>
    <t>Rapport de revue des logs d'audit</t>
  </si>
  <si>
    <t>Mettre en place un programme de formation continue</t>
  </si>
  <si>
    <t>Existence d'une procédure de gestion des logs d'audit</t>
  </si>
  <si>
    <t>Procédure de gestion des logs d'audit</t>
  </si>
  <si>
    <t>Existe-t-il une procédure de gestion des logs d'audit ?</t>
  </si>
  <si>
    <t>Rapprochement inexistant.</t>
  </si>
  <si>
    <t>Informations non documentées.</t>
  </si>
  <si>
    <t>Refondre l'interface utilisateur</t>
  </si>
  <si>
    <t>Vérifier que tous les documents servant de base à la saisie sont pris en compte</t>
  </si>
  <si>
    <t>Existence d'une procédure de contrôle des documents source</t>
  </si>
  <si>
    <t>Procédure de contrôle des documents source</t>
  </si>
  <si>
    <t>Existe-t-il une procédure de contrôle des documents source ?</t>
  </si>
  <si>
    <t>Anomalies non documentées.</t>
  </si>
  <si>
    <t>Information mal géré.</t>
  </si>
  <si>
    <t>Développer des processus de validation des informations</t>
  </si>
  <si>
    <t>Liste des documents source</t>
  </si>
  <si>
    <t>Créer un programme de valorisation des connaissances</t>
  </si>
  <si>
    <t>Rapprochement des documents saisis avec les documents source</t>
  </si>
  <si>
    <t>Procédure de rapprochement des données</t>
  </si>
  <si>
    <t>Les documents saisis sont-ils rapprochés avec les documents source ?</t>
  </si>
  <si>
    <t>Corrections non réalisées.</t>
  </si>
  <si>
    <t>Absence d'action ou d'accompagnements.</t>
  </si>
  <si>
    <t>Simplifier la navigation des paramètres</t>
  </si>
  <si>
    <t>Journal de rapprochement</t>
  </si>
  <si>
    <t>Mettre en place des contrôles de cohérence des données</t>
  </si>
  <si>
    <t>Documentation des anomalies et des erreurs de saisie</t>
  </si>
  <si>
    <t>Procédure de documentation des anomalies</t>
  </si>
  <si>
    <t>Les anomalies et des erreurs de saisie sont-elles documentées ?</t>
  </si>
  <si>
    <t>Contrôles insuffisants.</t>
  </si>
  <si>
    <t>Interface complexe et confuse.</t>
  </si>
  <si>
    <t>Établir un cadre de gouvernance formalisé</t>
  </si>
  <si>
    <t>Registre des anomalies</t>
  </si>
  <si>
    <t>Développer un système de catalogage des données</t>
  </si>
  <si>
    <t>Suivi des corrections apportées aux erreurs de saisie</t>
  </si>
  <si>
    <t>Procédure de correction des erreurs de saisie</t>
  </si>
  <si>
    <t>Les corrections apportées aux erreurs de saisie sont-elles suivies ?</t>
  </si>
  <si>
    <t>Interface non intuitive.</t>
  </si>
  <si>
    <t>Difficultés des messages.</t>
  </si>
  <si>
    <t>Créer des systèmes de métadonnées</t>
  </si>
  <si>
    <t>Journal des corrections</t>
  </si>
  <si>
    <t>Étendre les capacités de monitoring</t>
  </si>
  <si>
    <t>Mise en place de contrôles pour garantir l'intégrité des documents source</t>
  </si>
  <si>
    <t>Procédure de gestion des documents source</t>
  </si>
  <si>
    <t>Des contrôles sont-ils mis en place pour garantir l'intégrité des documents source ?</t>
  </si>
  <si>
    <t>Messages d'erreur ambigus.</t>
  </si>
  <si>
    <t>Information non vérifiées.</t>
  </si>
  <si>
    <t>Renforcer la sécurité des données</t>
  </si>
  <si>
    <t>Politique de sauvegarde et de restauration</t>
  </si>
  <si>
    <t>Mettre en place des processus de qualification des données</t>
  </si>
  <si>
    <t>S’assurer que les facilités de saisie, l’ergonomie de la saisie, les messages écrans et les contrôles sont mis en œuvre</t>
  </si>
  <si>
    <t>L'interface de saisie est intuitive et facile à utiliser</t>
  </si>
  <si>
    <t>Guide d'utilisation de l'interface</t>
  </si>
  <si>
    <t>L'interface de saisie est-elle intuitive et facile à utiliser ?</t>
  </si>
  <si>
    <t>Contrôles de validation inexistants.</t>
  </si>
  <si>
    <t>Découverte et utilisations pas mis de l'avant.</t>
  </si>
  <si>
    <t>Implémenter des contrôles d'accès granulaires</t>
  </si>
  <si>
    <t>Retours utilisateurs sur l'ergonomie</t>
  </si>
  <si>
    <t>Créer des systèmes de journalisation</t>
  </si>
  <si>
    <t>Les messages d'erreur sont clairs et explicites</t>
  </si>
  <si>
    <t>Catalogue des messages d'erreur</t>
  </si>
  <si>
    <t>Les messages d'erreur sont-ils clairs et explicites ?</t>
  </si>
  <si>
    <t>Absence d'aide à la saisie.</t>
  </si>
  <si>
    <t>Difficultés à trouver les paramètres et l'utilisation de l'application.</t>
  </si>
  <si>
    <t>Développer une stratégie de cybersécurité</t>
  </si>
  <si>
    <t>Documentation technique de l'application</t>
  </si>
  <si>
    <t>Créer des systèmes de traçabilité</t>
  </si>
  <si>
    <t>Des contrôles de validation sont mis en place</t>
  </si>
  <si>
    <t>Spécifications fonctionnelles (contrôles de validation)</t>
  </si>
  <si>
    <t>Des contrôles de validation sont-ils mis en place ?</t>
  </si>
  <si>
    <t>Tests d'ergonomie non réalisés.</t>
  </si>
  <si>
    <t>Données non vérifiées.</t>
  </si>
  <si>
    <t>Mettre en place des programmes de formation utilisateurs</t>
  </si>
  <si>
    <t>Scénarios de tests (contrôles de validation)</t>
  </si>
  <si>
    <t>Développer des processus de mise à jour automatisés</t>
  </si>
  <si>
    <t>L'application propose des aides à la saisie</t>
  </si>
  <si>
    <t>Manuel utilisateur (aides à la saisie)</t>
  </si>
  <si>
    <t>L'application propose-t-elle des aides à la saisie ?</t>
  </si>
  <si>
    <t>Règles de validation imprécises.</t>
  </si>
  <si>
    <t>Mesures de gestions non mitent en place.</t>
  </si>
  <si>
    <t>Réaliser des audits de sécurité réguliers</t>
  </si>
  <si>
    <t>Tutoriels ou FAQ</t>
  </si>
  <si>
    <t>Développer des outils de recherche de données</t>
  </si>
  <si>
    <t>Des tests d'ergonomie sont réalisés</t>
  </si>
  <si>
    <t>Plan de tests d'ergonomie</t>
  </si>
  <si>
    <t>Des tests d'ergonomie sont-ils réalisés ?</t>
  </si>
  <si>
    <t>Contrôles automatiques inexistants.</t>
  </si>
  <si>
    <t>Donnée non répertorié.</t>
  </si>
  <si>
    <t>Créer des tableaux de bord de performance</t>
  </si>
  <si>
    <t>Rapport des tests d'ergonomie</t>
  </si>
  <si>
    <t>Mettre en place des mécanismes de protection des données</t>
  </si>
  <si>
    <t>S’assurer que les contrôles de validation des « brouillards » de saisie pour validation par réconciliation existent</t>
  </si>
  <si>
    <t>Définition claire des règles de validation des brouillards de saisie</t>
  </si>
  <si>
    <t>Spécifications fonctionnelles (règles de validation)</t>
  </si>
  <si>
    <t>Les règles de validation des brouillards de saisie sont-elles clairement définies ?</t>
  </si>
  <si>
    <t>Réconciliation inexistante.</t>
  </si>
  <si>
    <t>Non-identification de l'information.</t>
  </si>
  <si>
    <t>Développer des algorithmes de détection d'anomalies</t>
  </si>
  <si>
    <t>Catalogue des règles de validation</t>
  </si>
  <si>
    <t>Établir des protocoles de communication clairs</t>
  </si>
  <si>
    <t>Mise en place de contrôles automatiques</t>
  </si>
  <si>
    <t>Politique de sauvegarde et de restauration, Journal des sauvegardes</t>
  </si>
  <si>
    <t>Des contrôles automatiques sont-ils mis en place ?</t>
  </si>
  <si>
    <t>Contrôles non conformes.</t>
  </si>
  <si>
    <t>Suivis limités sur l'application.</t>
  </si>
  <si>
    <t>Créer des mécanismes de validation des informations</t>
  </si>
  <si>
    <t>Procédure de réconciliation des brouillards, Journal de réconciliation</t>
  </si>
  <si>
    <t>Développer des outils de partage des connaissances</t>
  </si>
  <si>
    <t>Processus de réconciliation des brouillards de saisie avec les données source</t>
  </si>
  <si>
    <t>Procédure de documentation des anomalies, Registre des écarts de réconciliation</t>
  </si>
  <si>
    <t>Un processus de réconciliation des brouillards de saisie avec les données source est-il en place ?</t>
  </si>
  <si>
    <t>Absence de suivi des anomalies.</t>
  </si>
  <si>
    <t>Risque de compromettre des données.</t>
  </si>
  <si>
    <t>Simplifier la documentation des paramètres</t>
  </si>
  <si>
    <t>Procédure de correction des anomalies, Journal des corrections</t>
  </si>
  <si>
    <t>Mettre en place des contrôles qualité des données</t>
  </si>
  <si>
    <t>Documentation des anomalies et des écarts constatés lors de la réconciliation</t>
  </si>
  <si>
    <t>Politique de classification des données, Inventaire des données sensibles</t>
  </si>
  <si>
    <t>Les anomalies et des écarts constatés lors de la réconciliation sont-ils documentés ?</t>
  </si>
  <si>
    <t>Corrections non suivies.</t>
  </si>
  <si>
    <t>Non-identification.</t>
  </si>
  <si>
    <t>Développer un référentiel de gouvernance</t>
  </si>
  <si>
    <t>Politique de contrôle de la saisie, Guide des procédures de saisie</t>
  </si>
  <si>
    <t>Créer un système d'indexation des données</t>
  </si>
  <si>
    <t>Suivi des corrections apportées aux brouillards de saisie après la réconciliation</t>
  </si>
  <si>
    <t>Procédure de validation des données, Journal des contrôles de validation</t>
  </si>
  <si>
    <t>Les corrections apportées aux brouillards de saisie après la réconciliation sont-elles suivies ?</t>
  </si>
  <si>
    <t>Données sensibles mal gérées.</t>
  </si>
  <si>
    <t>Non-pertinence.</t>
  </si>
  <si>
    <t>Implémenter des systèmes de classification</t>
  </si>
  <si>
    <t>Politique de gestion des accès, Profils d'accès aux écrans de saisie</t>
  </si>
  <si>
    <t>Améliorer le suivi des opérations</t>
  </si>
  <si>
    <t>Vérifier que les saisies des données « sensibles » et notamment les données permanentes, sont gérés</t>
  </si>
  <si>
    <t>Définition et classification des données sensibles et permanentes</t>
  </si>
  <si>
    <t>Politique de journalisation, Configuration des journaux de saisie</t>
  </si>
  <si>
    <t>Les données sensibles et permanentes sont-elles définies et classifiées ?</t>
  </si>
  <si>
    <t>Absence de contrôles de saisie.</t>
  </si>
  <si>
    <t>Exposés le donnée à être consultés.</t>
  </si>
  <si>
    <t>Renforcer la protection des données sensibles</t>
  </si>
  <si>
    <t>Manuel utilisateur, Accusé de réception de la communication du manuel</t>
  </si>
  <si>
    <t>Mettre en place des processus de priorisation</t>
  </si>
  <si>
    <t>Existence de contrôles de saisie spécifiques pour les données sensibles et permanentes</t>
  </si>
  <si>
    <t>Procédure de mise à disposition du manuel, Plateforme de partage documentaire</t>
  </si>
  <si>
    <t>Des contrôles de saisie spécifiques sont-ils mis en place pour les données sensibles et permanentes ?</t>
  </si>
  <si>
    <t>Données sensibles inexactes.</t>
  </si>
  <si>
    <t>Peu de suivie des opérations.</t>
  </si>
  <si>
    <t>Développer des politiques d'accès sécurisées</t>
  </si>
  <si>
    <t>Plan de formation des nouveaux utilisateurs, Registre des formations suivies</t>
  </si>
  <si>
    <t>Créer des rapports d'audit détaillés</t>
  </si>
  <si>
    <t>Validation de l'exactitude des données sensibles et permanentes saisies</t>
  </si>
  <si>
    <t>Procédure de notification des mises à jour du manuel, Journal des notifications</t>
  </si>
  <si>
    <t>L'exactitude des données sensibles et permanentes saisies est-elle validée ?</t>
  </si>
  <si>
    <t>Accès non restreint aux données sensibles.</t>
  </si>
  <si>
    <t>Risques de compromission des données.</t>
  </si>
  <si>
    <t>Mettre en place une stratégie de sécurité globale</t>
  </si>
  <si>
    <t>Registre des consultations et téléchargements du manuel, Analyse des usages du manuel</t>
  </si>
  <si>
    <t>Développer des outils de transparence</t>
  </si>
  <si>
    <t>Restriction de l'accès aux écrans de saisie des données sensibles et permanentes</t>
  </si>
  <si>
    <t>Procédure de demande et d'approbation des transmissions, Registre des transmissions</t>
  </si>
  <si>
    <t>L'accès aux écrans de saisie des données sensibles et permanentes est-il restreint ?</t>
  </si>
  <si>
    <t>Saisie des données sensibles non journalisée.</t>
  </si>
  <si>
    <t>Manque de transparence des manipulations.</t>
  </si>
  <si>
    <t>Créer des programmes de sensibilisation</t>
  </si>
  <si>
    <t>Liste des personnes autorisées, Politique d'habilitation</t>
  </si>
  <si>
    <t>Développer des mécanismes de migration</t>
  </si>
  <si>
    <t>Journalisation des saisies des données sensibles et permanentes</t>
  </si>
  <si>
    <t>Politique d'utilisation des protocoles sécurisés, Configuration des systèmes de transmission</t>
  </si>
  <si>
    <t>Les saisies des données sensibles et permanentes sont-elles journalisées ?</t>
  </si>
  <si>
    <t>Absence de preuve de communication.</t>
  </si>
  <si>
    <t>Connaissance faible.</t>
  </si>
  <si>
    <t>Mettre en place des vérifications de sécurité</t>
  </si>
  <si>
    <t>Procédure de contrôle de l'intégrité des fichiers, Journal des contrôles d'intégrité</t>
  </si>
  <si>
    <t>Créer des processus de résilience</t>
  </si>
  <si>
    <t>Preuve de la communication du manuel aux utilisateurs</t>
  </si>
  <si>
    <t>Politique de documentation des transmissions, Modèle de fiche de transmission</t>
  </si>
  <si>
    <t>Une preuve de la communication du manuel aux utilisateurs est-elle disponible ?</t>
  </si>
  <si>
    <t>Manuels non disponibles.</t>
  </si>
  <si>
    <t>Perte de temps.</t>
  </si>
  <si>
    <t>Développer un cadre de gestion des risques</t>
  </si>
  <si>
    <t>Spécifications du format et de la structure des fichiers, Schémas de données</t>
  </si>
  <si>
    <t>Établir des mécanismes de conformité</t>
  </si>
  <si>
    <t>Le manuel est disponible sur un emplacement partagé et facilement accessible</t>
  </si>
  <si>
    <t>Procédure de contrôle de la cohérence des données, Rapports de contrôle de cohérence</t>
  </si>
  <si>
    <t>Le manuel est-il disponible sur un emplacement partagé et facilement accessible ?</t>
  </si>
  <si>
    <t>Nouveaux utilisateurs mal formés.</t>
  </si>
  <si>
    <t>Incompréhension des utilisateurs.</t>
  </si>
  <si>
    <t>Mettre en place des formations utilisateurs</t>
  </si>
  <si>
    <t>Procédure de gestion des erreurs d'intégration, Registre des erreurs d'intégration</t>
  </si>
  <si>
    <t>Développer des processus de mise à jour automatiques</t>
  </si>
  <si>
    <t>Les nouveaux utilisateurs reçoivent le manuel lors de leur formation</t>
  </si>
  <si>
    <t>Politique de journalisation des intégrations, Logs d'intégration</t>
  </si>
  <si>
    <t>Les nouveaux utilisateurs reçoivent-ils le manuel lors de leur formation ?</t>
  </si>
  <si>
    <t>Outils d'aide inexistants.</t>
  </si>
  <si>
    <t>Incapacité de mettre à jour.</t>
  </si>
  <si>
    <t>Renforcer les protocoles de sécurité des échanges</t>
  </si>
  <si>
    <t>Plan de tests d'intégration, Rapports de tests d'intégration</t>
  </si>
  <si>
    <t>Existence d'un mécanisme pour notifier les utilisateurs des mises à jour du manuel</t>
  </si>
  <si>
    <t>Politique de stockage sécurisé des données rejetées, Description de l'environnement de stockage</t>
  </si>
  <si>
    <t>Existe-t-il un mécanisme pour notifier les utilisateurs des mises à jour du manuel ?</t>
  </si>
  <si>
    <t>Consultations non suivies.</t>
  </si>
  <si>
    <t>Interception des données.</t>
  </si>
  <si>
    <t>Sécuriser les canaux de communication</t>
  </si>
  <si>
    <t>Politique de conservation des données rejetées, Planning de suppression des données rejetées</t>
  </si>
  <si>
    <t>Développer des mécanismes anti-corruption de données</t>
  </si>
  <si>
    <t>Suivi des consultations et des téléchargements du manuel</t>
  </si>
  <si>
    <t>Procédure de documentation des raisons du rejet, Registre des rejets</t>
  </si>
  <si>
    <t>Les consultations et des téléchargements du manuel sont-ils suivis ?</t>
  </si>
  <si>
    <t>Absence de contrôle des transferts de fichiers.</t>
  </si>
  <si>
    <t>Rôle des personnes difficile à comprendre.</t>
  </si>
  <si>
    <t>Créer des systèmes de traçabilité et de localisation</t>
  </si>
  <si>
    <t>Politique de sécurité des données rejetées, Logs d'accès aux données rejetées</t>
  </si>
  <si>
    <t>Simplifier l'exploitation des données</t>
  </si>
  <si>
    <t>Vérifier l’existence des procédures de transmission de fichiers en entrée</t>
  </si>
  <si>
    <t>Procédure de demande et d'approbation des transmissions de fichiers</t>
  </si>
  <si>
    <t>Procédure de suppression définitive des données rejetées, Journal des suppressions</t>
  </si>
  <si>
    <t>Existe-t-il une procédure de demande et d'approbation des transmissions de fichiers ?</t>
  </si>
  <si>
    <t>Personnes autorisées non identifiables.</t>
  </si>
  <si>
    <t>La sécurité d'échanges ne sont pas garantis.</t>
  </si>
  <si>
    <t>Améliorer la lisibilité des rapports</t>
  </si>
  <si>
    <t>Procédure d'analyse des causes des rejets, Rapports d'analyse des rejets</t>
  </si>
  <si>
    <t>Mettre en place des contrôles de saisie</t>
  </si>
  <si>
    <t>Identification des personnes autorisées à transmettre des fichiers</t>
  </si>
  <si>
    <t>Identification des responsables de l'analyse et de la correction, Organigramme des responsabilités</t>
  </si>
  <si>
    <t>Les personnes autorisées à transmettre des fichiers sont-elles identifiées ?</t>
  </si>
  <si>
    <t>Protocoles de communication non sécurisés.</t>
  </si>
  <si>
    <t>Risque de corruption des données.</t>
  </si>
  <si>
    <t>Standardiser la documentation</t>
  </si>
  <si>
    <t>Procédure de mise en place des mesures correctives, Plan d'actions correctives</t>
  </si>
  <si>
    <t>Développer des systèmes de détection d'incidents</t>
  </si>
  <si>
    <t>Utilisation de protocoles de communication sécurisés (ex : SFTP, FTPS)</t>
  </si>
  <si>
    <t>Procédure de suivi des mesures correctives, Registre de suivi des actions correctives</t>
  </si>
  <si>
    <t>Des protocoles de communication sécurisés (ex: SFTP, FTPS) sont-ils utilisés ?</t>
  </si>
  <si>
    <t>Intégrité non contrôlée.</t>
  </si>
  <si>
    <t>Absence de pistes pour la localisation des problèmes.</t>
  </si>
  <si>
    <t>Définir des procédures de gestion des responsabilités</t>
  </si>
  <si>
    <t>Procédure de documentation des corrections, Journal des corrections apportées</t>
  </si>
  <si>
    <t>Créer des outils d'analyse de données</t>
  </si>
  <si>
    <t>Contrôle de l'intégrité des fichiers transmis (hashage)</t>
  </si>
  <si>
    <t>Politique de gestion des accès (aux données rejetées), Journal des accès (aux données rejetées)</t>
  </si>
  <si>
    <t>L'intégrité des fichiers transmis (hachage) est-elle contrôlée ?</t>
  </si>
  <si>
    <t>Transmissions non documentées.</t>
  </si>
  <si>
    <t>Difficulté lors de l'exploitation des données.</t>
  </si>
  <si>
    <t>Améliorer la précision des rapports</t>
  </si>
  <si>
    <t>Procédure de validation des corrections apportées, Registre des validations</t>
  </si>
  <si>
    <t>Développer des protocoles de gestion des erreurs</t>
  </si>
  <si>
    <t>Documentation de toutes les transmissions de fichiers</t>
  </si>
  <si>
    <t>Politique de sauvegarde et de restauration (des données rejetées), Journal des sauvegardes (des données rejetées)</t>
  </si>
  <si>
    <t>Toutes les transmissions de fichiers sont-elles documentées ?</t>
  </si>
  <si>
    <t>Format des fichiers entrants non validé.</t>
  </si>
  <si>
    <t>Difficulté de comprendre les rapports.</t>
  </si>
  <si>
    <t>Sécuriser les systèmes et applications</t>
  </si>
  <si>
    <t>Procédure d'archivage des données rejetées, Politique d'archivage</t>
  </si>
  <si>
    <t>Redéfinir la matrice des rôles</t>
  </si>
  <si>
    <t>S’assurer de l’effectivités des contrôles mis en œuvre lors de 
 l'intégration des données par fichiers à l'application</t>
  </si>
  <si>
    <t>Validation du format et de la structure des fichiers intégrés</t>
  </si>
  <si>
    <t>Rapport de respect des délais (de traitement des rejets), Indicateurs de performance (KPI)</t>
  </si>
  <si>
    <t>Quels mécanismes sont en place pour valider le format des fichiers entrants ?</t>
  </si>
  <si>
    <t>Incohérence des données.</t>
  </si>
  <si>
    <t>Étendre les capacités de suivi</t>
  </si>
  <si>
    <t>Politique de communication sur les corrections apportées, Journal des communications</t>
  </si>
  <si>
    <t>Optimiser la gestion des droits d'accès</t>
  </si>
  <si>
    <t>Contrôle de la cohérence des données intégrées avec les données existantes</t>
  </si>
  <si>
    <t>Procédure de contrôle de la cohérence des données</t>
  </si>
  <si>
    <t>Comment la cohérence des nouvelles données avec les données existantes est-elle assurée pendant le processus d'intégration ?</t>
  </si>
  <si>
    <t>Processus de gestion des erreurs inexistants.</t>
  </si>
  <si>
    <t>Non détection des erreurs des saisies de données.</t>
  </si>
  <si>
    <t>Rapports de contrôle de cohérence</t>
  </si>
  <si>
    <t>Maîtriser les processus opérationnels</t>
  </si>
  <si>
    <t>Gestion des erreurs d'intégration (rejet, correction)</t>
  </si>
  <si>
    <t>Procédure de gestion des erreurs d'intégration</t>
  </si>
  <si>
    <t>Quel est le processus de gestion des erreurs qui se produisent pendant l'intégration des données ?</t>
  </si>
  <si>
    <t>Informations non renseignées.</t>
  </si>
  <si>
    <t>Non documentées.</t>
  </si>
  <si>
    <t>Renforcer les contrôles internes</t>
  </si>
  <si>
    <t>Registre des erreurs d'intégration</t>
  </si>
  <si>
    <t>Documenter systématiquement les actions</t>
  </si>
  <si>
    <t>Journalisation des intégrations de fichiers</t>
  </si>
  <si>
    <t>Politique de journalisation des intégrations</t>
  </si>
  <si>
    <t>Quelles informations sont enregistrées lors de chaque processus d'intégration de fichiers ?</t>
  </si>
  <si>
    <t>Contrôles d'intégration inefficaces.</t>
  </si>
  <si>
    <t>Échec d'identifier les incidents.</t>
  </si>
  <si>
    <t>Réduire la dépendance aux fonctions actuelles</t>
  </si>
  <si>
    <t>Logs d'intégration</t>
  </si>
  <si>
    <t>Sécuriser les infrastructures applicatives</t>
  </si>
  <si>
    <t>Tests de validation des contrôles d'intégration</t>
  </si>
  <si>
    <t>Plan de tests d'intégration</t>
  </si>
  <si>
    <t>Comment testez-vous l'efficacité des contrôles d'intégration ?</t>
  </si>
  <si>
    <t>Rejets non stockés.</t>
  </si>
  <si>
    <t>Exposition aux responsabilités.</t>
  </si>
  <si>
    <t>Gérer l'obsolescence technologique</t>
  </si>
  <si>
    <t>Rapports de tests d'intégration</t>
  </si>
  <si>
    <t>Développer des outils de veille stratégique</t>
  </si>
  <si>
    <t>Définition d'un emplacement de stockage sécurisé pour les données rejetées</t>
  </si>
  <si>
    <t>Politique de stockage sécurisé des données rejetées</t>
  </si>
  <si>
    <t>Où sont stockées les données rejetées ?</t>
  </si>
  <si>
    <t>Données rejetées non conservées.</t>
  </si>
  <si>
    <t>Informations non disponibles pour l'analyse.</t>
  </si>
  <si>
    <t>Aligner les objectifs et les moyens</t>
  </si>
  <si>
    <t>Description de l'environnement de stockage</t>
  </si>
  <si>
    <t>Mettre en place des analyses de causes racines</t>
  </si>
  <si>
    <t>Conservation des données rejetées pendant une période déterminée</t>
  </si>
  <si>
    <t>Politique de conservation des données rejetées</t>
  </si>
  <si>
    <t>Combien de temps les données rejetées sont-elles conservées ?</t>
  </si>
  <si>
    <t>Informations non capturées.</t>
  </si>
  <si>
    <t>Inexactitude des rapports d'information.</t>
  </si>
  <si>
    <t>Contrôler la diffusion des données</t>
  </si>
  <si>
    <t>Planning de suppression des données rejetées</t>
  </si>
  <si>
    <t>Simplifier l'intervention des acteurs</t>
  </si>
  <si>
    <t>Documentation des raisons du rejet</t>
  </si>
  <si>
    <t>Procédure de documentation des raisons du rejet</t>
  </si>
  <si>
    <t>Quelles informations sont capturées lorsque des données sont rejetées ?</t>
  </si>
  <si>
    <t>Pas de solution en cas d'erreur.</t>
  </si>
  <si>
    <t>Respecter les protocoles de résolution</t>
  </si>
  <si>
    <t>Registre des rejets</t>
  </si>
  <si>
    <t>Développer de nouvelles applications</t>
  </si>
  <si>
    <t>Protection des données rejetées contre les modifications et les suppressions non autorisées</t>
  </si>
  <si>
    <t>Politique de sécurité des données rejetées</t>
  </si>
  <si>
    <t>Quelles mesures de sécurité sont en place pour empêcher les modifications ou suppressions non autorisées des données rejetées ?</t>
  </si>
  <si>
    <t>Procédure d'analyse inexistante.</t>
  </si>
  <si>
    <t>Vulnérabilité des systèmes et applications.</t>
  </si>
  <si>
    <t>Mettre en place des revues d'information</t>
  </si>
  <si>
    <t>Logs d'accès aux données rejetées</t>
  </si>
  <si>
    <t>Corriger systématiquement les impacts</t>
  </si>
  <si>
    <t>Procédure de suppression définitive des données rejetées après la période de conservation</t>
  </si>
  <si>
    <t>Procédure de suppression définitive des données rejetées</t>
  </si>
  <si>
    <t>Quel processus est utilisé pour supprimer définitivement les données rejetées après l'expiration de la période de conservation ?</t>
  </si>
  <si>
    <t>Analyse des rejets non réalisée.</t>
  </si>
  <si>
    <t>Mauvais rôles.</t>
  </si>
  <si>
    <t>Contrôler les droits d'accès</t>
  </si>
  <si>
    <t>Journal des suppressions</t>
  </si>
  <si>
    <t>Former à la culture de sécurité</t>
  </si>
  <si>
    <t>S’assurer qu’une analyse et correction des données rejetées est 
 effectuée</t>
  </si>
  <si>
    <t>Procédure d'analyse des causes des rejets</t>
  </si>
  <si>
    <t>Existe-t-il une procédure documentée pour analyser les causes des rejets de données ?</t>
  </si>
  <si>
    <t>Actions correctives inexistantes.</t>
  </si>
  <si>
    <t>Suivi limité.</t>
  </si>
  <si>
    <t>Maîtriser les flux de données</t>
  </si>
  <si>
    <t>Rapports d'analyse des rejets</t>
  </si>
  <si>
    <t>Établir une politique de sécurité complète</t>
  </si>
  <si>
    <t>Identification des responsables de l'analyse et de la correction</t>
  </si>
  <si>
    <t>Qui est responsable de l'analyse des causes des rejets de données ?</t>
  </si>
  <si>
    <t>Données rejetées non suivies.</t>
  </si>
  <si>
    <t>Mauvaise gestion des droits d'accès.</t>
  </si>
  <si>
    <t>Protéger les données sensibles</t>
  </si>
  <si>
    <t>Développer de nouvelles applications sécurisées</t>
  </si>
  <si>
    <t>Mise en place de mesures correctives pour éviter les rejets futurs</t>
  </si>
  <si>
    <t>Procédure de mise en place des mesures correctives</t>
  </si>
  <si>
    <t>Quelles actions correctives sont prises pour prévenir les futurs rejets de données ?</t>
  </si>
  <si>
    <t>Corrections non documentées.</t>
  </si>
  <si>
    <t>Vulnérabilité des systèmes.</t>
  </si>
  <si>
    <t>Gérer les menaces persistantes</t>
  </si>
  <si>
    <t>Plan d'actions correctives</t>
  </si>
  <si>
    <t>Mettre à jour régulièrement les informations</t>
  </si>
  <si>
    <t>Suivi des données rejetées jusqu'à leur correction</t>
  </si>
  <si>
    <t>Procédure de suivi des mesures correctives</t>
  </si>
  <si>
    <t>Comment les données rejetées sont-elles suivies tout au long du processus de correction ?</t>
  </si>
  <si>
    <t>Procédures non connues.</t>
  </si>
  <si>
    <t>Informations non disponible.</t>
  </si>
  <si>
    <t>Centraliser les sources d'information</t>
  </si>
  <si>
    <t>Registre de suivi des actions correctives</t>
  </si>
  <si>
    <t>Mettre en place des mécanismes anti-corruption</t>
  </si>
  <si>
    <t>Documentation des corrections apportées aux données rejetées</t>
  </si>
  <si>
    <t>Procédure de documentation des corrections</t>
  </si>
  <si>
    <t>Comment les corrections apportées aux données rejetées sont-elles documentées ?</t>
  </si>
  <si>
    <t>Rôles et responsabilités imprécis.</t>
  </si>
  <si>
    <t>Absence de vérifications des sécurité.</t>
  </si>
  <si>
    <t>Développer des référentiels de données</t>
  </si>
  <si>
    <t>Journal des corrections apportées</t>
  </si>
  <si>
    <t>Créer des tableaux de bord de suivi</t>
  </si>
  <si>
    <t>S’assurer qu’un contrôle des corrections des données rejetées 
 est effectif</t>
  </si>
  <si>
    <t>Efficacité du processus de contrôle</t>
  </si>
  <si>
    <t>Indicateurs de performance du processus de contrôle</t>
  </si>
  <si>
    <t>Les limites du processus de contrôle (périmètre, ressources, responsabilités) sont-elles clairement définies et respectées lors de la vérification des corrections ?</t>
  </si>
  <si>
    <t>Délai de validation trop long.</t>
  </si>
  <si>
    <t>Processus non maîtrisées.</t>
  </si>
  <si>
    <t>Mettre en place des alertes de sécurité</t>
  </si>
  <si>
    <t>Rapports d'efficacité des contrôles</t>
  </si>
  <si>
    <t>Établir un cadre de gouvernance des données</t>
  </si>
  <si>
    <t>Qualité des corrections apportées</t>
  </si>
  <si>
    <t>Grille d'évaluation de la qualité des corrections</t>
  </si>
  <si>
    <t>Le nombre de corrections apportées aux données rejetées est-il mesuré et correspond-il aux attentes ou aux besoins identifiés ?</t>
  </si>
  <si>
    <t>Absence de système pour corriger les erreurs.</t>
  </si>
  <si>
    <t>Contrôles inadéquats.</t>
  </si>
  <si>
    <t>Renforcer les mécanismes de contrôle</t>
  </si>
  <si>
    <t>Revue des corrections apportées</t>
  </si>
  <si>
    <t>Traçabilité des corrections</t>
  </si>
  <si>
    <t>Procédure de traitement des corrections</t>
  </si>
  <si>
    <t>Chaque correction apportée aux données rejetées est-elle enregistrée de manière à permettre un suivi clair et une vérification ultérieure ?</t>
  </si>
  <si>
    <t>Politique de conservation inexistante.</t>
  </si>
  <si>
    <t>Actions non documentés.</t>
  </si>
  <si>
    <t>Réduire la dépendance aux systèmes existants</t>
  </si>
  <si>
    <t>Journal des traitements</t>
  </si>
  <si>
    <t>Sécuriser les applications</t>
  </si>
  <si>
    <t>Rapidité et respect des délais</t>
  </si>
  <si>
    <t>Rapport de respect des délais (de traitement des rejets)</t>
  </si>
  <si>
    <t>Les corrections des données rejetées sont-elles contrôlées et validées dans les délais prévus, sans retard impactant le processus global ?</t>
  </si>
  <si>
    <t>Logs non protégés.</t>
  </si>
  <si>
    <t>Dépendance aux fonctions actuelles .</t>
  </si>
  <si>
    <t>Améliorer la gestion de l'infrastructure</t>
  </si>
  <si>
    <t>Indicateurs de performance (KPI)</t>
  </si>
  <si>
    <t>Conformité aux procédures établies</t>
  </si>
  <si>
    <t>Le contrôle des corrections des données rejetées respecte-t-il les procédures et protocoles établis (par exemple, validation par un responsable, utilisation d’outils spécifiques) ?</t>
  </si>
  <si>
    <t>Application pas sécurisées</t>
  </si>
  <si>
    <t>Registre des non-conformités</t>
  </si>
  <si>
    <t>Aligner les objectifs organisationnels</t>
  </si>
  <si>
    <t>Procédure de mise à jour des données sensibles documentée</t>
  </si>
  <si>
    <t>Procédure de mise à jour des données sensibles</t>
  </si>
  <si>
    <t>La procédure de mise à jour des données sensibles est-elle facilement accessible et compréhensible par tous les utilisateurs concernés ?</t>
  </si>
  <si>
    <t>Inventaire incomplet.</t>
  </si>
  <si>
    <t>Difficulté à gérer les éléments d'infrastructure.</t>
  </si>
  <si>
    <t>Journal des mises à jour</t>
  </si>
  <si>
    <t>Responsabilités clairement définies pour la mise à jour des données sensibles</t>
  </si>
  <si>
    <t>Matrice des responsabilités (RACI) pour la mise à jour</t>
  </si>
  <si>
    <t>Les responsabilités pour la mise à jour des données sensibles sont-elles clairement attribuées à des personnes compétentes ?</t>
  </si>
  <si>
    <t>Paramètres non documentés.</t>
  </si>
  <si>
    <t>Vulnérabilité à l'obsolescence.</t>
  </si>
  <si>
    <t>Description des rôles et responsabilités</t>
  </si>
  <si>
    <t>Validation des modifications apportées aux données sensibles</t>
  </si>
  <si>
    <t>Procédure de validation des modifications</t>
  </si>
  <si>
    <t>Existe-t-il un processus d'approbation pour les modifications des données sensibles avant leur application ?</t>
  </si>
  <si>
    <t>Analyses irrégulières.</t>
  </si>
  <si>
    <t>Mauvaise compréhension des tendances.</t>
  </si>
  <si>
    <t>Journal des validations</t>
  </si>
  <si>
    <t>Traçabilité des mises à jour des données sensibles</t>
  </si>
  <si>
    <t>Politique de traçabilité des données</t>
  </si>
  <si>
    <t>Le système de traçabilité enregistre-t-il l'utilisateur, la date, l'heure et la justification de chaque modification apportée aux données sensibles ?</t>
  </si>
  <si>
    <t>Objectifs imprécis.</t>
  </si>
  <si>
    <t>Difficultés à atteindre les objectifs.</t>
  </si>
  <si>
    <t>Logs d'audit des modifications</t>
  </si>
  <si>
    <t>Contrôler précisément les droits d'accès</t>
  </si>
  <si>
    <t>Gestion des erreurs de mise à jour des données sensibles</t>
  </si>
  <si>
    <t>Procédure de gestion des erreurs de mise à jour</t>
  </si>
  <si>
    <t>Existe-t-il une procédure pour détecter, signaler et corriger les erreurs lors de la mise à jour des données sensibles ?</t>
  </si>
  <si>
    <t>Historique incomplet.</t>
  </si>
  <si>
    <t>Difficultés à analyser les causes des problèmes.</t>
  </si>
  <si>
    <t>Registre des erreurs de mise à jour</t>
  </si>
  <si>
    <t>Journalisation complète de toutes les mises à jour (utilisateur, date, heure, données modifiées)</t>
  </si>
  <si>
    <t>Politique de journalisation des accès et modifications</t>
  </si>
  <si>
    <t>Est-ce que les logs d'activité incluent l'utilisateur, la date, l'heure, les données modifiées, le type de modification et toute autre information pertinente pour assurer une traçabilité complète ?</t>
  </si>
  <si>
    <t>Distribution des états de sortie non vérifiée.</t>
  </si>
  <si>
    <t>Diffusion des données non contrôlée.</t>
  </si>
  <si>
    <t>Logs d'audit complets</t>
  </si>
  <si>
    <t>Archivage régulier des logs de mise à jour</t>
  </si>
  <si>
    <t>Politique d'archivage des logs</t>
  </si>
  <si>
    <t>Les logs de mise à jour sont-ils archivés régulièrement selon une fréquence définie ?</t>
  </si>
  <si>
    <t>Responsabilités imprécises.</t>
  </si>
  <si>
    <t>Intervention des acteurs complexes.</t>
  </si>
  <si>
    <t>Plan d'archivage</t>
  </si>
  <si>
    <t>Politique de conservation des logs de mise à jour définie</t>
  </si>
  <si>
    <t>Politique de conservation des logs</t>
  </si>
  <si>
    <t>Existe-t-il une politique de conservation des logs de mise à jour qui spécifie la durée pendant laquelle les logs doivent être conservés ?</t>
  </si>
  <si>
    <t>Processus de remédiation inexistant.</t>
  </si>
  <si>
    <t>Non-respect des protocoles de résolution.</t>
  </si>
  <si>
    <t>Durée de conservation définie</t>
  </si>
  <si>
    <t>Protection des logs de mise à jour contre la suppression ou la modification</t>
  </si>
  <si>
    <t>Politique de sécurité des logs</t>
  </si>
  <si>
    <t>Les logs de mise à jour sont-ils protégés contre la suppression ou la modification non autorisée ?</t>
  </si>
  <si>
    <t>Procédure non documentée.</t>
  </si>
  <si>
    <t>Application inexistantes.</t>
  </si>
  <si>
    <t>Créer des référentiels de données</t>
  </si>
  <si>
    <t>Procédure de gestion des accès aux logs</t>
  </si>
  <si>
    <t>Développer des tableaux de bord de suivi</t>
  </si>
  <si>
    <t>Analyse des logs de mise à jour pour détecter les anomalies</t>
  </si>
  <si>
    <t>Procédure d'analyse des logs</t>
  </si>
  <si>
    <t>Les logs de mise à jour sont-ils analysés régulièrement pour détecter les anomalies, les activités suspectes ou les erreurs ?</t>
  </si>
  <si>
    <t>Revue des états de sortie incomplète.</t>
  </si>
  <si>
    <t>Information non revue.</t>
  </si>
  <si>
    <t>Rapport d'analyse des logs</t>
  </si>
  <si>
    <t>Inventaire des contrôles automatiques périodiques</t>
  </si>
  <si>
    <t>Inventaire des contrôles automatiques</t>
  </si>
  <si>
    <t>Existe-t-il un inventaire complet et à jour de tous les contrôles automatiques périodiques ?</t>
  </si>
  <si>
    <t>Absence d'actions correctives.</t>
  </si>
  <si>
    <t>Impact non corrigé.</t>
  </si>
  <si>
    <t>Contrôler les points de validation des rapports</t>
  </si>
  <si>
    <t>Description détaillée de chaque contrôle</t>
  </si>
  <si>
    <t>Sécuriser les interfaces</t>
  </si>
  <si>
    <t>Documentation des paramètres de chaque contrôle automatique périodique</t>
  </si>
  <si>
    <t>Documentation des paramètres des contrôles</t>
  </si>
  <si>
    <t>Les paramètres de chaque contrôle automatique périodique sont-ils documentés de manière claire et précise ?</t>
  </si>
  <si>
    <t>Vérification inexistante.</t>
  </si>
  <si>
    <t>Absence des points de contrôle des droits.</t>
  </si>
  <si>
    <t>Simplifier la maintenance des applications</t>
  </si>
  <si>
    <t>Configuration des contrôles</t>
  </si>
  <si>
    <t>Gérer rigoureusement les listes de distribution</t>
  </si>
  <si>
    <t>Analyse des résultats des contrôles automatiques périodiques</t>
  </si>
  <si>
    <t>Analyse des résultats des contrôles</t>
  </si>
  <si>
    <t>Les résultats des contrôles automatiques périodiques sont-ils analysés régulièrement pour identifier les anomalies ?</t>
  </si>
  <si>
    <t>Non-connaissance de la sécurité.</t>
  </si>
  <si>
    <t>Vérifier les identités des utilisateurs</t>
  </si>
  <si>
    <t>Rapport d'analyse des résultats</t>
  </si>
  <si>
    <t>Développer des mécanismes anti-corruption de fichiers</t>
  </si>
  <si>
    <t>Description des objectifs de chaque contrôle automatique périodique</t>
  </si>
  <si>
    <t>Description des objectifs des contrôles</t>
  </si>
  <si>
    <t>Les objectifs de chaque contrôle sont-ils bien définis et répondent aux besoins de sécurité et de conformité de l'organisation?</t>
  </si>
  <si>
    <t>Informations sur l'activité inexistantes.</t>
  </si>
  <si>
    <t>Donnée non maitrisée.</t>
  </si>
  <si>
    <t>Contrôler les flux systémiques</t>
  </si>
  <si>
    <t>Indicateurs clés de performance (KPI) des contrôles</t>
  </si>
  <si>
    <t>Implémenter des mesures de sécurité</t>
  </si>
  <si>
    <t>Historique des exécutions des contrôles automatiques périodiques</t>
  </si>
  <si>
    <t>Historique des exécutions des contrôles</t>
  </si>
  <si>
    <t>Existe-t-il un historique des exécutions des contrôles automatiques périodiques qui comprend les résultats (réussite/échec)?</t>
  </si>
  <si>
    <t>Méthode non documentée.</t>
  </si>
  <si>
    <t>Sécurité incomplète.</t>
  </si>
  <si>
    <t>Établir des processus de remédiation</t>
  </si>
  <si>
    <t>Journal des exécutions</t>
  </si>
  <si>
    <t>Désigner des responsables clairement</t>
  </si>
  <si>
    <t>Vérifier que la couverture, le contenu et la distribution des états 
 de sortie est effective</t>
  </si>
  <si>
    <t>Suivi de la distribution des états de sortie</t>
  </si>
  <si>
    <t>Procédure de suivi des états de sortie</t>
  </si>
  <si>
    <t>Existe-t-il un processus de suivi de la distribution des états de sortie qui permet de confirmer que les destinataires ont reçu les rapports ?</t>
  </si>
  <si>
    <t>Efficacité non évaluée.</t>
  </si>
  <si>
    <t>Protection des données inexistantes.</t>
  </si>
  <si>
    <t>Développer des procédures de sécurité</t>
  </si>
  <si>
    <t>Grille de suivi des états de sortie</t>
  </si>
  <si>
    <t>Améliorer la qualité des informations</t>
  </si>
  <si>
    <t>Responsabilités clairement définies pour la revue des états de sortie</t>
  </si>
  <si>
    <t>Matrice des responsabilités (RACI) pour la revue</t>
  </si>
  <si>
    <t>Les responsabilités pour la revue des états de sortie sont-elles clairement définies, y compris la personne responsable et le délai de revue ?</t>
  </si>
  <si>
    <t>Nécessaire vérification inexistante.</t>
  </si>
  <si>
    <t>Développer l'expertise de l'environnement</t>
  </si>
  <si>
    <t>Maîtriser le cycle de vie des projets</t>
  </si>
  <si>
    <t>Identification des anomalies détectées lors de la revue des états de sortie</t>
  </si>
  <si>
    <t>Procédure d'identification des anomalies</t>
  </si>
  <si>
    <t>Existe-t-il un processus pour enregistrer et suivre les anomalies identifiées lors de la revue des états de sortie ?</t>
  </si>
  <si>
    <t>Mesures de sécurité insuffisantes.</t>
  </si>
  <si>
    <t>Menaces persistantes</t>
  </si>
  <si>
    <t>Évaluer précisément les besoins</t>
  </si>
  <si>
    <t>Registre des anomalies détectées</t>
  </si>
  <si>
    <t>Approfondir la compréhension des systèmes</t>
  </si>
  <si>
    <t>Procédure de revue des états de sortie définie</t>
  </si>
  <si>
    <t>Procédure de revue des états de sortie</t>
  </si>
  <si>
    <t>Existe-t-il une procédure documentée pour la revue des états de sortie qui spécifie les étapes à suivre et les éléments à vérifier ?</t>
  </si>
  <si>
    <t>Absence de procédure documentée pour la revue des états de sortie.</t>
  </si>
  <si>
    <t>informations ne sont pas à jours.</t>
  </si>
  <si>
    <t>Standardiser les actions</t>
  </si>
  <si>
    <t>Plan de revue des états de sortie</t>
  </si>
  <si>
    <t>Développer des processus de validation</t>
  </si>
  <si>
    <t>Documentation des points vérifiés lors de la revue des états de sortie</t>
  </si>
  <si>
    <t>Procédure de documentation des points vérifiés</t>
  </si>
  <si>
    <t>La revue des états de sortie comprend-elle une documentation des points critiques vérifiés afin de garantir la qualité et la cohérence des informations ?</t>
  </si>
  <si>
    <t>Documentation des points critiques absente.</t>
  </si>
  <si>
    <t>Absence d'informations.</t>
  </si>
  <si>
    <t>Suivre les tentatives d'intrusion</t>
  </si>
  <si>
    <t>Feuille de travail de la revue</t>
  </si>
  <si>
    <t>Standardiser les processus de correction</t>
  </si>
  <si>
    <t>S’assurer que la revue détaillée des états disponibles et de leur 
 destinataire est effective</t>
  </si>
  <si>
    <t>Suivi des actions correctives mises en place suite à la revue des états de sortie</t>
  </si>
  <si>
    <t>Procédure de suivi des actions correctives</t>
  </si>
  <si>
    <t>Existe-t-il un suivi des actions correctives mises en place en réponse aux anomalies détectées lors de la revue des états de sortie, afin de vérifier leur efficacité ?</t>
  </si>
  <si>
    <t>Actions correctives absentes en cas d'anomalies détectées.</t>
  </si>
  <si>
    <t>Informations corrompues.</t>
  </si>
  <si>
    <t>Clarifier les procédures</t>
  </si>
  <si>
    <t>Automatiser les évaluations et les contrôles</t>
  </si>
  <si>
    <t>Vérification que les états de sortie contiennent les informations nécessaires</t>
  </si>
  <si>
    <t>Définition des informations nécessaires des états</t>
  </si>
  <si>
    <t>Une vérification est-elle effectuée pour s'assurer que les états de sortie contiennent toutes les informations nécessaires et pertinentes ?</t>
  </si>
  <si>
    <t>Vérification insuffisante des informations dans les états de sortie.</t>
  </si>
  <si>
    <t>Absence de point de contrôle des rapports.</t>
  </si>
  <si>
    <t>Mettre en place des mécanismes de validation des rapports</t>
  </si>
  <si>
    <t>Modèles d'états de sortie</t>
  </si>
  <si>
    <t>Développer des tableaux de bord de contrôle automatisés</t>
  </si>
  <si>
    <t>Vérification que les moyens de contrôle sont mis en place</t>
  </si>
  <si>
    <t>Description des moyens de contrôle mis en place</t>
  </si>
  <si>
    <t>Des contrôles sont-ils mis en place pour vérifier l'intégrité et la validité des informations contenues dans les états de sortie?</t>
  </si>
  <si>
    <t>Interfacer non contrôlés.</t>
  </si>
  <si>
    <t>Mettre en place des tests d’interface réguliers pour détecter les anomalies</t>
  </si>
  <si>
    <t>Rapports des contrôles effectués</t>
  </si>
  <si>
    <t>Développer des protocoles de validation des interactions entre interfaces</t>
  </si>
  <si>
    <t>Définition des informations nécessaires pour le suivi de l'activité</t>
  </si>
  <si>
    <t>Définition des informations nécessaires au suivi</t>
  </si>
  <si>
    <t>Les informations nécessaires pour le suivi de l'activité sont-elles clairement définies, documentées et régulièrement réévaluées ?</t>
  </si>
  <si>
    <t>Informations sur l'activité incomplètes.</t>
  </si>
  <si>
    <t>Applications complexes à maintenir</t>
  </si>
  <si>
    <t>Simplifier l’architecture des applications</t>
  </si>
  <si>
    <t>Liste des informations à suivre</t>
  </si>
  <si>
    <t>Développer des guides de maintenance standardisés</t>
  </si>
  <si>
    <t>Identification des moyens de contrôle nécessaires pour la gestion des risques</t>
  </si>
  <si>
    <t>Identification des moyens de contrôle nécessaires</t>
  </si>
  <si>
    <t>Existe-t-il une méthode documentée pour identifier les contrôles nécessaires afin de gérer les risques liés aux états de sortie ?</t>
  </si>
  <si>
    <t>Méthode non documentée pour les contrôles.</t>
  </si>
  <si>
    <t>Accès à distribution à un liste de personnes.</t>
  </si>
  <si>
    <t>Mettre en place un registre sécurisé des accès autorisés</t>
  </si>
  <si>
    <t>Politique de gestion des risques</t>
  </si>
  <si>
    <t>Développer des contrôles d’accès basés sur les rôles des utilisateurs</t>
  </si>
  <si>
    <t>Vérifier que le niveau d’information et de moyen de contrôle 
 adapté</t>
  </si>
  <si>
    <t>Evaluation de l'efficacité des moyens de contrôle</t>
  </si>
  <si>
    <t>Procédure d'évaluation de l'efficacité des contrôles</t>
  </si>
  <si>
    <t>L'efficacité des contrôles mis en place pour les états de sortie est-elle évaluée régulièrement, et les résultats de cette évaluation sont-ils documentés ?</t>
  </si>
  <si>
    <t>Efficacité des contrôles non évaluée.</t>
  </si>
  <si>
    <t>Distribution à des employés non vérifiés.</t>
  </si>
  <si>
    <t>Développer un processus de vérification d’identité</t>
  </si>
  <si>
    <t>Rapports d'évaluation de l'efficacité</t>
  </si>
  <si>
    <t>Créer des procédures d’authentification renforcées</t>
  </si>
  <si>
    <t>Vérification que les états de sortie sont distribués aux destinataires prévus</t>
  </si>
  <si>
    <t>Liste des destinataires prévus des états</t>
  </si>
  <si>
    <t>Existe-t-il un mécanisme de vérification pour confirmer que les états de sortie sont distribués uniquement aux destinataires autorisés ?</t>
  </si>
  <si>
    <t>Mécanisme de vérification inexistant.</t>
  </si>
  <si>
    <t>Le risque lié à la corruption de fichiers.</t>
  </si>
  <si>
    <t>Implémenter des mécanismes de contrôle d’intégrité</t>
  </si>
  <si>
    <t>Politique de diffusion des informations</t>
  </si>
  <si>
    <t>Développer des systèmes de sauvegarde et restauration</t>
  </si>
  <si>
    <t>Mise en place de mesures pour garantir la confidentialité des états de sortie</t>
  </si>
  <si>
    <t>Procédure de mise en place des mesures de confidentialité</t>
  </si>
  <si>
    <t>Des mesures de sécurité, telles que le chiffrement ou le contrôle d'accès, sont-elles en place pour protéger la confidentialité des états de sortie ?</t>
  </si>
  <si>
    <t>Mesures de sécurité inadaptées.</t>
  </si>
  <si>
    <t>Contrôle des flux du système.</t>
  </si>
  <si>
    <t>Mettre en place des systèmes de monitoring en temps réel</t>
  </si>
  <si>
    <t>Politique de confidentialité</t>
  </si>
  <si>
    <t>Développer des alertes de flux anormaux</t>
  </si>
  <si>
    <t>Identification des destinataires de chaque état de sortie</t>
  </si>
  <si>
    <t>Identification des destinataires de chaque état</t>
  </si>
  <si>
    <t>Existe-t-il une liste documentée des destinataires autorisés pour chaque type d'état de sortie ?</t>
  </si>
  <si>
    <t>Liste des destinataires autorisés inexistante.</t>
  </si>
  <si>
    <t>Absence de contrôle des données.</t>
  </si>
  <si>
    <t>Créer un référentiel centralisé des données</t>
  </si>
  <si>
    <t>Liste de diffusion des états</t>
  </si>
  <si>
    <t>Mettre en place des processus de validation des données</t>
  </si>
  <si>
    <t>Suivi des livraisons des états de sortie</t>
  </si>
  <si>
    <t>Procédure de suivi des livraisons</t>
  </si>
  <si>
    <t>Le processus de livraison des états de sortie inclut-il un suivi pour s'assurer de leur réception par les destinataires ?</t>
  </si>
  <si>
    <t>Processus de livraison inadéquat.</t>
  </si>
  <si>
    <t>Mesures pas implémentés dans le système.</t>
  </si>
  <si>
    <t>Développer un cadre de mise en œuvre des mesures</t>
  </si>
  <si>
    <t>Journal de distribution des états</t>
  </si>
  <si>
    <t>Créer des procédures d’intégration systématique</t>
  </si>
  <si>
    <t>Liste formalisée des destinataires autorisés pour chaque type d'état</t>
  </si>
  <si>
    <t>Liste formalisée des destinataires autorisés</t>
  </si>
  <si>
    <t>Quelle est la liste formalisée des destinataires autorisés pour chaque type d'état ?</t>
  </si>
  <si>
    <t>Liste des destinataires non formalisée.</t>
  </si>
  <si>
    <t>Processus de remédiation pas établit.</t>
  </si>
  <si>
    <t>Définir des protocoles de résolution d’incidents</t>
  </si>
  <si>
    <t>Politique d'autorisation d'accès à l'information</t>
  </si>
  <si>
    <t>Créer un système de suivi des actions correctives</t>
  </si>
  <si>
    <t>Mécanisme de distribution sécurisé et traçable (email, portail, etc?)</t>
  </si>
  <si>
    <t>Procédure de distribution sécurisée</t>
  </si>
  <si>
    <t>Quel est le mécanisme de distribution sécurisé et traçable (email, portail, etc?) ?</t>
  </si>
  <si>
    <t>Mécanisme de distribution non sécurisé.</t>
  </si>
  <si>
    <t>Aucun responsable désignés.</t>
  </si>
  <si>
    <t>Établir une matrice de responsabilités claire</t>
  </si>
  <si>
    <t>Politique de sécurité de l'information</t>
  </si>
  <si>
    <t>Définir des rôles et périmètres d’action précis</t>
  </si>
  <si>
    <t>Horodatage et preuve de remise des états</t>
  </si>
  <si>
    <t>Horodatage des états</t>
  </si>
  <si>
    <t>Comment fonctionne l’horodatage et la preuve de remise des états ?</t>
  </si>
  <si>
    <t>Horodatage et preuve de remise inexistants.</t>
  </si>
  <si>
    <t>Absence de procédure avec sécurité.</t>
  </si>
  <si>
    <t>Développer un manuel de procédures de sécurité</t>
  </si>
  <si>
    <t>Preuves de remise des états (accusés de réception, logs)</t>
  </si>
  <si>
    <t>Mettre en place des formations sur les protocoles</t>
  </si>
  <si>
    <t>Respect des fréquences et délais de distribution définis</t>
  </si>
  <si>
    <t>Définition des fréquences de distribution</t>
  </si>
  <si>
    <t>Quel est le respect des fréquences et délais de distribution définis ?</t>
  </si>
  <si>
    <t>Fréquences et délais non respectés.</t>
  </si>
  <si>
    <t>Mauvaise qualité des informations.</t>
  </si>
  <si>
    <t>Créer des processus de contrôle qualité</t>
  </si>
  <si>
    <t>Planning de distribution</t>
  </si>
  <si>
    <t>Développer des outils de nettoyage et de validation</t>
  </si>
  <si>
    <t>Procédure de gestion des erreurs de distribution</t>
  </si>
  <si>
    <t>Quelle est la procédure de gestion des erreurs de distribution ?</t>
  </si>
  <si>
    <t>Procédure de gestion des erreurs inexistante.</t>
  </si>
  <si>
    <t>Manque d'expertise de l'environnement.</t>
  </si>
  <si>
    <t>Mettre en place des programmes de formation</t>
  </si>
  <si>
    <t>Registre des erreurs de distribution</t>
  </si>
  <si>
    <t>Développer des ressources de transfert de compétences</t>
  </si>
  <si>
    <t>Vérifier que les contrôles utilisateurs des états de sortie sont 
 effectifs</t>
  </si>
  <si>
    <t>Existence de procédures de contrôle documentées</t>
  </si>
  <si>
    <t>Existe-t-il des procédures de contrôle documentées ?</t>
  </si>
  <si>
    <t>Procédures de contrôle non documentées.</t>
  </si>
  <si>
    <t>Contenu dans le cycle de vie du projet est non maîtrisées</t>
  </si>
  <si>
    <t>Développer des outils de gestion de projet</t>
  </si>
  <si>
    <t>Manuel des procédures de contrôle</t>
  </si>
  <si>
    <t>Créer des méthodes de suivi et de traçabilité</t>
  </si>
  <si>
    <t>Désignation des responsables de validation des états</t>
  </si>
  <si>
    <t>Désignation des responsables de validation</t>
  </si>
  <si>
    <t>Qui sont les responsables de validation des états ?</t>
  </si>
  <si>
    <t>Responsables de validation non définis.</t>
  </si>
  <si>
    <t>Absence d'évaluation des besoins</t>
  </si>
  <si>
    <t>Mettre en place des processus d’analyse des besoins</t>
  </si>
  <si>
    <t>Matrice des responsabilités (validation)</t>
  </si>
  <si>
    <t>Développer des outils de cartographie des exigences</t>
  </si>
  <si>
    <t>Journalisation des vérifications effectuées</t>
  </si>
  <si>
    <t>Comment est réalisée la journalisation des vérifications effectuées ?</t>
  </si>
  <si>
    <t>Journalisation des vérifications non réalisée.</t>
  </si>
  <si>
    <t>Compréhension inexistante sur les systèmes</t>
  </si>
  <si>
    <t>Créer de la documentation technique</t>
  </si>
  <si>
    <t>Rapports de vérification</t>
  </si>
  <si>
    <t>Développer des supports de formation</t>
  </si>
  <si>
    <t>Mécanismes de correction des anomalies détectées</t>
  </si>
  <si>
    <t>Description des mécanismes de correction</t>
  </si>
  <si>
    <t>Quels sont les mécanismes de correction des anomalies détectées ?</t>
  </si>
  <si>
    <t>Mécanismes de correction inexistants.</t>
  </si>
  <si>
    <t>Actions inappropriées</t>
  </si>
  <si>
    <t>Définir des procédures d’action standardisées</t>
  </si>
  <si>
    <t>Procédure de correction des anomalies</t>
  </si>
  <si>
    <t>Mettre en place des mécanismes de contrôle</t>
  </si>
  <si>
    <t>Audits périodiques de l'efficacité des contrôles</t>
  </si>
  <si>
    <t>Plan d'audits périodiques</t>
  </si>
  <si>
    <t>À quelle fréquence sont réalisés les audits de l'efficacité des contrôles ?</t>
  </si>
  <si>
    <t>Audits non réalisés.</t>
  </si>
  <si>
    <t>Informations de validation indisponible.</t>
  </si>
  <si>
    <t>Rapports d'audit</t>
  </si>
  <si>
    <t>Créer des référentiels de données validées</t>
  </si>
  <si>
    <t>S’assurer que les procédures de validation des résultats 
 existent</t>
  </si>
  <si>
    <t>Suivi des corrections apportées aux résultats non valides</t>
  </si>
  <si>
    <t>Procédure de suivi des corrections</t>
  </si>
  <si>
    <t>Comment est assuré le suivi des corrections apportées aux résultats non valides ?</t>
  </si>
  <si>
    <t>Suivi des connexions non assuré.</t>
  </si>
  <si>
    <t>Tentative d'intrusion non suivi</t>
  </si>
  <si>
    <t>Mettre en place des systèmes de détection d’intrusion</t>
  </si>
  <si>
    <t>Registre des corrections apportées</t>
  </si>
  <si>
    <t>Développer des protocoles de réponse aux incidents</t>
  </si>
  <si>
    <t>Documentation des règles de gestion utilisées dans l'application</t>
  </si>
  <si>
    <t>Documentation des règles de gestion</t>
  </si>
  <si>
    <t>Quelle est la documentation des codifications utilisées dans l'application ?</t>
  </si>
  <si>
    <t>Documentation des codifications insuffisante.</t>
  </si>
  <si>
    <t>Contrainte de devoir corriger les rapports.</t>
  </si>
  <si>
    <t>Automatiser les processus de correction</t>
  </si>
  <si>
    <t>Spécifications fonctionnelles de l'application</t>
  </si>
  <si>
    <t>Développer des outils de vérification automatique</t>
  </si>
  <si>
    <t>Processus de mise à jour des codifications et des règles de gestion</t>
  </si>
  <si>
    <t>Processus de mise à jour des codifications</t>
  </si>
  <si>
    <t>Quels sont les règles de gestion documentées dans l'application ?</t>
  </si>
  <si>
    <t>Règles de gestion non documentées.</t>
  </si>
  <si>
    <t>Processus confus.</t>
  </si>
  <si>
    <t>Clarifier et simplifier les processus</t>
  </si>
  <si>
    <t>Historique des modifications des codifications</t>
  </si>
  <si>
    <t>Créer des guides et des modes opératoires</t>
  </si>
  <si>
    <t>Documentation des codifications utilisées dans l'application</t>
  </si>
  <si>
    <t>Documentation des codifications utilisées</t>
  </si>
  <si>
    <t>Comment est vérifiée la cohérence des codifications et des règles de gestion entre les modules ?</t>
  </si>
  <si>
    <t>Cohérence non vérifiée.</t>
  </si>
  <si>
    <t>Mesures à jour inexistantes.</t>
  </si>
  <si>
    <t>Développer un système de veille réglementaire</t>
  </si>
  <si>
    <t>Référentiels de codification</t>
  </si>
  <si>
    <t>Mettre en place des processus de mise à jour périodique</t>
  </si>
  <si>
    <t>Vérification de la cohérence des codifications et des règles de gestion entre les différents modules</t>
  </si>
  <si>
    <t>Procédure de vérification de la cohérence</t>
  </si>
  <si>
    <t>Quel est le processus de mise à jour des codifications et des règles de gestion ?</t>
  </si>
  <si>
    <t>Processus de mise à jour inexistant.</t>
  </si>
  <si>
    <t>Connaissance des procédures inexistante.</t>
  </si>
  <si>
    <t>Créer des supports de formation</t>
  </si>
  <si>
    <t>Rapports de vérification de la cohérence</t>
  </si>
  <si>
    <t>Développer un système de documentation accessible</t>
  </si>
  <si>
    <t>Vérifier que l'homogénéisation des codifications et des règles 
 de gestion est effective</t>
  </si>
  <si>
    <t>Formation des utilisateurs aux codifications et aux règles de gestion</t>
  </si>
  <si>
    <t>Plan de formation des utilisateurs</t>
  </si>
  <si>
    <t>Comment est assurée la formation des utilisateurs aux codifications et aux règles de gestion ?</t>
  </si>
  <si>
    <t>Formation inexistante pour les utilisateurs.</t>
  </si>
  <si>
    <t>Absence d'évaluation et de l'automatisation</t>
  </si>
  <si>
    <t>Mettre en place des outils d’évaluation automatisés</t>
  </si>
  <si>
    <t>Supports de formation (manuels, tutoriels)</t>
  </si>
  <si>
    <t>Développer des processus d’automatisation des contrôles</t>
  </si>
  <si>
    <t>Mécanismes de contrôle de l'exhaustivité des données lors des transmissions</t>
  </si>
  <si>
    <t>Description des mécanismes de contrôle d'exhaustivité</t>
  </si>
  <si>
    <t>Quels mécanismes sont en place pour garantir que toutes les données nécessaires sont transmises entre les modules ?</t>
  </si>
  <si>
    <t>Mécanismes non mis en place.</t>
  </si>
  <si>
    <t>Manque de visibilité sur la transmissions des donnés.</t>
  </si>
  <si>
    <t>Créer des tableaux de bord de suivi des flux</t>
  </si>
  <si>
    <t>Rapports des contrôles d'exhaustivité</t>
  </si>
  <si>
    <t>Développer des outils de traçabilité des données</t>
  </si>
  <si>
    <t>Journalisation des transmissions de données entre les modules</t>
  </si>
  <si>
    <t>Politique de journalisation des transmissions</t>
  </si>
  <si>
    <t>Les transmissions de données entre les modules sont-elles journalisées ? Quels détails sont inclus dans ces journaux ?</t>
  </si>
  <si>
    <t>Transmissions de données non journalisées.</t>
  </si>
  <si>
    <t>Problème d'intégralité et de sécurité des donnés.</t>
  </si>
  <si>
    <t>Mettre en place des mécanismes de chiffrement</t>
  </si>
  <si>
    <t>Logs de transmission des données</t>
  </si>
  <si>
    <t>Développer des protocoles de vérification d’intégrité</t>
  </si>
  <si>
    <t>Mécanismes de contrôle de l'intégrité des données lors des transmissions</t>
  </si>
  <si>
    <t>Description des mécanismes de contrôle d'intégrité</t>
  </si>
  <si>
    <t>Comment l'intégrité des données est-elle assurée lors des transmissions entre les modules (par exemple, checksums, validation des données) ?</t>
  </si>
  <si>
    <t>Intégrité des données non assurée.</t>
  </si>
  <si>
    <t>Les rapports et les alertes sont absentes</t>
  </si>
  <si>
    <t>Créer un système de reporting automatique</t>
  </si>
  <si>
    <t>Rapports des contrôles d'intégrité</t>
  </si>
  <si>
    <t>Développer des mécanismes d’alerte proactifs</t>
  </si>
  <si>
    <t>Procédures de gestion des erreurs de transmission</t>
  </si>
  <si>
    <t>Existe-t-il des procédures définies pour gérer les erreurs qui peuvent survenir lors des transmissions de données ?</t>
  </si>
  <si>
    <t>Procédures non définies.</t>
  </si>
  <si>
    <t>Développer des procédures standardisées pour clarifier les processus</t>
  </si>
  <si>
    <t>Registre des erreurs de transmission</t>
  </si>
  <si>
    <t>Mettre en place des revues régulières pour évaluer l’efficacité des procédures</t>
  </si>
  <si>
    <t>S’assurer que l'intégrité et l'exhaustivité des données 
 transmises entre les différents modules est garantie</t>
  </si>
  <si>
    <t>Test de l'intégrité et de l'exhaustivité des données transmises</t>
  </si>
  <si>
    <t>Plan de tests d'intégrité et d'exhaustivité</t>
  </si>
  <si>
    <t>Des tests sont-ils effectués pour vérifier l'intégrité et l'exhaustivité des données transmises ?</t>
  </si>
  <si>
    <t>Tests non réalisés.</t>
  </si>
  <si>
    <t>Mettre en place des audits pour évaluer les dysfonctionnements</t>
  </si>
  <si>
    <t>Rapports des tests d'intégrité et d'exhaustivité</t>
  </si>
  <si>
    <t>Développer des plans pour effectuer des tests réguliers</t>
  </si>
  <si>
    <t>Documentation des tâches de développement et d'exploitation</t>
  </si>
  <si>
    <t>Documentation des tâches de développement</t>
  </si>
  <si>
    <t>Les tâches de développement et d'exploitation sont-elles documentées de manière adéquate ?</t>
  </si>
  <si>
    <t>Tâches non documentées.</t>
  </si>
  <si>
    <t>Mettre en place des audits pour évaluer les tâches non documentées</t>
  </si>
  <si>
    <t>Documentation des tâches d'exploitation</t>
  </si>
  <si>
    <t>Développer des guides pour documenter les tâches critiques</t>
  </si>
  <si>
    <t>Gestion des incidents et des problèmes rencontrés lors du développement et de l'exploitation</t>
  </si>
  <si>
    <t>Procédure de gestion des incidents</t>
  </si>
  <si>
    <t>Existe-t-il un processus pour gérer les incidents et les problèmes rencontrés lors du développement et de l'exploitation ?</t>
  </si>
  <si>
    <t>Processus de gestion inexistant.</t>
  </si>
  <si>
    <t>Absence d'organisation et de gouvernance.</t>
  </si>
  <si>
    <t>Mettre en place une structure de gouvernance claire avec des rôles définis</t>
  </si>
  <si>
    <t>Développer un plan d’organisation pour coordonner les activités</t>
  </si>
  <si>
    <t>Planification des tâches de développement et d'exploitation</t>
  </si>
  <si>
    <t>Procédure de gestion des problèmes</t>
  </si>
  <si>
    <t>Les tâches de développement et d'exploitation sont-elles planifiées de manière structurée ?</t>
  </si>
  <si>
    <t>Tâches non planifiées.</t>
  </si>
  <si>
    <t>Difficultés de suivre.</t>
  </si>
  <si>
    <t>Instaurer un système de suivi des tâches avec des indicateurs de performance</t>
  </si>
  <si>
    <t>Registre des problèmes</t>
  </si>
  <si>
    <t>Créer des tableaux de bord pour visualiser les progrès en temps réel</t>
  </si>
  <si>
    <t>Planification des tâches de développement</t>
  </si>
  <si>
    <t>Comment l'avancement des tâches de développement et d'exploitation est-il suivi ?</t>
  </si>
  <si>
    <t>Suivi de l'avancement inefficace.</t>
  </si>
  <si>
    <t>Défaut de la performance.</t>
  </si>
  <si>
    <t>Mettre en place des KPI pour évaluer la performance régulièrement</t>
  </si>
  <si>
    <t>Calendrier des tâches de développement</t>
  </si>
  <si>
    <t>Développer des plans d’amélioration continue basés sur les résultats</t>
  </si>
  <si>
    <t>Fonction Informatique</t>
  </si>
  <si>
    <t>S’assurer que les tâches relatives au développement et à 
 l'exploitation de l'application sont bien suivies et documentées</t>
  </si>
  <si>
    <t>Planification des tâches d'exploitation</t>
  </si>
  <si>
    <t>Existe-t-il une politique formelle définissant les règles d'accès aux bibliothèques de production ?</t>
  </si>
  <si>
    <t>Politique d'accès inexistante.</t>
  </si>
  <si>
    <t>Défaut du suivie des accès autorisés.</t>
  </si>
  <si>
    <t>Implémenter un registre des accès autorisés avec des audits périodiques</t>
  </si>
  <si>
    <t>Calendrier des tâches d'exploitation</t>
  </si>
  <si>
    <t>Outils de suivi de l'avancement des tâches</t>
  </si>
  <si>
    <t>Existe-t-il une Documentation des tâches de développement et d'exploitation?</t>
  </si>
  <si>
    <t>Documentation inexistante.</t>
  </si>
  <si>
    <t>Compréhension de la technique non documentée.</t>
  </si>
  <si>
    <t>Créer une documentation technique détaillée pour chaque processus</t>
  </si>
  <si>
    <t>Rapports d'avancement des tâches</t>
  </si>
  <si>
    <t>Organiser des sessions de formation sur les aspects techniques</t>
  </si>
  <si>
    <t>Gestion des incidents et des problèmes rencontrés lors du développement et de l'exploitation est elle effectuee ?</t>
  </si>
  <si>
    <t>Gestion des incidents inefficace.</t>
  </si>
  <si>
    <t>Les incidents ne sont pas traités correctement</t>
  </si>
  <si>
    <t>Définir des protocoles de gestion des incidents avec des délais clairs</t>
  </si>
  <si>
    <t>Mettre en place un système de suivi des incidents pour assurer leur résolution</t>
  </si>
  <si>
    <t>la Planification des tâches de développement et d'exploitation est elle en place ?</t>
  </si>
  <si>
    <t>Planification inexistante.</t>
  </si>
  <si>
    <t>Imprévisibles</t>
  </si>
  <si>
    <t>Élaborer un plan de gestion des imprévus avec des scénarios préétablis</t>
  </si>
  <si>
    <t>Former les équipes à réagir rapidement face aux imprévus</t>
  </si>
  <si>
    <t>le Suivi de l'avancement des tâches es il effectif ?</t>
  </si>
  <si>
    <t>Suivi inefficace.</t>
  </si>
  <si>
    <t>Mesures pas mit en place.</t>
  </si>
  <si>
    <t>Développer un cadre de mise en œuvre des mesures avec des échéances</t>
  </si>
  <si>
    <t>Créer un comité de suivi pour s’assurer de l’application des mesures</t>
  </si>
  <si>
    <t>S’assurer que l'accès aux bibliothèques de production est 
 réglementé</t>
  </si>
  <si>
    <t>Politique d'accès aux bibliothèques de production</t>
  </si>
  <si>
    <t>la Politique d'accès aux bibliothèques de production est elle efficace ?</t>
  </si>
  <si>
    <t>Politique d'accès inefficace.</t>
  </si>
  <si>
    <t>Application pas sécurisé.</t>
  </si>
  <si>
    <t>Mettre en place des tests de sécurité réguliers pour identifier les failles</t>
  </si>
  <si>
    <t>Implémenter des protocoles de sécurité comme le chiffrement des données</t>
  </si>
  <si>
    <t>Procédures d'accès aux bibliothèques de production</t>
  </si>
  <si>
    <t>la Procédures d'accès aux bibliothèques de production est elle correcte ?</t>
  </si>
  <si>
    <t>Procédures d'accès incorrectes.</t>
  </si>
  <si>
    <t>Procédure non mises à jours.</t>
  </si>
  <si>
    <t>Réaliser un audit de conformité pour identifier les écarts</t>
  </si>
  <si>
    <t>Mettre en place des formations sur les exigences de conformité</t>
  </si>
  <si>
    <t>Revue régulière des autorisations d'accès aux bibliothèques de production</t>
  </si>
  <si>
    <t>Revue régulière des autorisations d'accès aux bibliothèques de production est elle effectue ?</t>
  </si>
  <si>
    <t>Revue non effectuée.</t>
  </si>
  <si>
    <t>Problème de conformités.</t>
  </si>
  <si>
    <t>Développer des contrôles d’accès stricts avec authentification multi-facteurs</t>
  </si>
  <si>
    <t>Mettre en place des audits réguliers des accès non autorisés</t>
  </si>
  <si>
    <t>Liste des personnes autorisées à accéder aux bibliothèques de production</t>
  </si>
  <si>
    <t>Liste des personnes autorisées à accéder aux bibliothèques de production est elle definie ?</t>
  </si>
  <si>
    <t>Liste inexistante.</t>
  </si>
  <si>
    <t>Accès non contrôlé aux accès restreintes.</t>
  </si>
  <si>
    <t>Créer une cartographie des environnements pour clarifier leur fonctionnement</t>
  </si>
  <si>
    <t>Organiser des ateliers pour améliorer la compréhension des équipes</t>
  </si>
  <si>
    <t>Journalisation des accès aux bibliothèques de production</t>
  </si>
  <si>
    <t>la Journalisation des accès aux bibliothèques de production est elle correcte ?</t>
  </si>
  <si>
    <t>Journalisation incorrecte.</t>
  </si>
  <si>
    <t>Non-compréhension des environnements</t>
  </si>
  <si>
    <t>Documenter toutes les techniques utilisées dans un manuel accessible</t>
  </si>
  <si>
    <t>Liste des bibliothèques de production</t>
  </si>
  <si>
    <t>Mettre en place des sessions de formation sur les techniques documentées</t>
  </si>
  <si>
    <t>Vérifier que la maintenance de la séparation des tâches est 
 effective</t>
  </si>
  <si>
    <t>Documentation des rôles et responsabilités</t>
  </si>
  <si>
    <t>Documentation des rôles et responsabilités possible ?</t>
  </si>
  <si>
    <t>Documentation incomplète.</t>
  </si>
  <si>
    <t>Technique non documentés</t>
  </si>
  <si>
    <t>Réaliser une évaluation des risques de sécurité périodique</t>
  </si>
  <si>
    <t>Formulaires de demande d'accès</t>
  </si>
  <si>
    <t>Mettre en place des mesures correctives basées sur les résultats</t>
  </si>
  <si>
    <t>Evaluation des compétences de l'équipe de maintenance</t>
  </si>
  <si>
    <t>Plan de revue des autorisations d'accès</t>
  </si>
  <si>
    <t>Evaluation des compétences de l'équipe de maintenance est elle correcte ?</t>
  </si>
  <si>
    <t>Evaluation incorrecte.</t>
  </si>
  <si>
    <t>Évaluation de le sécurité.</t>
  </si>
  <si>
    <t>Définir un référentiel de compétences pour chaque rôle</t>
  </si>
  <si>
    <t>Rapports de revue des autorisations</t>
  </si>
  <si>
    <t>Mettre en place des programmes de formation pour combler les lacunes</t>
  </si>
  <si>
    <t>Documentation des procédures de maintenance</t>
  </si>
  <si>
    <t>Liste des personnes autorisées</t>
  </si>
  <si>
    <t>Documentation des procédures de maintenance est elle disponible?</t>
  </si>
  <si>
    <t>Procédures inexistantes.</t>
  </si>
  <si>
    <t>Compétences non définies.</t>
  </si>
  <si>
    <t>Organiser des formations spécifiques sur l’utilisation de l’outil</t>
  </si>
  <si>
    <t>Politique d'habilitation</t>
  </si>
  <si>
    <t>Créer des guides d’utilisation détaillés pour l’outil</t>
  </si>
  <si>
    <t>Définition des compétences nécessaires pour la maintenance de l'application</t>
  </si>
  <si>
    <t>Politique de journalisation des accès</t>
  </si>
  <si>
    <t>Définition des compétences nécessaires pour la maintenance de l'application est elle effective ?</t>
  </si>
  <si>
    <t>Définition des compétences inefficace.</t>
  </si>
  <si>
    <t>Manque des connaissances nécessaire sur l'outil.</t>
  </si>
  <si>
    <t>Mettre en place des canaux de communication clairs et réguliers</t>
  </si>
  <si>
    <t>Logs d'accès aux bibliothèques</t>
  </si>
  <si>
    <t>Développer un plan de communication pour toutes les parties prenantes</t>
  </si>
  <si>
    <t>Plan de formation pour l'équipe de maintenance</t>
  </si>
  <si>
    <t>Plan de formation pour l'équipe de maintenance es til disponible ?</t>
  </si>
  <si>
    <t>Plan de formation inexistant.</t>
  </si>
  <si>
    <t>Communication inefficace.</t>
  </si>
  <si>
    <t>Élaborer des procédures standardisées pour chaque processus clé</t>
  </si>
  <si>
    <t>Supports de formation (manuels, procédures)</t>
  </si>
  <si>
    <t>Former les équipes à l’application des nouvelles procédures</t>
  </si>
  <si>
    <t>S’assurer que l'équipe actuelle en charge de la maintenance est 
 autonome et compétente</t>
  </si>
  <si>
    <t>Communication entre l'équipe de maintenance et les autres équipes</t>
  </si>
  <si>
    <t>Procédure de communication entre équipes</t>
  </si>
  <si>
    <t>Communication entre l'équipe de maintenance et les autres équipes est elle effective ?</t>
  </si>
  <si>
    <t>Mettre en place un calendrier de mise à jour des versions</t>
  </si>
  <si>
    <t>Registre des communications</t>
  </si>
  <si>
    <t>Développer un processus de test avant chaque mise à jour</t>
  </si>
  <si>
    <t>La procédure couvre les différents types de maintenance (corrective, évolutive, préventive)?</t>
  </si>
  <si>
    <t>Procédure de maintenance (intégrale)</t>
  </si>
  <si>
    <t>La procédure couvre les différents types de maintenance (corrective, évolutive, préventive)??</t>
  </si>
  <si>
    <t>Procédure incomplète.</t>
  </si>
  <si>
    <t>Version pas mis à jours.</t>
  </si>
  <si>
    <t>Créer un plan d’intégration des données avec des étapes claires</t>
  </si>
  <si>
    <t>Typologie des maintenances (corrective, évolutive, préventive)</t>
  </si>
  <si>
    <t>Mettre en place des tests d’intégration pour valider les données</t>
  </si>
  <si>
    <t>La procédure décrit les étapes à suivre pour la réalisation d'une maintenance?</t>
  </si>
  <si>
    <t>Description détaillée des étapes de maintenance</t>
  </si>
  <si>
    <t>Procédure non standardisée.</t>
  </si>
  <si>
    <t>Intégration des données échouée.</t>
  </si>
  <si>
    <t>Instaurer un système de suivi des activités avec des rapports réguliers</t>
  </si>
  <si>
    <t>Checklists ou formulaires de réalisation de maintenance</t>
  </si>
  <si>
    <t>Développer des outils de suivi automatisé pour les tâches critiques</t>
  </si>
  <si>
    <t>Procédure de maintenance formalisée et standardisée documentée?</t>
  </si>
  <si>
    <t>Procédure de maintenance formalisée et standardisée</t>
  </si>
  <si>
    <t>Procédure de maintenance formalisée et standardisée documentée??</t>
  </si>
  <si>
    <t>Suivis inexistantes.</t>
  </si>
  <si>
    <t>Revoir la conception avec les parties prenantes pour l’adapter aux besoins</t>
  </si>
  <si>
    <t>Manuel de maintenance</t>
  </si>
  <si>
    <t>Mettre en place des revues de conception avant validation</t>
  </si>
  <si>
    <t>La procédure définit les rôles et responsabilités des intervenants?</t>
  </si>
  <si>
    <t>Procédure de maintenance (avec RACI)</t>
  </si>
  <si>
    <t>Procédure non revue.</t>
  </si>
  <si>
    <t>Conception inadéquat.</t>
  </si>
  <si>
    <t>Mettre en place un registre des propriétés intellectuelles avec suivi</t>
  </si>
  <si>
    <t>Matrice des rôles et responsabilités (RACI) pour la maintenance</t>
  </si>
  <si>
    <t>Former les équipes sur la gestion des droits de propriété intellectuelle</t>
  </si>
  <si>
    <t>S’assurer de l’existence de procédure formalisée et standard de 
 maintenance de l’application</t>
  </si>
  <si>
    <t>La procédure est revue et mise à jour régulièrement</t>
  </si>
  <si>
    <t>Planning de revue de la procédure</t>
  </si>
  <si>
    <t>La procédure est revue et mise à jour régulièrement?</t>
  </si>
  <si>
    <t>Suivi des versions incomplet.</t>
  </si>
  <si>
    <t>Information de propriété intellectuel non suivi.</t>
  </si>
  <si>
    <t>Développer un processus de vérification systématique des livrables</t>
  </si>
  <si>
    <t>Historique des mises à jour de la procédure</t>
  </si>
  <si>
    <t>Mettre en place des checklists pour garantir la vérification</t>
  </si>
  <si>
    <t>Le suivi des versions inclut l'identification des changements apportés</t>
  </si>
  <si>
    <t>Procédure de gestion des versions</t>
  </si>
  <si>
    <t>Nouvelles versions non testées.</t>
  </si>
  <si>
    <t>Vérification inexistant.</t>
  </si>
  <si>
    <t>Réaliser une analyse des risques complète pour chaque projet</t>
  </si>
  <si>
    <t>Journal des versions (avec identification des changements)</t>
  </si>
  <si>
    <t>Mettre en place un processus de revue périodique des risques</t>
  </si>
  <si>
    <t>Les nouvelles versions sont testées avant leur mise en production</t>
  </si>
  <si>
    <t>Plan de tests des nouvelles versions</t>
  </si>
  <si>
    <t>Les nouvelles versions sont testées avant leur mise en production?</t>
  </si>
  <si>
    <t>Définition des compétences inexistante.</t>
  </si>
  <si>
    <t>Absence d'analyse des risques.</t>
  </si>
  <si>
    <t>Implémenter des contrôles d’intégrité pour le code source</t>
  </si>
  <si>
    <t>Rapports de tests des nouvelles versions</t>
  </si>
  <si>
    <t>Mettre en place un système de gestion des versions sécurisé</t>
  </si>
  <si>
    <t>Procédure de gestion des nouvelles versions</t>
  </si>
  <si>
    <t>Absence de définition des compétences.</t>
  </si>
  <si>
    <t>Code source altéré.</t>
  </si>
  <si>
    <t>Créer un inventaire des exécutables avec un suivi strict</t>
  </si>
  <si>
    <t>Journal des mises en production</t>
  </si>
  <si>
    <t>Mettre en place des contrôles pour limiter les exécutables non autorisés</t>
  </si>
  <si>
    <t>L'impact des nouvelles versions est évalué</t>
  </si>
  <si>
    <t>Procédure d'évaluation de l'impact des nouvelles versions</t>
  </si>
  <si>
    <t>L'impact des nouvelles versions est évalué?</t>
  </si>
  <si>
    <t>Impact non évalué.</t>
  </si>
  <si>
    <t>Exécutables non gérées.</t>
  </si>
  <si>
    <t>Mettre en place des sessions de sensibilisation sur le contenu</t>
  </si>
  <si>
    <t>Rapport d'évaluation de l'impact</t>
  </si>
  <si>
    <t>Adapter le contenu aux besoins spécifiques des utilisateurs</t>
  </si>
  <si>
    <t>Vérifier que les nouvelles versions (développement interne, 
 progiciel) sont suivies</t>
  </si>
  <si>
    <t>Les nouvelles versions sont déployées selon une procédure définie</t>
  </si>
  <si>
    <t>Procédure de déploiement des nouvelles versions</t>
  </si>
  <si>
    <t>Les nouvelles versions sont déployées selon une procédure définie?</t>
  </si>
  <si>
    <t>Déploiement incontrôlé.</t>
  </si>
  <si>
    <t>Utilisateurs non affectés par le contenu.</t>
  </si>
  <si>
    <t>Mettre en place un gestionnaire de mots de passe sécurisé</t>
  </si>
  <si>
    <t>Plan de déploiement</t>
  </si>
  <si>
    <t>Former les utilisateurs à la gestion sécurisée des mots de passe</t>
  </si>
  <si>
    <t>La procédure définit les étapes à suivre pour le transfert des programmes</t>
  </si>
  <si>
    <t>Procédure de transfert des programmes</t>
  </si>
  <si>
    <t>La procédure définit les étapes à suivre pour le transfert des programmes?</t>
  </si>
  <si>
    <t>Procédure de transfert inexistante.</t>
  </si>
  <si>
    <t>Mots de passe de connexion inconnue</t>
  </si>
  <si>
    <t>Développer un plan d’intégration avec des tests à chaque étape</t>
  </si>
  <si>
    <t>Description des étapes de transfert</t>
  </si>
  <si>
    <t>Mettre en place un suivi des intégrations pour identifier les échecs</t>
  </si>
  <si>
    <t>Les transferts de programmes sont journalisés</t>
  </si>
  <si>
    <t>Journal des transferts de programmes</t>
  </si>
  <si>
    <t>Les transferts de programmes sont journalisés?</t>
  </si>
  <si>
    <t>Transferts non journalisés.</t>
  </si>
  <si>
    <t>Intégration échouée.</t>
  </si>
  <si>
    <t>Créer un référentiel centralisé pour stocker les données critiques</t>
  </si>
  <si>
    <t>Logs de transfert</t>
  </si>
  <si>
    <t>Mettre en place des sauvegardes régulières pour éviter les pertes</t>
  </si>
  <si>
    <t>Procédure de transfert des programmes entre les environnements documentée</t>
  </si>
  <si>
    <t>Procédure de transfert des programmes entre environnements</t>
  </si>
  <si>
    <t>Procédure de transfert des programmes entre les environnements documentée?</t>
  </si>
  <si>
    <t>Procédure de transfert non documentée.</t>
  </si>
  <si>
    <t>Absence de données.</t>
  </si>
  <si>
    <t>Implémenter des contrôles d’accès stricts avec authentification renforcée</t>
  </si>
  <si>
    <t>Politique de gestion des environnements</t>
  </si>
  <si>
    <t>La procédure inclut des contrôles pour garantir l'intégrité des programmes transférés</t>
  </si>
  <si>
    <t>Procédure de contrôle d'intégrité des programmes</t>
  </si>
  <si>
    <t>La procédure inclut des contrôles pour garantir l'intégrité des programmes transférés?</t>
  </si>
  <si>
    <t>Contrôles d'intégrité inexistants.</t>
  </si>
  <si>
    <t>Accès non contrôlée.</t>
  </si>
  <si>
    <t>Développer des politiques d’accès basées sur le principe du moindre privilège</t>
  </si>
  <si>
    <t>Mettre en place des alertes pour détecter les accès non autorisés</t>
  </si>
  <si>
    <t>Vérifier l’existence de procédure formalisée de transfert des 
 programmes entre les environnements</t>
  </si>
  <si>
    <t>Les accès aux environnements sont réglementés</t>
  </si>
  <si>
    <t>Politique de gestion des accès aux environnements</t>
  </si>
  <si>
    <t>Les accès aux environnements sont réglementés?</t>
  </si>
  <si>
    <t>Accès non réglementés.</t>
  </si>
  <si>
    <t>Accès non autorisés aux donnés sensibles.</t>
  </si>
  <si>
    <t>Créer une documentation simplifiée des systèmes complexes</t>
  </si>
  <si>
    <t>Matrice des accès</t>
  </si>
  <si>
    <t>Organiser des formations pour améliorer la compréhension des systèmes</t>
  </si>
  <si>
    <t>La documentation inclut la description de l'architecture de l'application</t>
  </si>
  <si>
    <t>Documentation de l'architecture de l'application</t>
  </si>
  <si>
    <t>La documentation inclut la description de l'architecture de l'application?</t>
  </si>
  <si>
    <t>Description de l'architecture manquante.</t>
  </si>
  <si>
    <t>Connaissance des systèmes compliqués.</t>
  </si>
  <si>
    <t>Mettre en place des sessions de clarification pour les utilisateurs</t>
  </si>
  <si>
    <t>Schéma d'architecture</t>
  </si>
  <si>
    <t>Développer des supports visuels pour faciliter la compréhension</t>
  </si>
  <si>
    <t>La documentation inclut les guides utilisateurs</t>
  </si>
  <si>
    <t>Guides utilisateurs</t>
  </si>
  <si>
    <t>La documentation inclut les guides utilisateurs?</t>
  </si>
  <si>
    <t>Guides utilisateurs absents.</t>
  </si>
  <si>
    <t>Information non comprises.</t>
  </si>
  <si>
    <t>Planifier des interruptions courtes avec des notifications préalables</t>
  </si>
  <si>
    <t>Manuels utilisateurs</t>
  </si>
  <si>
    <t>Mettre en place des processus de reprise rapide après interruption</t>
  </si>
  <si>
    <t>Procédure de gestion des corrections d'urgence documentée</t>
  </si>
  <si>
    <t>Procédure de gestion des corrections d'urgence</t>
  </si>
  <si>
    <t>Procédure de gestion des corrections d'urgence documentée?</t>
  </si>
  <si>
    <t>Longues interruption des processus.</t>
  </si>
  <si>
    <t>Réaliser une analyse d’impact avant chaque changement</t>
  </si>
  <si>
    <t>Formulaire de demande de correction d'urgence</t>
  </si>
  <si>
    <t>Mettre en place des simulations pour évaluer les impacts</t>
  </si>
  <si>
    <t>L'impact des corrections d'urgence est évalué</t>
  </si>
  <si>
    <t>Procédure d'évaluation de l'impact des corrections d'urgence</t>
  </si>
  <si>
    <t>L'impact des corrections d'urgence est évalué?</t>
  </si>
  <si>
    <t>Longs à comprendre le impact des changements.</t>
  </si>
  <si>
    <t>Implémenter des mécanismes de chiffrement pour protéger les informations</t>
  </si>
  <si>
    <t>Mettre en place des politiques de sécurité pour la gestion des données</t>
  </si>
  <si>
    <t>Les corrections d'urgence sont documentées et intégrées dans la version standard</t>
  </si>
  <si>
    <t>Procédure de documentation des corrections d'urgence</t>
  </si>
  <si>
    <t>Les corrections d'urgence sont documentées et intégrées dans la version standard?</t>
  </si>
  <si>
    <t>Corrections non intégrées.</t>
  </si>
  <si>
    <t>Information non protégé.</t>
  </si>
  <si>
    <t>Mettre en place un contrôle de version strict pour le code source</t>
  </si>
  <si>
    <t>Journal des corrections d'urgence intégrées</t>
  </si>
  <si>
    <t>Implémenter des audits réguliers pour détecter les modifications non autorisées</t>
  </si>
  <si>
    <t>Les programmes sources sont stockés dans un dépôt centralisé et sécurisé</t>
  </si>
  <si>
    <t>Politique de gestion du dépôt de code source</t>
  </si>
  <si>
    <t>Les programmes sources sont stockés dans un dépôt centralisé et sécurisé?</t>
  </si>
  <si>
    <t>Code source non sécurisé.</t>
  </si>
  <si>
    <t>Code source altéré ou modifié.</t>
  </si>
  <si>
    <t>Réaliser des tests de sécurité réguliers sur le logiciel</t>
  </si>
  <si>
    <t>Description de l'architecture du dépôt</t>
  </si>
  <si>
    <t>Mettre en place des correctifs pour les failles identifiées</t>
  </si>
  <si>
    <t>Les programmes exécutables sont générés à partir des programmes sources gérés</t>
  </si>
  <si>
    <t>Procédure de build des exécutables</t>
  </si>
  <si>
    <t>Les programmes exécutables sont générés à partir des programmes sources gérés?</t>
  </si>
  <si>
    <t>Exécutables non gérés.</t>
  </si>
  <si>
    <t>Logiciel potentiellement non sécuriser.</t>
  </si>
  <si>
    <t>Planifier une architecture modulaire pour faciliter les évolutions</t>
  </si>
  <si>
    <t>Scripts de build</t>
  </si>
  <si>
    <t>Mettre en place des tests pour valider les évolutions des applications</t>
  </si>
  <si>
    <t>La documentation de l'application est complète et à jour</t>
  </si>
  <si>
    <t>Plan de maintenance de la documentation</t>
  </si>
  <si>
    <t>La documentation de l'application est complète et à jour?</t>
  </si>
  <si>
    <t>Difficulté de faire évoluer les applications.</t>
  </si>
  <si>
    <t>Créer des guides d’utilisation détaillés pour chaque fonctionnalité</t>
  </si>
  <si>
    <t>Historique des mises à jour de la documentation</t>
  </si>
  <si>
    <t>Organiser des formations sur les fonctionnalités clés</t>
  </si>
  <si>
    <t>La documentation inclut la description des fonctionnalités de l'application</t>
  </si>
  <si>
    <t>Documentation des fonctionnalités de l'application</t>
  </si>
  <si>
    <t>La documentation inclut la description des fonctionnalités de l'application?</t>
  </si>
  <si>
    <t>Description des fonctionnalités manquante.</t>
  </si>
  <si>
    <t>Incompréhension des fonctionnalités.</t>
  </si>
  <si>
    <t>Mettre en place un programme de transfert de connaissances</t>
  </si>
  <si>
    <t>Manuels fonctionnels</t>
  </si>
  <si>
    <t>Créer une base de connaissances accessible à tous</t>
  </si>
  <si>
    <t>Vérifier que les corrections effectuées en urgence sur les 
 programmes sont suivies</t>
  </si>
  <si>
    <t>La documentation est accessible aux personnes concernées</t>
  </si>
  <si>
    <t>Politique d'accès à la documentation</t>
  </si>
  <si>
    <t>La documentation est accessible aux personnes concernées?</t>
  </si>
  <si>
    <t>Documentation inaccessible.</t>
  </si>
  <si>
    <t>Connaissances non transmises.</t>
  </si>
  <si>
    <t>Développer un processus de gestion des incidents avec des priorités claires</t>
  </si>
  <si>
    <t>Portail d'accès à la documentation</t>
  </si>
  <si>
    <t>Mettre en place un suivi des incidents pour éviter les récurrences</t>
  </si>
  <si>
    <t>Les corrections d'urgence sont autorisées et tracées</t>
  </si>
  <si>
    <t>Procédure d'autorisation des corrections d'urgence</t>
  </si>
  <si>
    <t>Les corrections d'urgence sont autorisées et tracées?</t>
  </si>
  <si>
    <t>Corrections non autorisées.</t>
  </si>
  <si>
    <t>Mauvaise gestion des incidents.</t>
  </si>
  <si>
    <t>Réaliser des tests réguliers pour identifier les dysfonctionnements</t>
  </si>
  <si>
    <t>Registre des autorisations de corrections d'urgence</t>
  </si>
  <si>
    <t>Mettre en place des correctifs rapides pour les fonctionnalités affectées</t>
  </si>
  <si>
    <t>Les corrections d'urgence sont testées avant leur mise en production</t>
  </si>
  <si>
    <t>Plan de tests des corrections d'urgence</t>
  </si>
  <si>
    <t>Les corrections d'urgence sont testées avant leur mise en production?</t>
  </si>
  <si>
    <t>Corrections non testées.</t>
  </si>
  <si>
    <t>Dysfonctionnement de certaines fonctionalités.</t>
  </si>
  <si>
    <t>Vérifier la compatibilité des fichiers avant leur utilisation</t>
  </si>
  <si>
    <t>Rapports de tests des corrections d'urgence</t>
  </si>
  <si>
    <t>Mettre en place des standards pour les formats de fichiers</t>
  </si>
  <si>
    <t>Utilisation d'un logiciel de gestion de versions</t>
  </si>
  <si>
    <t>Politique d'utilisation du logiciel de gestion de versions</t>
  </si>
  <si>
    <t>Utilisation d'un logiciel de gestion de versions?</t>
  </si>
  <si>
    <t>Absence de contrôle de version.</t>
  </si>
  <si>
    <t>Problème de compatibilité des fichiers.</t>
  </si>
  <si>
    <t>Guide d'utilisation du logiciel de gestion de versions</t>
  </si>
  <si>
    <t>Suivi et traçabilité des corrections d’urgence</t>
  </si>
  <si>
    <t>Procédure de gestion des corrections d’urgence</t>
  </si>
  <si>
    <t>Comment s’assurer que toutes les corrections effectuées en urgence ?</t>
  </si>
  <si>
    <t>absence de corrections d'urgence</t>
  </si>
  <si>
    <t>difficulte d'effectuer des corrections efficaces</t>
  </si>
  <si>
    <t>Instaurer un suivi régulier des incidents et anomalies potentielles afin d’anticiper les besoins en corrections d’urgence</t>
  </si>
  <si>
    <t>iche de suivi des corrections d’urgence</t>
  </si>
  <si>
    <t>Renforcer les tests et validations des mises à jour avant leur mise en production pour éviter des besoins de corrections urgentes</t>
  </si>
  <si>
    <t>S’assurer de l’existence d'un logiciel de contrôle de programmes 
 sources et de programmes exécutables</t>
  </si>
  <si>
    <t>Utilisation d’un outil de gestion de versions</t>
  </si>
  <si>
    <t>Politique d'utilisation de l'outil de gestion de versions</t>
  </si>
  <si>
    <t>Utilisation d’un outil de gestion de versions?</t>
  </si>
  <si>
    <t>Utilisation d'un outil non adapté.</t>
  </si>
  <si>
    <t>Difficulté à atteindre les objectifs de sécurité et à gérer les risques.</t>
  </si>
  <si>
    <t>Mettre en place des politiques de sécurité strictes pour atteindre les objectifs</t>
  </si>
  <si>
    <t>Guide d'utilisation de l'outil de gestion de versions</t>
  </si>
  <si>
    <t>Développer un plan de gestion des risques pour minimiser les impacts</t>
  </si>
  <si>
    <t>Traçabilité des modifications (historique des changements)</t>
  </si>
  <si>
    <t>Politique de traçabilité des modifications</t>
  </si>
  <si>
    <t>Traçabilité des modifications (historique des changements)?</t>
  </si>
  <si>
    <t>Traçabilité des modifications insuffisante.</t>
  </si>
  <si>
    <t>Difficulté à identifier l'origine des problèmes et à effectuer des corrections efficaces.</t>
  </si>
  <si>
    <t>Créer un processus d’identification des origines des problèmes</t>
  </si>
  <si>
    <t>Historique des commits/versions</t>
  </si>
  <si>
    <t>Mettre en place des mécanismes de correction rapide et efficace</t>
  </si>
  <si>
    <t>Séparation des environnements (dev/test/prod)</t>
  </si>
  <si>
    <t>Politique de séparation des environnements</t>
  </si>
  <si>
    <t>Séparation des environnements (dev/test/prod)?</t>
  </si>
  <si>
    <t>Environnements non séparés.</t>
  </si>
  <si>
    <t>Risque de propagation des erreurs et des incidents de sécurité entre les environnements.</t>
  </si>
  <si>
    <t>Implémenter des audits réguliers pour détecter les accès non autorisés</t>
  </si>
  <si>
    <t>Schéma des environnements</t>
  </si>
  <si>
    <t>Développer des contrôles d’accès pour protéger les données sensibles</t>
  </si>
  <si>
    <t>Contrôle d’accès basé sur les rôles</t>
  </si>
  <si>
    <t>Politique de contrôle d'accès basé sur les rôles</t>
  </si>
  <si>
    <t>Contrôle d’accès basé sur les rôles?</t>
  </si>
  <si>
    <t>Contrôles d'accès inadéquats.</t>
  </si>
  <si>
    <t>Accès non autorisés aux données sensibles et aux fonctionnalités critiques.</t>
  </si>
  <si>
    <t>Mettre en place un système de journalisation des incidents majeurs</t>
  </si>
  <si>
    <t>Créer un plan de réponse aux incidents pour limiter les pertes de données</t>
  </si>
  <si>
    <t>Capacité de sauvegarde et de restauration</t>
  </si>
  <si>
    <t>Capacité de sauvegarde et de restauration?</t>
  </si>
  <si>
    <t>Capacité de sauvegarde insuffisante.</t>
  </si>
  <si>
    <t>Perte de données en cas d'incident majeur.</t>
  </si>
  <si>
    <t>Développer un système de traçabilité des événements critiques</t>
  </si>
  <si>
    <t>Plan de sauvegarde et de restauration</t>
  </si>
  <si>
    <t>Mettre en place des outils de détection des anomalies en temps réel</t>
  </si>
  <si>
    <t>S’assurer que les travaux batch de l'application, qu'ils soient 
 périodiques ou à la demande, sont bien suivis</t>
  </si>
  <si>
    <t>Journalisation détaillée des exécutions</t>
  </si>
  <si>
    <t>Politique de journalisation détaillée</t>
  </si>
  <si>
    <t>Journalisation détaillée des exécutions?</t>
  </si>
  <si>
    <t>Journalisation détaillée insuffisante.</t>
  </si>
  <si>
    <t>Difficulté à retracer les événements et à identifier les causes des problèmes.</t>
  </si>
  <si>
    <t>Implémenter des sauvegardes régulières pour éviter la suppression de données</t>
  </si>
  <si>
    <t>Configuration des logs d'exécution</t>
  </si>
  <si>
    <t>Développer des processus de validation pour garantir la cohérence des données</t>
  </si>
  <si>
    <t>Monitoring et alertes en temps réel</t>
  </si>
  <si>
    <t>Politique de monitoring et d'alertes</t>
  </si>
  <si>
    <t>Monitoring et alertes en temps réel?</t>
  </si>
  <si>
    <t>Monitoring insuffisant.</t>
  </si>
  <si>
    <t>Incapacité à détecter les anomalies et les incidents en temps réel.</t>
  </si>
  <si>
    <t>Mettre en place des tests réguliers pour évaluer le fonctionnement des systèmes</t>
  </si>
  <si>
    <t>Configuration du système de monitoring</t>
  </si>
  <si>
    <t>Former les équipes à la maintenance proactive pour réduire les pannes</t>
  </si>
  <si>
    <t>Planification automatisée des batchs</t>
  </si>
  <si>
    <t>Planification automatisée des batches</t>
  </si>
  <si>
    <t>Planification automatisée des batchs?</t>
  </si>
  <si>
    <t>Purification automatisée non planifiée.</t>
  </si>
  <si>
    <t>Suppression involontaire de données importantes.</t>
  </si>
  <si>
    <t>Instaurer un système de contrôle des processus pour assurer leur conformité</t>
  </si>
  <si>
    <t>Calendrier des batches</t>
  </si>
  <si>
    <t>Développer des outils de normalisation pour standardiser les opérations</t>
  </si>
  <si>
    <t>Procédure de gestion des erreurs</t>
  </si>
  <si>
    <t>Procédure de gestion des erreurs batch</t>
  </si>
  <si>
    <t>Procédure de gestion des erreurs?</t>
  </si>
  <si>
    <t>Procédure inexistante.</t>
  </si>
  <si>
    <t>Processus non reproductibles et incohérents.</t>
  </si>
  <si>
    <t>Créer un registre des données historiques pour assurer leur traçabilité</t>
  </si>
  <si>
    <t>Registre des erreurs batch</t>
  </si>
  <si>
    <t>Mettre en place des audits de conformité pour détecter les écarts réglementaires</t>
  </si>
  <si>
    <t>Documentation complète des processus batch</t>
  </si>
  <si>
    <t>Documentation des processus batch</t>
  </si>
  <si>
    <t>Documentation complète des processus batch?</t>
  </si>
  <si>
    <t>Difficulté à comprendre le fonctionnement des systèmes et à effectuer la maintenance.</t>
  </si>
  <si>
    <t>Développer un système de détection des données altérées</t>
  </si>
  <si>
    <t>Diagrammes de flux des processus batch</t>
  </si>
  <si>
    <t>Mettre en place des contrôles pour éviter la suppression non autorisée</t>
  </si>
  <si>
    <t>S’assurer que l’existence d’une procédure de contrôle des 
 traitements batch et d'archivage des comptes-rendus d'exécution est 
 garantie</t>
  </si>
  <si>
    <t>Existence d’une procédure formalisée de contrôle des batchs</t>
  </si>
  <si>
    <t>Procédure de contrôle des batches</t>
  </si>
  <si>
    <t>Existence d’une procédure formalisée de contrôle des batchs?</t>
  </si>
  <si>
    <t>Procédures formelles inexistantes.</t>
  </si>
  <si>
    <t>Manque de contrôle et de normalisation des processus.</t>
  </si>
  <si>
    <t>Implémenter un système de contrôle des habilitations des utilisateurs</t>
  </si>
  <si>
    <t>Checklist de contrôle des batches</t>
  </si>
  <si>
    <t>Développer des outils de suivi pour assurer la conformité des applications</t>
  </si>
  <si>
    <t>Archivage systématique des comptes-rendus d’exécution</t>
  </si>
  <si>
    <t>Politique d'archivage des comptes-rendus</t>
  </si>
  <si>
    <t>Archivage systématique des comptes-rendus d’exécution?</t>
  </si>
  <si>
    <t>Archivage systématique inexistant.</t>
  </si>
  <si>
    <t>Perte de données historiques et non-conformité aux réglementations.</t>
  </si>
  <si>
    <t>Mettre en place des tests réguliers pour valider les mises à jour</t>
  </si>
  <si>
    <t>Plan d'archivage des comptes-rendus</t>
  </si>
  <si>
    <t>Créer un calendrier de maintenance pour éviter les interruptions</t>
  </si>
  <si>
    <t>Vérification de l’intégrité des logs et rapports</t>
  </si>
  <si>
    <t>Procédure de vérification de l'intégrité des logs</t>
  </si>
  <si>
    <t>Vérification de l’intégrité des logs et rapports?</t>
  </si>
  <si>
    <t>Vérification de l'intégrité inexistante.</t>
  </si>
  <si>
    <t>Altération des données non détectée.</t>
  </si>
  <si>
    <t>Organiser des formations pour combler les lacunes de connaissances</t>
  </si>
  <si>
    <t>Outils de vérification d'intégrité</t>
  </si>
  <si>
    <t>Développer des bases de connaissances pour faciliter l’accès à l’information</t>
  </si>
  <si>
    <t>Durée de conservation conforme aux exigences légales/métier</t>
  </si>
  <si>
    <t>Politique de conservation des données (incluant les durées)</t>
  </si>
  <si>
    <t>Durée de conservation conforme aux exigences légales/métier?</t>
  </si>
  <si>
    <t>Durée de conservation non conforme.</t>
  </si>
  <si>
    <t>Données supprimé pour des raisons de conformités.</t>
  </si>
  <si>
    <t>Mettre en place un système de suivi des systèmes critiques</t>
  </si>
  <si>
    <t>Tableau des durées de conservation</t>
  </si>
  <si>
    <t>Développer des processus de validation pour garantir la pérennité des systèmes</t>
  </si>
  <si>
    <t>Accessibilité et traçabilité des documents archivés</t>
  </si>
  <si>
    <t>Politique d'accessibilité des archives</t>
  </si>
  <si>
    <t>Accessibilité et traçabilité des documents archivés?</t>
  </si>
  <si>
    <t>Inaccessibilité des documents.</t>
  </si>
  <si>
    <t>Règlementation sur ces documents.</t>
  </si>
  <si>
    <t>Créer des solutions adaptées pour répondre aux besoins spécifiques</t>
  </si>
  <si>
    <t>Procédure de consultation des archives</t>
  </si>
  <si>
    <t>Mettre en place des revues régulières pour évaluer l’efficacité des solutions</t>
  </si>
  <si>
    <t>Vérifier que la gestion des incidents en général et les procédures 
 d'urgence en particulier est bien documentée</t>
  </si>
  <si>
    <t>Procédures d’incident claires et accessibles</t>
  </si>
  <si>
    <t>Procédures d'incident claires et accessibles</t>
  </si>
  <si>
    <t>Procédures d’incident claires et accessibles?</t>
  </si>
  <si>
    <t>Détournement du contrôle.</t>
  </si>
  <si>
    <t>Développer un plan de suivi clair pour les actions correctives</t>
  </si>
  <si>
    <t>Portail des procédures d'incident</t>
  </si>
  <si>
    <t>Mettre en place des indicateurs pour mesurer l’efficacité des suivis</t>
  </si>
  <si>
    <t>Définition des rôles et responsabilités en cas d’urgence</t>
  </si>
  <si>
    <t>Définition des rôles et responsabilités en cas d'urgence</t>
  </si>
  <si>
    <t>Définition des rôles et responsabilités en cas d’urgence?</t>
  </si>
  <si>
    <t>Définition des rôles et responsabilités manquantes.</t>
  </si>
  <si>
    <t>Manque d'application de suivies d'habilitation.</t>
  </si>
  <si>
    <t>Implémenter des sauvegardes régulières pour protéger les données critiques</t>
  </si>
  <si>
    <t>Organigramme d'urgence</t>
  </si>
  <si>
    <t>Développer des plans de secours pour assurer la continuité des opérations</t>
  </si>
  <si>
    <t>Existence d’un registre des incidents (historique et résolution)</t>
  </si>
  <si>
    <t>Existence d'un registre des incidents</t>
  </si>
  <si>
    <t>Existence d’un registre des incidents (historique et résolution)?</t>
  </si>
  <si>
    <t>Registre inexistant.</t>
  </si>
  <si>
    <t>Les tests et mise à jours inexistantes.</t>
  </si>
  <si>
    <t>Mettre en place des audits réguliers pour vérifier les mesures de sauvegarde</t>
  </si>
  <si>
    <t>Historique et statut de résolution des incidents</t>
  </si>
  <si>
    <t>Développer des contrôles pour garantir la sécurité des bases de données</t>
  </si>
  <si>
    <t>Mise à jour régulière des procédures d’urgence</t>
  </si>
  <si>
    <t>Mise à jour régulière des procédures d'urgence</t>
  </si>
  <si>
    <t>Mise à jour régulière des procédures d’urgence?</t>
  </si>
  <si>
    <t>Mise à jour irrégulière.</t>
  </si>
  <si>
    <t>Connaissances manquantes.</t>
  </si>
  <si>
    <t>Créer un plan de formation pour développer l’expertise des équipes</t>
  </si>
  <si>
    <t>Historique des mises à jour des procédures</t>
  </si>
  <si>
    <t>Mettre en place des revues régulières pour évaluer les niveaux de compétence</t>
  </si>
  <si>
    <t>Tests périodiques des plans de secours</t>
  </si>
  <si>
    <t>Tests périodiques des plans de secours?</t>
  </si>
  <si>
    <t>Plans de carrière inexistants.</t>
  </si>
  <si>
    <t>Connaissances manquante.</t>
  </si>
  <si>
    <t>Développer un plan de continuité pour assurer la disponibilité des systèmes</t>
  </si>
  <si>
    <t>Rapports des tests de secours</t>
  </si>
  <si>
    <t>Mettre en place des audits pour identifier les failles de sécurité</t>
  </si>
  <si>
    <t>Documentation technique complète (guides, manuels, schémas)</t>
  </si>
  <si>
    <t>Documentation technique complète (guides, manuels, schémas)?</t>
  </si>
  <si>
    <t>Documentation technique incomplète.</t>
  </si>
  <si>
    <t>Pérennité des systèmes.</t>
  </si>
  <si>
    <t>Créer un plan de découverte des systèmes complexes pour les équipes</t>
  </si>
  <si>
    <t>Plan de la documentation technique</t>
  </si>
  <si>
    <t>Développer des formations pour améliorer la compréhension des systèmes</t>
  </si>
  <si>
    <t>Versionnage et mise à jour régulière</t>
  </si>
  <si>
    <t>Versionnage et mise à jour régulière de la documentation</t>
  </si>
  <si>
    <t>Versionnage et mise à jour régulière?</t>
  </si>
  <si>
    <t>Versionnage irrégulier.</t>
  </si>
  <si>
    <t>Anomalies non vérifiées.</t>
  </si>
  <si>
    <t>Mettre en place des revues régulières pour évaluer les performances</t>
  </si>
  <si>
    <t>Historique des versions de la documentation</t>
  </si>
  <si>
    <t>Créer un plan de mise à jour pour maintenir les applications à jour</t>
  </si>
  <si>
    <t>Accessibilité pour les équipes concernées</t>
  </si>
  <si>
    <t>Accessibilité pour les équipes concernées de la documentation</t>
  </si>
  <si>
    <t>Accessibilité pour les équipes concernées?</t>
  </si>
  <si>
    <t>Remédiation aux incidents incomplète.</t>
  </si>
  <si>
    <t>Non correction d'anomalies détectées.</t>
  </si>
  <si>
    <t>Développer des sauvegardes régulières pour protéger les données critiques</t>
  </si>
  <si>
    <t>Mettre en place des contrôles pour garantir la disponibilité des données</t>
  </si>
  <si>
    <t>Couverture des processus critiques</t>
  </si>
  <si>
    <t>Couverture des processus critiques par la documentation</t>
  </si>
  <si>
    <t>Couverture des processus critiques?</t>
  </si>
  <si>
    <t>Couverture incomplète.</t>
  </si>
  <si>
    <t>Contraintes sur les opérations.</t>
  </si>
  <si>
    <t>Créer un référentiel des éléments critiques à sécuriser</t>
  </si>
  <si>
    <t>Liste des processus critiques documentés</t>
  </si>
  <si>
    <t>Développer des politiques de sécurité pour protéger les éléments sensibles</t>
  </si>
  <si>
    <t>Intégration des retours d’expérience (amélioration continue)</t>
  </si>
  <si>
    <t>Intégration des retours d'expérience</t>
  </si>
  <si>
    <t>Intégration des retours d’expérience (amélioration continue)?</t>
  </si>
  <si>
    <t>Intégration des causes incomplètes.</t>
  </si>
  <si>
    <t>Solutions pas adéquats</t>
  </si>
  <si>
    <t>Former les équipes pour constituer des équipes compétentes</t>
  </si>
  <si>
    <t>Registre des actions d'amélioration continue</t>
  </si>
  <si>
    <t>Mettre en place des programmes de certification pour valider les compétences</t>
  </si>
  <si>
    <t>Existence d’un SLA formalisé et signé</t>
  </si>
  <si>
    <t>Document du SLA</t>
  </si>
  <si>
    <t>Existence d’un SLA formalisé et signé?</t>
  </si>
  <si>
    <t>Évaluation inexistante.</t>
  </si>
  <si>
    <t>Mauvaise définition des suivies.</t>
  </si>
  <si>
    <t>Créer un plan de sécurisation des environnements critiques</t>
  </si>
  <si>
    <t>Contrat de service</t>
  </si>
  <si>
    <t>Développer des audits pour identifier les failles dans les environnements</t>
  </si>
  <si>
    <t>Définition claire des engagements (disponibilité, temps de réponse, etc?)</t>
  </si>
  <si>
    <t>Tableau des engagements de service</t>
  </si>
  <si>
    <t>Définition claire des engagements (disponibilité, temps de réponse, etc?)?</t>
  </si>
  <si>
    <t>Définition des engagements manquante.</t>
  </si>
  <si>
    <t>Sécurité des systèmes</t>
  </si>
  <si>
    <t>Mettre en place des processus de vérification des licences utilisées</t>
  </si>
  <si>
    <t>Tableau de bord des KPI/SLA</t>
  </si>
  <si>
    <t>Créer un registre des licences pour assurer leur conformité</t>
  </si>
  <si>
    <t>Suivi régulier des indicateurs de performance (KPI/SLA)</t>
  </si>
  <si>
    <t>Calendrier des revues contractuelles</t>
  </si>
  <si>
    <t>Suivi régulier des indicateurs de performance (KPI/SLA)?</t>
  </si>
  <si>
    <t>Suivi des indicateurs insuffisant.</t>
  </si>
  <si>
    <t>Plan incomplets et inexistant.</t>
  </si>
  <si>
    <t>Développer des procédures standardisées pour remplacer les processus obsolètes</t>
  </si>
  <si>
    <t>Grille des pénalités/mesures correctives</t>
  </si>
  <si>
    <t>Mécanismes de reporting et de revue contractuelle</t>
  </si>
  <si>
    <t>Catalogue des SLAs et OLAs</t>
  </si>
  <si>
    <t>Mécanismes de reporting et de revue contractuelle?</t>
  </si>
  <si>
    <t>Mécanismes de reporting inadéquats.</t>
  </si>
  <si>
    <t>Connaissance incomplète de l'environnement de sauvegarde</t>
  </si>
  <si>
    <t>Former les équipes pour gérer les événements critiques</t>
  </si>
  <si>
    <t>Configuration des outils de monitoring</t>
  </si>
  <si>
    <t>Développer des plans de réponse pour minimiser les impacts des événements</t>
  </si>
  <si>
    <t>Pénalités ou mesures correctives en cas de non-respect</t>
  </si>
  <si>
    <t>Compte-rendus des revues de performance</t>
  </si>
  <si>
    <t>Pénalités ou mesures correctives en cas de non-respect?</t>
  </si>
  <si>
    <t>Mesures correctives non prises.</t>
  </si>
  <si>
    <t>Les vulnérabilités ne sont pas corrigées.</t>
  </si>
  <si>
    <t>Mettre en place des correctifs pour réduire les vulnérabilités critiques</t>
  </si>
  <si>
    <t>Registre des plans d'action</t>
  </si>
  <si>
    <t>Développer des audits réguliers pour identifier les risques non corrigés</t>
  </si>
  <si>
    <t>S’assurer que les engagements de service et la mesure 
 rigoureuse du niveau de service sont respectés ;</t>
  </si>
  <si>
    <t>Définition précise des indicateurs de niveau de service (SLAs, OLAs)</t>
  </si>
  <si>
    <t>Plan d'amélioration continue</t>
  </si>
  <si>
    <t>Définition précise des indicateurs de niveau de service (SLAs, OLAs)?</t>
  </si>
  <si>
    <t>Risques périodiques non maîtrisés.</t>
  </si>
  <si>
    <t>Manque de plan de secours</t>
  </si>
  <si>
    <t>Mettre en place des plans de secours pour assurer la continuité des opérations</t>
  </si>
  <si>
    <t>Exemples de tableaux de bord</t>
  </si>
  <si>
    <t>Développer des audits réguliers pour vérifier les mesures de sauvegarde</t>
  </si>
  <si>
    <t>Outils de monitoring et reporting en temps réel</t>
  </si>
  <si>
    <t>Matrice d'alignement KPI-SLA</t>
  </si>
  <si>
    <t>Outils de monitoring et reporting en temps réel?</t>
  </si>
  <si>
    <t>Plan d'action inexistant.</t>
  </si>
  <si>
    <t>Impact sur la crédibilité des rapports.</t>
  </si>
  <si>
    <t>Mettre en place des contrôles pour garantir la sécurité des bases de données</t>
  </si>
  <si>
    <t>Rapports d'analyse des tendances</t>
  </si>
  <si>
    <t>Revues périodiques des performances avec les parties prenantes</t>
  </si>
  <si>
    <t>Configuration des seuils d'alerte</t>
  </si>
  <si>
    <t>Revues périodiques des performances avec les parties prenantes?</t>
  </si>
  <si>
    <t>Amélioration continue inexistante.</t>
  </si>
  <si>
    <t>Mesures de sauvegarde non vérifiées.</t>
  </si>
  <si>
    <t>Compte-rendus des revues</t>
  </si>
  <si>
    <t>Plan d’action en cas d’écart par rapport aux engagements</t>
  </si>
  <si>
    <t>Portail des procédures de sauvegarde et restauration</t>
  </si>
  <si>
    <t>Plan d’action en cas d’écart par rapport aux engagements?</t>
  </si>
  <si>
    <t>Tableaux de bord inexistants.</t>
  </si>
  <si>
    <t>Mesures de sécurité de la base de données insuffisantes</t>
  </si>
  <si>
    <t>Planning des sauvegardes</t>
  </si>
  <si>
    <t>Amélioration continue basée sur les mesures</t>
  </si>
  <si>
    <t>Rapports des tests de restauration</t>
  </si>
  <si>
    <t>Amélioration continue basée sur les mesures?</t>
  </si>
  <si>
    <t>Indicateurs non alignés.</t>
  </si>
  <si>
    <t>Niveaux de données pas suivies</t>
  </si>
  <si>
    <t>Politique de sécurité des sauvegardes</t>
  </si>
  <si>
    <t>S’assurer que le niveau de service est effectué par l’analyse des 
 tableaux de bord ;</t>
  </si>
  <si>
    <t>Existence de tableaux de bord opérationnels et à jour</t>
  </si>
  <si>
    <t>Résultats des tests de RTO</t>
  </si>
  <si>
    <t>Existence de tableaux de bord opérationnels et à jour?</t>
  </si>
  <si>
    <t>Analyses incomplètes.</t>
  </si>
  <si>
    <t>Manque d'expertise.</t>
  </si>
  <si>
    <t>Logs de planification des sauvegardes</t>
  </si>
  <si>
    <t>Indicateurs clés (KPI) alignés sur les engagements de service (SLA)</t>
  </si>
  <si>
    <t>Logs de sauvegarde</t>
  </si>
  <si>
    <t>Indicateurs clés (KPI) alignés sur les engagements de service (SLA)?</t>
  </si>
  <si>
    <t>Alertes non automatisées.</t>
  </si>
  <si>
    <t>Sécurité du plan non défini.</t>
  </si>
  <si>
    <t>Analyse régulière des tendances et anomalies</t>
  </si>
  <si>
    <t>Description de l'architecture de stockage</t>
  </si>
  <si>
    <t>Analyse régulière des tendances et anomalies?</t>
  </si>
  <si>
    <t>Réunions irrégulières.</t>
  </si>
  <si>
    <t>Découvertes complexes.</t>
  </si>
  <si>
    <t>Mesures des temps de restauration</t>
  </si>
  <si>
    <t>Alertes automatiques en cas de dépassement des seuils critiques</t>
  </si>
  <si>
    <t>Alertes automatiques en cas de dépassement des seuils critiques?</t>
  </si>
  <si>
    <t>Procédures non documentées.</t>
  </si>
  <si>
    <t>Gestion non revue.</t>
  </si>
  <si>
    <t>Journal des alertes</t>
  </si>
  <si>
    <t>Revues périodiques avec les parties prenantes</t>
  </si>
  <si>
    <t>Revues périodiques avec les parties prenantes?</t>
  </si>
  <si>
    <t>Périmètre des sauvegardes non définies.</t>
  </si>
  <si>
    <t>Application incomplètement.</t>
  </si>
  <si>
    <t>Liste des participants aux revues</t>
  </si>
  <si>
    <t>Vérifier que les procédures de sauvegarde et de reprise de 
 l’application sont effectives</t>
  </si>
  <si>
    <t>Procédures documentées et accessibles</t>
  </si>
  <si>
    <t>Procédures documentées et accessibles?</t>
  </si>
  <si>
    <t>Tests irréguliers.</t>
  </si>
  <si>
    <t>Risques de corruption inconnue.</t>
  </si>
  <si>
    <t>Arborescence documentaire des procédures</t>
  </si>
  <si>
    <t>Périodicité des sauvegardes conforme aux exigences métier</t>
  </si>
  <si>
    <t>Périodicité des sauvegardes conforme aux exigences métier?</t>
  </si>
  <si>
    <t>Evaluation du matériel insuffisant.</t>
  </si>
  <si>
    <t>Justification des fréquences de sauvegarde</t>
  </si>
  <si>
    <t>Tests réguliers de restauration des sauvegardes</t>
  </si>
  <si>
    <t>Tests réguliers de restauration des sauvegardes?</t>
  </si>
  <si>
    <t>Offre de reprise après sinistre incomplète.</t>
  </si>
  <si>
    <t>Incapacité de l'automatisation.</t>
  </si>
  <si>
    <t>Plan de tests de restauration</t>
  </si>
  <si>
    <t>Sécurisation des supports de sauvegarde (chiffrement, accès restreint)</t>
  </si>
  <si>
    <t>Sécurisation des supports de sauvegarde (chiffrement, accès restreint)?</t>
  </si>
  <si>
    <t>Planification automatisée inexistante.</t>
  </si>
  <si>
    <t>Le plan peut ne pas fonctionner.</t>
  </si>
  <si>
    <t>Architecture de sécurisation des sauvegardes</t>
  </si>
  <si>
    <t>Délai de reprise après sinistre (RTO) respecté</t>
  </si>
  <si>
    <t>Délai de reprise après sinistre (RTO) respecté?</t>
  </si>
  <si>
    <t>Anomalisation des opérations inexistante.</t>
  </si>
  <si>
    <t>Mauvais rendement.</t>
  </si>
  <si>
    <t>Développer un plan de compétences pour gérer les incidents efficacement</t>
  </si>
  <si>
    <t>Plan de tests de reprise après sinistre</t>
  </si>
  <si>
    <t>Mettre en place des formations pour appliquer les bonnes pratiques</t>
  </si>
  <si>
    <t>Planification automatisée et vérifiée des sauvegardes</t>
  </si>
  <si>
    <t>Planification automatisée et vérifiée des sauvegardes?</t>
  </si>
  <si>
    <t>Données de systèmes qui ne sont plus disponibles.</t>
  </si>
  <si>
    <t>Mettre en place une gouvernance en cybersécurité avec des rôles clairs</t>
  </si>
  <si>
    <t>Rapport de configuration de la planification</t>
  </si>
  <si>
    <t>Développer des politiques de sécurité pour réduire les pratiques incohérentes</t>
  </si>
  <si>
    <t>Journalisation des opérations de sauvegarde</t>
  </si>
  <si>
    <t>Journalisation des opérations de sauvegarde?</t>
  </si>
  <si>
    <t>Stockage adéquat inexistant.</t>
  </si>
  <si>
    <t>Informations à sécuriser absentes.</t>
  </si>
  <si>
    <t>Former les équipes à la détection des erreurs humaines en sécurité</t>
  </si>
  <si>
    <t>Analyse des logs de sauvegarde</t>
  </si>
  <si>
    <t>Mettre en place des audits pour identifier les failles exploitables</t>
  </si>
  <si>
    <t>Contrôle d’intégrité des sauvegardes</t>
  </si>
  <si>
    <t>Contrôle d’intégrité des sauvegardes?</t>
  </si>
  <si>
    <t>Capacité matérielle insuffisante.</t>
  </si>
  <si>
    <t>Absence d'éléments important à sécuriser.</t>
  </si>
  <si>
    <t>Mettre en place des outils de détection et de prévention des incidents</t>
  </si>
  <si>
    <t>Développer des plans de réponse pour minimiser les impacts des incidents</t>
  </si>
  <si>
    <t>Stockage sécurisé (local et hors site)</t>
  </si>
  <si>
    <t>Stockage sécurisé (local et hors site)?</t>
  </si>
  <si>
    <t>Plan de secours non documenté.</t>
  </si>
  <si>
    <t>Difficile à mettre les équipes compétente.</t>
  </si>
  <si>
    <t>Implémenter des contrôles d’accès stricts pour limiter les abus</t>
  </si>
  <si>
    <t>Plan de capacité de stockage</t>
  </si>
  <si>
    <t>Mettre en place des audits réguliers pour détecter les accès non autorisés</t>
  </si>
  <si>
    <t>Capacité à restaurer dans un délai acceptable</t>
  </si>
  <si>
    <t>Capacité à restaurer dans un délai acceptable?</t>
  </si>
  <si>
    <t>Identification des éléments critiques incomplète.</t>
  </si>
  <si>
    <t>Environnements critiques pas sécurisées.</t>
  </si>
  <si>
    <t>Mettre en place des outils de détection des accès non autorisés</t>
  </si>
  <si>
    <t>Rapport d'évaluation des temps de restauration</t>
  </si>
  <si>
    <t>Développer des politiques pour enquêter sur les accès non autorisés</t>
  </si>
  <si>
    <t>S’assurer de l’existence d'un plan de secours en adéquation 
 avec les besoins et les enjeux</t>
  </si>
  <si>
    <t>Plan de secours documenté et validé</t>
  </si>
  <si>
    <t>Plan de secours documenté et validé?</t>
  </si>
  <si>
    <t>Ressources matérielles / logicielles non disponibles pour la reprise.</t>
  </si>
  <si>
    <t>Information des licences sont pas vérifier.</t>
  </si>
  <si>
    <t>Mettre en place des contrôles pour détecter les modifications non autorisées</t>
  </si>
  <si>
    <t>Historique des validations du plan de secours</t>
  </si>
  <si>
    <t>Développer des audits pour identifier les failles de sécurité potentielles</t>
  </si>
  <si>
    <t>Identification des scénarios critiques couverts</t>
  </si>
  <si>
    <t>Liste des scénarios critiques couverts</t>
  </si>
  <si>
    <t>Identification des scénarios critiques couverts?</t>
  </si>
  <si>
    <t>Offres de secours insuffisantes.</t>
  </si>
  <si>
    <t>Procédure obsolète.</t>
  </si>
  <si>
    <t>Implémenter des contrôles d’accès stricts pour protéger les données sensibles</t>
  </si>
  <si>
    <t>Matrice de couverture des scénarios</t>
  </si>
  <si>
    <t>Mettre en place des audits pour détecter les abus et les intrusions</t>
  </si>
  <si>
    <t>Ressources matérielles/logicielles prévues pour la reprise</t>
  </si>
  <si>
    <t>Inventaire des ressources de reprise</t>
  </si>
  <si>
    <t>Ressources matérielles/logicielles prévues pour la reprise?</t>
  </si>
  <si>
    <t>Communication incomplète.</t>
  </si>
  <si>
    <t>Événement à réviser pas en place.</t>
  </si>
  <si>
    <t>Mettre en place des outils de détection des modifications non autorisées</t>
  </si>
  <si>
    <t>Plan de gestion des ressources de reprise</t>
  </si>
  <si>
    <t>Développer des politiques pour identifier les changements non autorisés</t>
  </si>
  <si>
    <t>Délais de bascule (RPO/RTO) définis et réalistes</t>
  </si>
  <si>
    <t>Définition des RPO/RTO</t>
  </si>
  <si>
    <t>Délais de bascule (RPO/RTO) définis et réalistes?</t>
  </si>
  <si>
    <t>Tests inexistants.</t>
  </si>
  <si>
    <t>Équipes non qualifier</t>
  </si>
  <si>
    <t>Développer une matrice de responsabilités pour clarifier les rôles</t>
  </si>
  <si>
    <t>Résultats des mesures de RPO/RTO</t>
  </si>
  <si>
    <t>Mettre en place des revues régulières pour évaluer les responsabilités</t>
  </si>
  <si>
    <t>Communication claire des rôles en cas d’activation</t>
  </si>
  <si>
    <t>Procédure de communication d'urgence</t>
  </si>
  <si>
    <t>Communication claire des rôles en cas d’activation?</t>
  </si>
  <si>
    <t>Retour d'expérience inexistant.</t>
  </si>
  <si>
    <t>Aucune amélioration continue des processus, répétition des mêmes erreurs.</t>
  </si>
  <si>
    <t>Mettre en place des formations pour améliorer la compréhension des procédures</t>
  </si>
  <si>
    <t>Liste des contacts d'urgence</t>
  </si>
  <si>
    <t>Développer des guides pour standardiser les outils et les processus</t>
  </si>
  <si>
    <t>Tests périodiques du plan de secours (au moins annuels)</t>
  </si>
  <si>
    <t>Plan de tests du plan de secours</t>
  </si>
  <si>
    <t>Tests périodiques du plan de secours (au moins annuels)?</t>
  </si>
  <si>
    <t>Correction des écarts non identifiée.</t>
  </si>
  <si>
    <t>Risque accru de vulnérabilités non corrigées pouvant être exploitées.</t>
  </si>
  <si>
    <t>Rapports des tests du plan de secours</t>
  </si>
  <si>
    <t>Retours d’expérience intégrés dans les mises à jour</t>
  </si>
  <si>
    <t>Registre des retours d'expérience</t>
  </si>
  <si>
    <t>Retours d’expérience intégrés dans les mises à jour?</t>
  </si>
  <si>
    <t>Formation des équipes inexistante.</t>
  </si>
  <si>
    <t>Manque de compétences pour gérer les incidents et appliquer les bonnes pratiques.</t>
  </si>
  <si>
    <t>Mettre en place des processus de prise de décision informés</t>
  </si>
  <si>
    <t>Plan d'actions correctives post-tests</t>
  </si>
  <si>
    <t>Développer des revues régulières pour évaluer les décisions prises</t>
  </si>
  <si>
    <t>Correction des écarts identifiés lors des tests</t>
  </si>
  <si>
    <t>Procédure de correction des écarts</t>
  </si>
  <si>
    <t>Correction des écarts identifiés lors des tests?</t>
  </si>
  <si>
    <t>Absence d'avis et de désapprobation des modifications.</t>
  </si>
  <si>
    <t>Déploiement de modifications non sécurisées pouvant entraîner des failles.</t>
  </si>
  <si>
    <t>Développer des formations pour aligner les équipes sur les objectifs</t>
  </si>
  <si>
    <t>Registre des écarts et des corrections</t>
  </si>
  <si>
    <t>Mettre en place des revues pour évaluer l’alignement des équipes</t>
  </si>
  <si>
    <t>Formation des équipes sur les procédures</t>
  </si>
  <si>
    <t>Plan de formation des équipes aux procédures</t>
  </si>
  <si>
    <t>Formation des équipes sur les procédures?</t>
  </si>
  <si>
    <t>Désignation d'un RSSI inexistante.</t>
  </si>
  <si>
    <t>Absence de gouvernance et de stratégie en cybersécurité.</t>
  </si>
  <si>
    <t>Mettre en place des revues régulières pour évaluer les retours des équipes</t>
  </si>
  <si>
    <t>Supports de formation (manuels, guides)</t>
  </si>
  <si>
    <t>Développer des indicateurs pour mesurer la qualité des projets</t>
  </si>
  <si>
    <t>Versionnage du plan et historique des modifications</t>
  </si>
  <si>
    <t>Politique de gestion des versions du plan de secours</t>
  </si>
  <si>
    <t>Versionnage du plan et historique des modifications?</t>
  </si>
  <si>
    <t>Politique inexistante.</t>
  </si>
  <si>
    <t>Manque de cadre et de règles claires, entraînant des pratiques incohérentes.</t>
  </si>
  <si>
    <t>Mettre en place des canaux de communication clairs pour les équipes</t>
  </si>
  <si>
    <t>Historique des modifications du plan de secours</t>
  </si>
  <si>
    <t>Développer des outils pour faciliter la collaboration entre les équipes</t>
  </si>
  <si>
    <t>Vérifier la présence de responsable sécurité et d’une politique 
 formalisée en matière de sécurité informatique</t>
  </si>
  <si>
    <t>Désignation d’un RSSI (Responsable Sécurité des Systèmes d’Information)</t>
  </si>
  <si>
    <t>Lettre de désignation du RSSI</t>
  </si>
  <si>
    <t>Désignation d’un RSSI (Responsable Sécurité des Systèmes d’Information)?</t>
  </si>
  <si>
    <t>Sensibilisation du personnel non effectuée.</t>
  </si>
  <si>
    <t>Augmentation des erreurs humaines et des incidents de sécurité.</t>
  </si>
  <si>
    <t>Mettre en place des contrôles pour évaluer les processus critiques</t>
  </si>
  <si>
    <t>Description de poste du RSSI</t>
  </si>
  <si>
    <t>Développer des indicateurs pour mesurer la performance des processus</t>
  </si>
  <si>
    <t>Politique de sécurité documentée et approuvée</t>
  </si>
  <si>
    <t>Politique de sécurité documentée et approuvée?</t>
  </si>
  <si>
    <t>Mise à jour non adaptée.</t>
  </si>
  <si>
    <t>Persistance de failles de sécurité exploitables par des attaquants.</t>
  </si>
  <si>
    <t>Mettre en place des revues régulières pour évaluer les exigences du projet</t>
  </si>
  <si>
    <t>Charte de sécurité informatique</t>
  </si>
  <si>
    <t>Développer des outils pour valider les solutions et les outils choisis</t>
  </si>
  <si>
    <t>Sensibilisation régulière du personnel</t>
  </si>
  <si>
    <t>Plan de sensibilisation à la sécurité</t>
  </si>
  <si>
    <t>Sensibilisation régulière du personnel?</t>
  </si>
  <si>
    <t>Activité de contrôle de sécurité inexistante.</t>
  </si>
  <si>
    <t>Incapacité à détecter et prévenir les incidents de sécurité.</t>
  </si>
  <si>
    <t>Mettre en place des processus de validation pour détecter les erreurs</t>
  </si>
  <si>
    <t>Supports de sensibilisation (affiches, e-learnings)</t>
  </si>
  <si>
    <t>Développer des revues régulières pour évaluer les processus en place</t>
  </si>
  <si>
    <t>Mise à jour adaptée aux nouvelles menaces</t>
  </si>
  <si>
    <t>Veille technologique et sécurité (rapports)</t>
  </si>
  <si>
    <t>Mise à jour adaptée aux nouvelles menaces?</t>
  </si>
  <si>
    <t>Procédures d'entrées formelles (demande/approbation) inexistantes.</t>
  </si>
  <si>
    <t>Accès non contrôlé pouvant entraîner des abus et des intrusions.</t>
  </si>
  <si>
    <t>Mettre en place des outils de traçabilité pour suivre les actions effectuées</t>
  </si>
  <si>
    <t>Plan de mise à jour des mesures de sécurité</t>
  </si>
  <si>
    <t>Développer des audits pour évaluer la documentation des projets</t>
  </si>
  <si>
    <t>Contrôle de conformité (audits internes/externes)</t>
  </si>
  <si>
    <t>Plan d'audit interne de la sécurité</t>
  </si>
  <si>
    <t>Contrôle de conformité (audits internes/externes)?</t>
  </si>
  <si>
    <t>Risque d’accès non autorisé à des données sensibles.</t>
  </si>
  <si>
    <t>Mettre en place des revues régulières pour évaluer les méthodes utilisées</t>
  </si>
  <si>
    <t>Rapports d'audits externes</t>
  </si>
  <si>
    <t>Développer des formations pour adapter les équipes aux nouvelles méthodes</t>
  </si>
  <si>
    <t>Vérifier que les accès aux commandes système, aux 
 bibliothèques et bases de données de production sont réglementés</t>
  </si>
  <si>
    <t>Procédures d’accès formalisées (demande/approbation)</t>
  </si>
  <si>
    <t>Procédures de gestion des accès (demande, approbation)</t>
  </si>
  <si>
    <t>Procédures d’accès formalisées (demande/approbation)?</t>
  </si>
  <si>
    <t>Journalisation inexistante des accès sensibles.</t>
  </si>
  <si>
    <t>Impossibilité de détecter ou d’enquêter sur des accès non autorisés.</t>
  </si>
  <si>
    <t>Principe du moindre privilège appliqué</t>
  </si>
  <si>
    <t>Politique du moindre privilège</t>
  </si>
  <si>
    <t>Principe du moindre privilège appliqué?</t>
  </si>
  <si>
    <t>Alertes périodiques des modifications inexistantes.</t>
  </si>
  <si>
    <t>Modifications non détectées pouvant causer des failles de sécurité.</t>
  </si>
  <si>
    <t>Matrice d'accès par rôle</t>
  </si>
  <si>
    <t>Journalisation des accès sensibles</t>
  </si>
  <si>
    <t>Politique de journalisation des accès sensibles</t>
  </si>
  <si>
    <t>Journalisation des accès sensibles?</t>
  </si>
  <si>
    <t>Authentification forte non réalisée pour les accès critiques.</t>
  </si>
  <si>
    <t>Risque accru d’usurpation d’identité et de compromission des comptes sensibles.</t>
  </si>
  <si>
    <t>Logs d'accès sensibles</t>
  </si>
  <si>
    <t>Revues périodiques des habilitations</t>
  </si>
  <si>
    <t>Planning des revues d'habilitations</t>
  </si>
  <si>
    <t>Revues périodiques des habilitations?</t>
  </si>
  <si>
    <t>Liste des utilisateurs sensibles non définie.</t>
  </si>
  <si>
    <t>Gestion inadéquate des accès critiques, augmentant les risques de fuite d’informations.</t>
  </si>
  <si>
    <t>Compte-rendus des revues d'habilitations</t>
  </si>
  <si>
    <t>Authentification forte pour les accès critiques</t>
  </si>
  <si>
    <t>Politique d'authentification forte</t>
  </si>
  <si>
    <t>Authentification forte pour les accès critiques?</t>
  </si>
  <si>
    <t>Restriction d'accès par rôle inexistante.</t>
  </si>
  <si>
    <t>Mettre en place des contrôles d’accès stricts pour limiter les abus</t>
  </si>
  <si>
    <t>Architecture d'authentification forte</t>
  </si>
  <si>
    <t>Développer des audits réguliers pour détecter les accès non autorisés</t>
  </si>
  <si>
    <t>S’assurer que les accès aux logiciels de base et utilitaires 
 sensibles sont réglementés</t>
  </si>
  <si>
    <t>Liste des utilitaires sensibles identifiés</t>
  </si>
  <si>
    <t>Liste des utilisateurs sensibles</t>
  </si>
  <si>
    <t>Liste des utilitaires sensibles identifiés?</t>
  </si>
  <si>
    <t>Traçabilité des modifications non assurée.</t>
  </si>
  <si>
    <t>Impossibilité d’identifier les modifications apportées aux systèmes.</t>
  </si>
  <si>
    <t>Mettre en place des politiques pour protéger les données critiques</t>
  </si>
  <si>
    <t>Politique de gestion des comptes sensibles</t>
  </si>
  <si>
    <t>Développer des sauvegardes régulières pour éviter la fuite d’informations</t>
  </si>
  <si>
    <t>Restriction d’accès par rôle (ex : équipe infra uniquement)</t>
  </si>
  <si>
    <t>Politique de restriction d'accès par rôle</t>
  </si>
  <si>
    <t>Restriction d’accès par rôle (ex : équipe infra uniquement)?</t>
  </si>
  <si>
    <t>Mécanismes de détection inexistants.</t>
  </si>
  <si>
    <t>Détection tardive ou inexistante des incidents de sécurité.</t>
  </si>
  <si>
    <t>Mettre en place une matrice de responsabilités pour clarifier les rôles</t>
  </si>
  <si>
    <t>Matrice d'accès par équipe/rôle</t>
  </si>
  <si>
    <t>Développer des revues régulières pour évaluer les responsabilités</t>
  </si>
  <si>
    <t>Traçabilité des modifications via logs</t>
  </si>
  <si>
    <t>Politique de journalisation des modifications</t>
  </si>
  <si>
    <t>Traçabilité des modifications via logs?</t>
  </si>
  <si>
    <t>Audits inexistants des permissions.</t>
  </si>
  <si>
    <t>Risque d’attribution inexacte des droits d’accès.</t>
  </si>
  <si>
    <t>Mécanismes de détection d’usage non autorisé</t>
  </si>
  <si>
    <t>Système de détection d'intrusion (IDS/IPS) - Règles et configuration</t>
  </si>
  <si>
    <t>Mécanismes de détection d’usage non autorisé?</t>
  </si>
  <si>
    <t>Revues inexistantes/irrégulières des habilitations.</t>
  </si>
  <si>
    <t>Maintien des accès inappropriés, augmentant le risque de compromission.</t>
  </si>
  <si>
    <t>Alertes du système de détection d'intrusion</t>
  </si>
  <si>
    <t>Audits ponctuels des permissions</t>
  </si>
  <si>
    <t>Politique d'audit ponctuel des permissions</t>
  </si>
  <si>
    <t>Audits ponctuels des permissions?</t>
  </si>
  <si>
    <t>Désactivation automatique des comptes inexistante.</t>
  </si>
  <si>
    <t>Conservation des accès pour les anciens employés, augmentant les risques d’intrusion.</t>
  </si>
  <si>
    <t>Rapports d'audits ponctuels des permissions</t>
  </si>
  <si>
    <t>Vérifier l’existence des procédures de contrôle périodique des 
 accès aux ressources de l'application</t>
  </si>
  <si>
    <t>Revues trimestrielles/annuelles des habilitations</t>
  </si>
  <si>
    <t>Planning des revues trimestrielles/annuelles des habilitations</t>
  </si>
  <si>
    <t>Revues trimestrielles/annuelles des habilitations?</t>
  </si>
  <si>
    <t>Processus de distribution des rôles au sein du changement de poste inexistante.</t>
  </si>
  <si>
    <t>Confusion et mauvaise attribution des responsabilités lors des changements de poste.</t>
  </si>
  <si>
    <t>Désactivation automatique des comptes inactifs</t>
  </si>
  <si>
    <t>Procédure de désactivation des comptes inactifs</t>
  </si>
  <si>
    <t>Désactivation automatique des comptes inactifs?</t>
  </si>
  <si>
    <t>Outils de gestion des identités et accès (IAM) inexistants.</t>
  </si>
  <si>
    <t>Difficulté à gérer les accès et les identités, facilitant les attaques.</t>
  </si>
  <si>
    <t>Registre des comptes désactivés</t>
  </si>
  <si>
    <t>Processus de réattribution des droits en cas de changement de poste</t>
  </si>
  <si>
    <t>Processus de réattribution des droits en cas de changement de poste?</t>
  </si>
  <si>
    <t>Rapports d'activité partagés avec la direction inexistants.</t>
  </si>
  <si>
    <t>Absence de visibilité pour la direction, retard dans la prise de décision.</t>
  </si>
  <si>
    <t>Formulaire de changement de poste et de réattribution des droits</t>
  </si>
  <si>
    <t>Outils de gestion des identités et accès (IAM)</t>
  </si>
  <si>
    <t>Outil de gestion des identités et des accès (IAM) - Manuel utilisateur</t>
  </si>
  <si>
    <t>Outils de gestion des identités et accès (IAM)?</t>
  </si>
  <si>
    <t>Document de formation de synthèse inexistant.</t>
  </si>
  <si>
    <t>Manque de formation, mauvaise compréhension des procédures et des outils.</t>
  </si>
  <si>
    <t>Politique d'utilisation de l'outil IAM</t>
  </si>
  <si>
    <t>Rapports d’audit partagés avec la direction</t>
  </si>
  <si>
    <t>Rapports d'audit partagés avec la direction</t>
  </si>
  <si>
    <t>Rapports d’audit partagés avec la direction?</t>
  </si>
  <si>
    <t>Risque accru de vulnérabilités non corrigées.</t>
  </si>
  <si>
    <t>Procès-verbaux des réunions de partage des audits</t>
  </si>
  <si>
    <t>Vérifier qu’un Schéma-directeur du système d’information 
 existe et est à jour</t>
  </si>
  <si>
    <t>Existence d’un document formalisé de schéma-directeur</t>
  </si>
  <si>
    <t>Schéma directeur des systèmes d'information</t>
  </si>
  <si>
    <t>Existence d’un document formalisé de schéma-directeur?</t>
  </si>
  <si>
    <t>Réalisation par la direction en parties prenantes, risques inexistants.</t>
  </si>
  <si>
    <t>Décisions mal informées pouvant conduire à des failles de sécurité.</t>
  </si>
  <si>
    <t>Plan stratégique des systèmes d'information</t>
  </si>
  <si>
    <t>Mise à jour régulière (au moins annuelle) en fonction des évolutions stratégiques</t>
  </si>
  <si>
    <t>Mise à jour régulière du schéma directeur - Planning</t>
  </si>
  <si>
    <t>Mise à jour régulière (au moins annuelle) en fonction des évolutions stratégiques?</t>
  </si>
  <si>
    <t>Cohérence avec la feuille de route technologique inexistante.</t>
  </si>
  <si>
    <t>Mauvaise adéquation entre les besoins technologiques et les objectifs de l’entreprise.</t>
  </si>
  <si>
    <t>Historique des mises à jour du schéma directeur</t>
  </si>
  <si>
    <t>Validation par la direction et les parties prenantes clés</t>
  </si>
  <si>
    <t>Validation du schéma directeur par la direction</t>
  </si>
  <si>
    <t>Validation par la direction et les parties prenantes clés?</t>
  </si>
  <si>
    <t>Accessibilité et diffusion auprès des équipes concernées inexistantes.</t>
  </si>
  <si>
    <t>Manque d’alignement des équipes, entraînant des erreurs de mise en œuvre.</t>
  </si>
  <si>
    <t>Compte-rendus des réunions de validation</t>
  </si>
  <si>
    <t>Cohérence avec la feuille de route technologique de l’entreprise</t>
  </si>
  <si>
    <t>Feuille de route technologique de l'entreprise</t>
  </si>
  <si>
    <t>Cohérence avec la feuille de route technologique de l’entreprise?</t>
  </si>
  <si>
    <t>Consultation des remarques des équipes changeantes inexistantes.</t>
  </si>
  <si>
    <t>Non-prise en compte des retours des équipes, impactant la qualité du projet.</t>
  </si>
  <si>
    <t>Cartographie applicative de l'entreprise</t>
  </si>
  <si>
    <t>Accessibilité et diffusion auprès des équipes concernées</t>
  </si>
  <si>
    <t>Analyse de cohérence schéma directeur / feuille de route</t>
  </si>
  <si>
    <t>Accessibilité et diffusion auprès des équipes concernées?</t>
  </si>
  <si>
    <t>Accessibilité et diffusion limitées.</t>
  </si>
  <si>
    <t>Information difficilement accessible, freinant la collaboration.</t>
  </si>
  <si>
    <t>Mettre en place des formations pour améliorer les compétences des utilisateurs</t>
  </si>
  <si>
    <t>Rapport d'analyse de cohérence</t>
  </si>
  <si>
    <t>Développer des supports pour faciliter la résolution des problèmes</t>
  </si>
  <si>
    <t>S’assurer qu’une évaluation de l’alignement stratégique de 
 l’application avec les orientation de l’entreprise a été réalisée</t>
  </si>
  <si>
    <t>Documentation de l’analyse d’alignement stratégique</t>
  </si>
  <si>
    <t>Politique d'accès à la documentation du schéma directeur</t>
  </si>
  <si>
    <t>Documentation de l’analyse d’alignement stratégique?</t>
  </si>
  <si>
    <t>Documentation d'alignement inexistante.</t>
  </si>
  <si>
    <t>Manque de directives claires, entraînant des erreurs dans la mise en œuvre.</t>
  </si>
  <si>
    <t>Mettre en place des revues régulières pour identifier les ressources nécessaires</t>
  </si>
  <si>
    <t>Plan de diffusion du schéma directeur</t>
  </si>
  <si>
    <t>Développer des plans pour optimiser l’utilisation des ressources</t>
  </si>
  <si>
    <t>Lien clair entre les fonctionnalités de l’application et les objectifs métier</t>
  </si>
  <si>
    <t>Documentation de l'analyse d'alignement stratégique</t>
  </si>
  <si>
    <t>Lien clair entre les fonctionnalités de l’application et les objectifs métier?</t>
  </si>
  <si>
    <t>Objectifs non liés aux fonctionnalités.</t>
  </si>
  <si>
    <t>Fonctionnalités développées sans répondre aux besoins réels.</t>
  </si>
  <si>
    <t>Développer des guides pour standardiser l’exécution des tâches</t>
  </si>
  <si>
    <t>Matrice d'alignement stratégique (SI - Métier)</t>
  </si>
  <si>
    <t>Mettre en place des revues pour évaluer l’efficacité des procédures</t>
  </si>
  <si>
    <t>Revue par les responsables métier et DSI</t>
  </si>
  <si>
    <t>Cartographie des fonctionnalités de l'application</t>
  </si>
  <si>
    <t>Revue par les responsables métier et DSI?</t>
  </si>
  <si>
    <t>Revue inexistante.</t>
  </si>
  <si>
    <t>Absence de contrôle et d’évaluation des processus.</t>
  </si>
  <si>
    <t>Mettre en place des processus de prise de décision justifiés</t>
  </si>
  <si>
    <t>Tableau de bord des objectifs métier</t>
  </si>
  <si>
    <t>Développer des audits pour identifier les erreurs critiques</t>
  </si>
  <si>
    <t>Mise à jour en cas de changement stratégique</t>
  </si>
  <si>
    <t>Procès-verbaux des revues métier et DSI</t>
  </si>
  <si>
    <t>Mise à jour en cas de changement stratégique?</t>
  </si>
  <si>
    <t>Non-prise en compte des indicateurs, rendant la performance difficile à évaluer.</t>
  </si>
  <si>
    <t>Mettre en place des correctifs pour réduire les risques d’échec</t>
  </si>
  <si>
    <t>Plan d'actions suite aux revues</t>
  </si>
  <si>
    <t>Développer des audits réguliers pour identifier les dysfonctionnements</t>
  </si>
  <si>
    <t>Indicateurs de performance (KPIs) mesurant cet alignement</t>
  </si>
  <si>
    <t>Procédure de gestion des changements stratégiques</t>
  </si>
  <si>
    <t>Indicateurs de performance (KPIs) mesurant cet alignement?</t>
  </si>
  <si>
    <t>Indicateurs de performance non définis.</t>
  </si>
  <si>
    <t>Risque de mauvaise définition des exigences du projet.</t>
  </si>
  <si>
    <t>Mettre en place une méthodologie claire pour standardiser les décisions</t>
  </si>
  <si>
    <t>Historique des changements stratégiques</t>
  </si>
  <si>
    <t>Développer des revues régulières pour évaluer la cohérence des décisions</t>
  </si>
  <si>
    <t>S’assurer que la définition des spécifications ou les critères de 
 choix de la solution a été clairement établie</t>
  </si>
  <si>
    <t>Cahier des charges ou document de spécifications fonctionnelles et techniques</t>
  </si>
  <si>
    <t>Indicateurs de performance (KPIs) d'alignement stratégique</t>
  </si>
  <si>
    <t>Cahier des charges ou document de spécifications fonctionnelles et techniques?</t>
  </si>
  <si>
    <t>Absence de cahier des charges.</t>
  </si>
  <si>
    <t>Sélection inappropriée des solutions et outils.</t>
  </si>
  <si>
    <t>Mettre en place des correctifs pour réduire les erreurs non corrigées</t>
  </si>
  <si>
    <t>Tableau de bord des KPIs d'alignement</t>
  </si>
  <si>
    <t>Développer des indicateurs pour mesurer la qualité des services</t>
  </si>
  <si>
    <t>Critères de sélection objectifs et priorisés (coût, fonctionnalités, évolutivité, etc?)</t>
  </si>
  <si>
    <t>Cahier des charges fonctionnel de l'application</t>
  </si>
  <si>
    <t>Critères de sélection absents.</t>
  </si>
  <si>
    <t>Erreurs non détectées et absence de validation des processus.</t>
  </si>
  <si>
    <t>Mettre en place des revues régulières pour évaluer les besoins des utilisateurs</t>
  </si>
  <si>
    <t>Spécifications techniques de l'application</t>
  </si>
  <si>
    <t>Développer des formations pour améliorer la compréhension des besoins</t>
  </si>
  <si>
    <t>Validation par les parties prenantes (métier, technique, financier)</t>
  </si>
  <si>
    <t>Grille de critères de sélection des évolutions</t>
  </si>
  <si>
    <t>Validation par les parties prenantes (métier, technique, financier)?</t>
  </si>
  <si>
    <t>Validation inexistante.</t>
  </si>
  <si>
    <t>Difficulté à comparer différentes solutions et à faire les meilleurs choix.</t>
  </si>
  <si>
    <t>Mettre en place des revues régulières pour évaluer les solutions proposées</t>
  </si>
  <si>
    <t>Procédure de priorisation des évolutions</t>
  </si>
  <si>
    <t>Développer des outils pour comparer les solutions disponibles</t>
  </si>
  <si>
    <t>Comparaison des solutions potentielles avec grille d’évaluation</t>
  </si>
  <si>
    <t>Validation des évolutions par les parties prenantes</t>
  </si>
  <si>
    <t>Comparaison des solutions potentielles avec grille d’évaluation?</t>
  </si>
  <si>
    <t>Comparaison inexistante.</t>
  </si>
  <si>
    <t>Perte de traçabilité sur les actions effectuées.</t>
  </si>
  <si>
    <t>Mettre en place des revues régulières pour évaluer les performances des services</t>
  </si>
  <si>
    <t>Compte-rendus des réunions de validation des évolutions</t>
  </si>
  <si>
    <t>Traçabilité des décisions et justifications des choix retenus</t>
  </si>
  <si>
    <t>Grille d'évaluation des solutions potentielles</t>
  </si>
  <si>
    <t>Traçabilité des décisions et justifications des choix retenus?</t>
  </si>
  <si>
    <t>Traçabilité inexistante.</t>
  </si>
  <si>
    <t>Informations mal documentées, compliquant la gestion des projets.</t>
  </si>
  <si>
    <t>Analyse comparative des solutions potentielles</t>
  </si>
  <si>
    <t>Vérifier que les tâches des utilisateurs dans l’application sont 
 clairement définies</t>
  </si>
  <si>
    <t>Documentation des rôles et permissions par profil utilisateur</t>
  </si>
  <si>
    <t>Procédure de traçabilité des décisions</t>
  </si>
  <si>
    <t>Documentation des rôles et permissions par profil utilisateur?</t>
  </si>
  <si>
    <t>Absence de directives claires, entraînant une mauvaise exécution.</t>
  </si>
  <si>
    <t>Journal des décisions et justifications</t>
  </si>
  <si>
    <t>Procédures opérationnelles détaillées (modes d’emploi, workflows)</t>
  </si>
  <si>
    <t>Procédures opérationnelles détaillées (modes d’emploi, workflows)?</t>
  </si>
  <si>
    <t>Procédures non détaillées.</t>
  </si>
  <si>
    <t>Manque de compétences et d’adaptation aux nouvelles méthodes.</t>
  </si>
  <si>
    <t>Matrice des rôles et accès de l'application</t>
  </si>
  <si>
    <t>Formation adaptée aux différents profils d’utilisateurs</t>
  </si>
  <si>
    <t>Procédures opérationnelles détaillées (modes d'emploi, workflows)</t>
  </si>
  <si>
    <t>Formation adaptée aux différents profils d’utilisateurs?</t>
  </si>
  <si>
    <t>Formation inadaptée.</t>
  </si>
  <si>
    <t>Données obsolètes, impactant la prise de décision.</t>
  </si>
  <si>
    <t>Diagrammes de flux des processus applicatifs</t>
  </si>
  <si>
    <t>Mécanismes de mise à jour en cas d’évolution de l’application</t>
  </si>
  <si>
    <t>Plan de formation des utilisateurs à l'application</t>
  </si>
  <si>
    <t>Mécanismes de mise à jour en cas d’évolution de l’application?</t>
  </si>
  <si>
    <t>Situations non mises à jour.</t>
  </si>
  <si>
    <t>Utilisateurs sans support, ralentissant la résolution des problèmes.</t>
  </si>
  <si>
    <t>Supports de formation adaptés aux profils</t>
  </si>
  <si>
    <t>Support utilisateur accessible (FAQ, helpdesk, tutoriels)</t>
  </si>
  <si>
    <t>Procédure de mise à jour de la documentation applicative</t>
  </si>
  <si>
    <t>Support utilisateur accessible (FAQ, helpdesk, tutoriels)?</t>
  </si>
  <si>
    <t>Support utilisateur inaccessible.</t>
  </si>
  <si>
    <t>Ressources non identifiées, compliquant leur gestion.</t>
  </si>
  <si>
    <t>Vérifier que des systèmes parallèles sont maintenus en activité</t>
  </si>
  <si>
    <t>Inventaire des systèmes parallèles en activité</t>
  </si>
  <si>
    <t>Inventaire des systèmes parallèles en activité?</t>
  </si>
  <si>
    <t>Inventaire inexistant.</t>
  </si>
  <si>
    <t>Manque de clarté dans l’exécution des tâches et procédures.</t>
  </si>
  <si>
    <t>Base de connaissances du support utilisateur</t>
  </si>
  <si>
    <t>Documentation des systèmes parallèles (architecture, configuration)</t>
  </si>
  <si>
    <t>Procédures de maintenance des systèmes parallèles ?</t>
  </si>
  <si>
    <t>Décisions non justifiées, pouvant entraîner des erreurs critiques.</t>
  </si>
  <si>
    <t>Diagramme d'architecture des systèmes parallèles</t>
  </si>
  <si>
    <t>Procédures de maintenance des systèmes parallèles</t>
  </si>
  <si>
    <t>Documentation des systèmes parallèles (configuration???)</t>
  </si>
  <si>
    <t>Justification de la nécessité de maintenir ces systèmes ?</t>
  </si>
  <si>
    <t>Justification inexistante.</t>
  </si>
  <si>
    <t>Risque d’échecs non détectés et de dysfonctionnements.</t>
  </si>
  <si>
    <t>Manuels techniques des systèmes parallèles</t>
  </si>
  <si>
    <t>Justification de la nécessité de maintenir ces systèmes</t>
  </si>
  <si>
    <t>Tests réguliers du bon fonctionnement des systèmes parallèles ?</t>
  </si>
  <si>
    <t>Absence de cadre méthodologique, rendant les décisions incohérentes.</t>
  </si>
  <si>
    <t>Planning de maintenance des systèmes parallèles</t>
  </si>
  <si>
    <t>Tests réguliers du bon fonctionnement des systèmes parallèles</t>
  </si>
  <si>
    <t>Justification du maintien des systèmes parallèles</t>
  </si>
  <si>
    <t>Présence d'un document formalisant l'évaluation ?</t>
  </si>
  <si>
    <t>Document inexistant.</t>
  </si>
  <si>
    <t>Erreurs non corrigées, impactant la qualité des services.</t>
  </si>
  <si>
    <t>Analyse coûts-bénéfices du maintien</t>
  </si>
  <si>
    <t>S’assurer qu’une évaluation de l’évaluation de l’adéquation aux 
 besoins des utilisateurs a été réalisée</t>
  </si>
  <si>
    <t>Présence d'un document formalisant l'évaluation</t>
  </si>
  <si>
    <t>Plan de tests réguliers des systèmes parallèles</t>
  </si>
  <si>
    <t>Méthode d'évaluation définie (sondages, tests utilisateurs) ?</t>
  </si>
  <si>
    <t>Méthode d'évaluation non définie.</t>
  </si>
  <si>
    <t>Résultats inexploités, ralentissant l’amélioration continue.</t>
  </si>
  <si>
    <t>Mettre en place des revues régulières pour évaluer les résultats obtenus</t>
  </si>
  <si>
    <t>Rapports des tests des systèmes parallèles</t>
  </si>
  <si>
    <t>Développer des plans d’amélioration continue pour optimiser les performances</t>
  </si>
  <si>
    <t>Méthode d'évaluation définie (sondages, tests utilisateurs)</t>
  </si>
  <si>
    <t>Document formalisant l'évaluation (post-déploiement, etc?)</t>
  </si>
  <si>
    <t>Actions correctives envisagées en fonction des résultats ?</t>
  </si>
  <si>
    <t>Actions correctives non envisagées.</t>
  </si>
  <si>
    <t>Mauvaise anticipation des coûts et rentabilité non évaluée.</t>
  </si>
  <si>
    <t>Mettre en place des audits pour évaluer les coûts et la rentabilité</t>
  </si>
  <si>
    <t>Grille d'évaluation et critères</t>
  </si>
  <si>
    <t>Développer des indicateurs pour mesurer l’efficacité des projets</t>
  </si>
  <si>
    <t>Actions correctives envisagées en fonction des résultats</t>
  </si>
  <si>
    <t>Méthode d'évaluation définie (sondages, tests utilisateurs???)</t>
  </si>
  <si>
    <t>Identification claire des besoins des utilisateurs ?</t>
  </si>
  <si>
    <t>Identification inexistante.</t>
  </si>
  <si>
    <t>Manque de rigueur dans l’analyse des projets.</t>
  </si>
  <si>
    <t>Mettre en place des revues régulières pour évaluer les projets en cours</t>
  </si>
  <si>
    <t>Questionnaires de sondage utilisateur</t>
  </si>
  <si>
    <t>Développer des outils pour mesurer les risques dans les projets</t>
  </si>
  <si>
    <t>Identification claire des besoins des utilisateurs</t>
  </si>
  <si>
    <t>Plan d'actions correctives suite à l'évaluation</t>
  </si>
  <si>
    <t>Résultats de l'évaluation analysés et documentés ?</t>
  </si>
  <si>
    <t>Résultats non analysés.</t>
  </si>
  <si>
    <t>Absence de retour sur investissement mesuré.</t>
  </si>
  <si>
    <t>Mettre en place des audits pour évaluer les retours sur investissement</t>
  </si>
  <si>
    <t>Développer des plans pour optimiser les investissements mesurés</t>
  </si>
  <si>
    <t>Résultats de l'évaluation analysés et documentés</t>
  </si>
  <si>
    <t>Rapport d'analyse des résultats d'évaluation</t>
  </si>
  <si>
    <t>Document d'évaluation de la rentabilité réalisé ?</t>
  </si>
  <si>
    <t>Document de rentabilité inexistant.</t>
  </si>
  <si>
    <t>Risques mal évalués et mauvaise prise de décision.</t>
  </si>
  <si>
    <t>Mettre en place des revues régulières pour évaluer les décisions prises</t>
  </si>
  <si>
    <t>Synthèse des résultats d'évaluation</t>
  </si>
  <si>
    <t>Développer des indicateurs pour mesurer l’impact des décisions</t>
  </si>
  <si>
    <t>Document d'évaluation de la rentabilité réalisé?</t>
  </si>
  <si>
    <t>Document d'évaluation de la rentabilité</t>
  </si>
  <si>
    <t>Méthodologie d'évaluation de la rentabilité définie (VAN, TRI )?</t>
  </si>
  <si>
    <t>Méthodologie inexistante.</t>
  </si>
  <si>
    <t>Estimations financières inexactes, augmentant les dépassements budgétaires.</t>
  </si>
  <si>
    <t>Mettre en place des audits pour évaluer les estimations financières</t>
  </si>
  <si>
    <t>Modèle d'évaluation de la rentabilité</t>
  </si>
  <si>
    <t>Développer des outils pour comparer les options disponibles</t>
  </si>
  <si>
    <t>Méthodologie d'évaluation de la rentabilité définie (VAN, TRI)</t>
  </si>
  <si>
    <t>Méthodologie d'évaluation de la rentabilité</t>
  </si>
  <si>
    <t>Les résultats de l'évaluation sont présentés aux parties prenantes ?</t>
  </si>
  <si>
    <t>Résultats non présentés.</t>
  </si>
  <si>
    <t>Comparaisons insuffisantes pour identifier les meilleures options.</t>
  </si>
  <si>
    <t>Mettre en place des revues régulières pour justifier les décisions prises</t>
  </si>
  <si>
    <t>Guide d'application de la méthodologie</t>
  </si>
  <si>
    <t>Développer des critères objectifs pour guider la prise de décision</t>
  </si>
  <si>
    <t>Les résultats de l'évaluation sont présentés aux parties prenantes</t>
  </si>
  <si>
    <t>Présentation des résultats de l'évaluation</t>
  </si>
  <si>
    <t>L'évaluation prend en compte les coûts et les bénéfices attendus ?</t>
  </si>
  <si>
    <t>Évaluation incomplète.</t>
  </si>
  <si>
    <t>Justification insuffisante des décisions prises.</t>
  </si>
  <si>
    <t>Mettre en place des revues régulières pour identifier les opportunités</t>
  </si>
  <si>
    <t>Procès-verbal de la présentation</t>
  </si>
  <si>
    <t>Développer des outils pour évaluer les menaces potentielles</t>
  </si>
  <si>
    <t>L'évaluation prend en compte les coûts et les bénéfices attendus</t>
  </si>
  <si>
    <t>Tableau des coûts et bénéfices attendus</t>
  </si>
  <si>
    <t>Les hypothèses de l'évaluation sont documentées ?</t>
  </si>
  <si>
    <t>Hypothèses non documentées.</t>
  </si>
  <si>
    <t>Absence de critères objectifs, rendant la sélection aléatoire.</t>
  </si>
  <si>
    <t>Mettre en place des revues régulières pour anticiper les risques</t>
  </si>
  <si>
    <t>Rapport d'analyse coûts-bénéfices</t>
  </si>
  <si>
    <t>Développer des plans de contingence pour gérer les retards et surcoûts</t>
  </si>
  <si>
    <t>Les hypothèses de l'évaluation sont documentées</t>
  </si>
  <si>
    <t>Document listant les hypothèses d'évaluation</t>
  </si>
  <si>
    <t>Document listant les coûts de déploiement (matériel, logiciel, personnel) ?</t>
  </si>
  <si>
    <t>Identification incomplète des opportunités et menaces.</t>
  </si>
  <si>
    <t>Mettre en place des revues régulières pour identifier les problèmes</t>
  </si>
  <si>
    <t>Justification des hypothèses</t>
  </si>
  <si>
    <t>Développer des outils pour accélérer la correction des erreurs</t>
  </si>
  <si>
    <t>S’assurer qu’une intégration des coûts de déploiement a été 
 réalisée</t>
  </si>
  <si>
    <t>Document listant les coûts de déploiement (matériel, logiciel, personnel???)</t>
  </si>
  <si>
    <t>Document listant les coûts de déploiement</t>
  </si>
  <si>
    <t>Les coûts de déploiement sont comparés aux coûts prévus ?</t>
  </si>
  <si>
    <t>Coûts non comparés.</t>
  </si>
  <si>
    <t>Risques mal anticipés, entraînant des retards et des surcoûts.</t>
  </si>
  <si>
    <t>Mettre en place des revues régulières pour évaluer les délais</t>
  </si>
  <si>
    <t>Répartition budgétaire des coûts de déploiement</t>
  </si>
  <si>
    <t>Développer des plans pour réduire les retards dans les projets</t>
  </si>
  <si>
    <t>Les coûts de déploiement sont comparés aux coûts prévus</t>
  </si>
  <si>
    <t>Comparaison des coûts de déploiement réels et prévus</t>
  </si>
  <si>
    <t>Analyse de l'impact des coûts de déploiement sur la rentabilité ?</t>
  </si>
  <si>
    <t>Analyse d'impact inexistante.</t>
  </si>
  <si>
    <t>Suivi insuffisant, rendant difficile l’identification des problèmes.</t>
  </si>
  <si>
    <t>Mettre en place des revues régulières pour évaluer les imprévus</t>
  </si>
  <si>
    <t>État de rapprochement des coûts réels</t>
  </si>
  <si>
    <t>Développer des plans de contingence pour gérer les imprévus</t>
  </si>
  <si>
    <t>Analyse de l'impact des coûts de déploiement sur la rentabilité</t>
  </si>
  <si>
    <t>Les coûts de déploiement sont budgétés et suivis ?</t>
  </si>
  <si>
    <t>Coûts non budgétés.</t>
  </si>
  <si>
    <t>Manque de réactivité dans la correction des erreurs.</t>
  </si>
  <si>
    <t>Mettre en place des plans structurés pour réduire les risques d’échec</t>
  </si>
  <si>
    <t>Rapport d'analyse d'impact financier</t>
  </si>
  <si>
    <t>Développer des revues régulières pour évaluer les pertes de contrôle</t>
  </si>
  <si>
    <t>Les coûts de déploiement sont budgétés et suivis</t>
  </si>
  <si>
    <t>Budget des coûts de déploiement</t>
  </si>
  <si>
    <t>Justification des écarts entre les coûts réels et les coûts prévus ?</t>
  </si>
  <si>
    <t>Délais imprécis, conduisant à des retards.</t>
  </si>
  <si>
    <t>Mettre en place des revues régulières pour évaluer les besoins métiers</t>
  </si>
  <si>
    <t>Suivi budgétaire mensuel</t>
  </si>
  <si>
    <t>Développer des outils pour aligner les décisions sur les besoins</t>
  </si>
  <si>
    <t>Justification des écarts entre les coûts réels et les coûts prévus</t>
  </si>
  <si>
    <t>Justification des écarts de coûts</t>
  </si>
  <si>
    <t>Document listant les offres du marché étudiées ?</t>
  </si>
  <si>
    <t>Gestion inefficace des retards et des imprévus.</t>
  </si>
  <si>
    <t>Analyse des raisons de chaque écart</t>
  </si>
  <si>
    <t>Développer des revues régulières pour évaluer les décisions du comité</t>
  </si>
  <si>
    <t>S’assurer qu’une étude sérieuse des offres du marché a été 
 réalisée</t>
  </si>
  <si>
    <t>Document listant les offres du marché étudiées</t>
  </si>
  <si>
    <t>Une analyse comparative des offres est réalisée ?</t>
  </si>
  <si>
    <t>Analyse comparative inexistante.</t>
  </si>
  <si>
    <t>Absence d’un plan structuré, augmentant les risques d’échec.</t>
  </si>
  <si>
    <t>Grille d'évaluation des offres</t>
  </si>
  <si>
    <t>Développer des formations pour améliorer l’adoption des systèmes</t>
  </si>
  <si>
    <t>Une analyse comparative des offres est réalisée</t>
  </si>
  <si>
    <t>Analyse comparative des offres</t>
  </si>
  <si>
    <t>La solution retenue est justifiée par rapport aux autres offres ?</t>
  </si>
  <si>
    <t>Solution non justifiée.</t>
  </si>
  <si>
    <t>Suivi déficient, entraînant des dérives et des pertes de contrôle.</t>
  </si>
  <si>
    <t>Mettre en place des revues régulières pour évaluer les objectifs métiers</t>
  </si>
  <si>
    <t>Synthèse comparative des offres</t>
  </si>
  <si>
    <t>Développer des plans pour réduire les pertes de temps sur les sujets clés</t>
  </si>
  <si>
    <t>La solution retenue est justifiée par rapport aux autres offres</t>
  </si>
  <si>
    <t>Justification du choix de la solution retenue</t>
  </si>
  <si>
    <t>Les critères de comparaison des offres sont définis ?</t>
  </si>
  <si>
    <t>Critères non définis.</t>
  </si>
  <si>
    <t>Mettre en place des audits pour évaluer les coûts des fonctions</t>
  </si>
  <si>
    <t>Rapport de justification du choix</t>
  </si>
  <si>
    <t>Développer des plans pour réduire la duplication des fonctions</t>
  </si>
  <si>
    <t>Les critères de comparaison des offres sont définis</t>
  </si>
  <si>
    <t>Définition des critères de comparaison des offres</t>
  </si>
  <si>
    <t>Les forces et faiblesses de chaque offre sont identifiées ?</t>
  </si>
  <si>
    <t>Forces et faiblesses non identifiées.</t>
  </si>
  <si>
    <t>Mettre en place des audits pour évaluer les risques de sécurité</t>
  </si>
  <si>
    <t>Notation pour chaque critère</t>
  </si>
  <si>
    <t>Développer des formations pour réduire les erreurs d’utilisation</t>
  </si>
  <si>
    <t>Les forces et faiblesses de chaque offre sont identifiées</t>
  </si>
  <si>
    <t>Identification des forces et faiblesses de chaque offre</t>
  </si>
  <si>
    <t>Planification des tâches de mise en œuvre de l'application ?</t>
  </si>
  <si>
    <t>Mettre en place des audits pour évaluer la conformité des applications</t>
  </si>
  <si>
    <t>Tableau SWOT des offres</t>
  </si>
  <si>
    <t>Développer des plans pour résoudre les problèmes de conformité</t>
  </si>
  <si>
    <t>Vérifier que les délais de mise en œuvre de l’application ont été 
 pris en compte</t>
  </si>
  <si>
    <t>Planification des tâches de mise en œuvre de l'application</t>
  </si>
  <si>
    <t>Planification des tâches de mise en œuvre</t>
  </si>
  <si>
    <t>Suivi de l'avancement des tâches par rapport au planning ?</t>
  </si>
  <si>
    <t>Suivi insuffisant.</t>
  </si>
  <si>
    <t>Mettre en place des audits pour évaluer les pratiques en place</t>
  </si>
  <si>
    <t>Diagramme de Gantt de la mise en œuvre</t>
  </si>
  <si>
    <t>Développer des plans pour résoudre les problèmes persistants</t>
  </si>
  <si>
    <t>Suivi de l'avancement des tâches par rapport au planning</t>
  </si>
  <si>
    <t>Mise en place d'actions correctives pour respecter les délais ?</t>
  </si>
  <si>
    <t>Actions correctives non mises en place.</t>
  </si>
  <si>
    <t>Mettre en place des revues régulières pour évaluer les phases du cycle de vie</t>
  </si>
  <si>
    <t>Tableau de bord de suivi</t>
  </si>
  <si>
    <t>Développer des audits pour identifier les erreurs dans les phases</t>
  </si>
  <si>
    <t>Mise en place d'actions correctives pour respecter les délais</t>
  </si>
  <si>
    <t>Estimation des délais pour chaque tâche ?</t>
  </si>
  <si>
    <t>Estimation des délais absente.</t>
  </si>
  <si>
    <t>Mettre en place des revues régulières pour évaluer la qualité des données</t>
  </si>
  <si>
    <t>Développer des outils pour réduire les pertes d’informations</t>
  </si>
  <si>
    <t>Estimation des délais pour chaque tâche</t>
  </si>
  <si>
    <t>Identification des retards et des causes des retards ?</t>
  </si>
  <si>
    <t>Identification des retards inexistante.</t>
  </si>
  <si>
    <t>Mettre en place des revues régulières pour évaluer les erreurs fréquentes</t>
  </si>
  <si>
    <t>Plan d'affectation des ressources</t>
  </si>
  <si>
    <t>Développer des formations pour clarifier les responsabilités</t>
  </si>
  <si>
    <t>Identification des retards et des causes des retards</t>
  </si>
  <si>
    <t>Mettre en place des audits pour évaluer les mesures de sécurité</t>
  </si>
  <si>
    <t>Registre des retards et des causes</t>
  </si>
  <si>
    <t>Développer des plans pour adapter les mesures aux besoins actuels</t>
  </si>
  <si>
    <t>Planification révisée des tâches de mise en œuvre</t>
  </si>
  <si>
    <t>Mettre en place des revues régulières pour évaluer les systèmes obsolètes</t>
  </si>
  <si>
    <t>Schéma des étapes</t>
  </si>
  <si>
    <t>Développer des plans de migration pour moderniser les systèmes</t>
  </si>
  <si>
    <t>Suivi de l'avancement des tâches par rapport au planning révisé</t>
  </si>
  <si>
    <t>Mettre en place des audits pour évaluer les difficultés de maintenance</t>
  </si>
  <si>
    <t>Fiche de suivi de l'avancement des étapes</t>
  </si>
  <si>
    <t>Développer des formations pour améliorer la satisfaction des utilisateurs</t>
  </si>
  <si>
    <t>Actions correctives supplémentaires pour respecter les délais</t>
  </si>
  <si>
    <t>Mettre en place des audits pour évaluer les accès non autorisés</t>
  </si>
  <si>
    <t>Plan d'actions correctives additionnel</t>
  </si>
  <si>
    <t>Développer des politiques pour protéger les données sensibles</t>
  </si>
  <si>
    <t>Nouvelle estimation des délais pour chaque tâche</t>
  </si>
  <si>
    <t>Mettre en place des audits pour évaluer les comptes non sécurisés</t>
  </si>
  <si>
    <t>Nouvelle répartition des ressources</t>
  </si>
  <si>
    <t>Développer des politiques pour sécuriser les comptes rendus</t>
  </si>
  <si>
    <t>Document listant les charges à réduire ?</t>
  </si>
  <si>
    <t>Document absent.</t>
  </si>
  <si>
    <t>Mettre en place des audits pour évaluer le contrôle de la sécurité</t>
  </si>
  <si>
    <t>Développer des plans pour améliorer la détection des activités malveillantes</t>
  </si>
  <si>
    <t>Vérifier qu’une analyse de la réduction des charges a été 
 effectuée</t>
  </si>
  <si>
    <t>Document listant les charges à réduire</t>
  </si>
  <si>
    <t>Identification des actions possibles pour réduire les charges ?</t>
  </si>
  <si>
    <t>Identification des actions manquante.</t>
  </si>
  <si>
    <t>Mettre en place des audits pour évaluer les violations de données</t>
  </si>
  <si>
    <t>Rapport d'analyse des charges</t>
  </si>
  <si>
    <t>Développer des politiques pour protéger les informations sensibles</t>
  </si>
  <si>
    <t>Identification des actions possibles pour réduire les charges</t>
  </si>
  <si>
    <t>Suivi de la mise en œuvre des actions de réduction des charges ?</t>
  </si>
  <si>
    <t>Plan d'actions pour la réduction des charges</t>
  </si>
  <si>
    <t>Suivi de la mise en œuvre des actions de réduction des charges</t>
  </si>
  <si>
    <t>Analyse des causes des charges ?</t>
  </si>
  <si>
    <t>Analyse inexistante.</t>
  </si>
  <si>
    <t>Tableau de bord de suivi de la réduction des charges</t>
  </si>
  <si>
    <t>Analyse des causes des charges</t>
  </si>
  <si>
    <t>Estimation des économies potentielles ?</t>
  </si>
  <si>
    <t>Estimation manquante.</t>
  </si>
  <si>
    <t>Accès non autorisés.</t>
  </si>
  <si>
    <t>Diagramme de Pareto des causes des charges</t>
  </si>
  <si>
    <t>Estimation des économies potentielles</t>
  </si>
  <si>
    <t>Identification des améliorations non quantifiables (satisfaction utilisateur, image de marque) ?</t>
  </si>
  <si>
    <t>En raison de cette difficulté, difficulté à répondre rapidement</t>
  </si>
  <si>
    <t>Business case des économies</t>
  </si>
  <si>
    <t>Vérifier que des améliorations non quantifiables ont été pris en 
 compte</t>
  </si>
  <si>
    <t>Identification des améliorations non quantifiables (satisfaction utilisateur, image de marque)</t>
  </si>
  <si>
    <t>Identification des améliorations non quantifiables (satisfaction utilisateur, image de marque???)</t>
  </si>
  <si>
    <t>Suivi des améliorations non quantifiables ?</t>
  </si>
  <si>
    <t>Suivi absent.</t>
  </si>
  <si>
    <t>Comptes rendue non sécurisés</t>
  </si>
  <si>
    <t>Grille d'évaluation des améliorations non quantifiables</t>
  </si>
  <si>
    <t>Suivi des améliorations non quantifiables</t>
  </si>
  <si>
    <t>Présentation des améliorations non quantifiables aux parties prenantes ?</t>
  </si>
  <si>
    <t>Présentation absente.</t>
  </si>
  <si>
    <t>Tableau de bord du suivi des améliorations non quantifiables</t>
  </si>
  <si>
    <t>Présentation des améliorations non quantifiables aux parties prenantes</t>
  </si>
  <si>
    <t>Méthode d'évaluation des améliorations non quantifiables ?</t>
  </si>
  <si>
    <t>Méthode non définie.</t>
  </si>
  <si>
    <t>Mettre en place des audits pour évaluer l’ensemble de la sécurité</t>
  </si>
  <si>
    <t>Compte-rendu de la présentation aux parties prenantes</t>
  </si>
  <si>
    <t>Développer des plans pour renforcer les mesures de protection</t>
  </si>
  <si>
    <t>Méthode d'évaluation des améliorations non quantifiables</t>
  </si>
  <si>
    <t>Analyse de l'impact des améliorations non quantifiables sur l'entreprise ?</t>
  </si>
  <si>
    <t>Violation de données non détectées.</t>
  </si>
  <si>
    <t>Mettre en place des audits pour évaluer la sécurité des informations</t>
  </si>
  <si>
    <t>Guide d'application de la méthode d'évaluation</t>
  </si>
  <si>
    <t>Développer des politiques pour limiter les accès non autorisés</t>
  </si>
  <si>
    <t>Analyse de l'impact des améliorations non quantifiables sur l'entreprise</t>
  </si>
  <si>
    <t>Schéma des processus existants ?</t>
  </si>
  <si>
    <t>Schéma inexistant.</t>
  </si>
  <si>
    <t>Protection limitée des informations.</t>
  </si>
  <si>
    <t>Mettre en place des audits pour évaluer la sécurité des mots de passe</t>
  </si>
  <si>
    <t>Rapport d'analyse d'impact</t>
  </si>
  <si>
    <t>Développer des politiques pour renforcer la gestion des mots de passe</t>
  </si>
  <si>
    <t>S’assurer qu’une réingénierie des processus est disponible</t>
  </si>
  <si>
    <t>Schéma des processus existants</t>
  </si>
  <si>
    <t>Schéma des processus réingénierés ?</t>
  </si>
  <si>
    <t>Compromettre l'ensemble de la sécurité.</t>
  </si>
  <si>
    <t>Mettre en place des audits pour évaluer les intrusions potentielles</t>
  </si>
  <si>
    <t>Cartographie des processus existants</t>
  </si>
  <si>
    <t>Développer des plans pour améliorer la détection des intrusions</t>
  </si>
  <si>
    <t>Schéma des processus réingénierés</t>
  </si>
  <si>
    <t>Documentation des processus réingénierés ?</t>
  </si>
  <si>
    <t>Mettre en place des audits pour évaluer les problèmes de sécurité</t>
  </si>
  <si>
    <t>Cartographie des processus réingénierés</t>
  </si>
  <si>
    <t>Développer des formations pour améliorer la compréhension des risques</t>
  </si>
  <si>
    <t>Documentation des processus réingénierés</t>
  </si>
  <si>
    <t>Analyse des processus existants ?</t>
  </si>
  <si>
    <t>Mettre en place des audits pour évaluer les attaques non traçables</t>
  </si>
  <si>
    <t>Diagrammes de flux des processus réingénierés</t>
  </si>
  <si>
    <t>Développer des outils pour améliorer la traçabilité des attaques</t>
  </si>
  <si>
    <t>Analyse des processus existants</t>
  </si>
  <si>
    <t>Justification des modifications apportées aux processus ?</t>
  </si>
  <si>
    <t>Modifications injustifiées.</t>
  </si>
  <si>
    <t>Les intrusions peuvent ne pas être découvertes.</t>
  </si>
  <si>
    <t>Mettre en place des audits pour évaluer les alertes inutiles</t>
  </si>
  <si>
    <t>Diagrammes de flux des processus existants</t>
  </si>
  <si>
    <t>Développer des politiques pour optimiser les systèmes d’alerte</t>
  </si>
  <si>
    <t>Justification des modifications apportées aux processus</t>
  </si>
  <si>
    <t>Identification des processus métiers impactés par l'application ?</t>
  </si>
  <si>
    <t>Processus métiers non impactés.</t>
  </si>
  <si>
    <t>Difficulté à comprendre et problèmes de sécurité.</t>
  </si>
  <si>
    <t>Mettre en place des audits pour évaluer les procédures de réponse</t>
  </si>
  <si>
    <t>Tableau comparatif des modifications</t>
  </si>
  <si>
    <t>Développer des plans pour accélérer les réponses aux incidents</t>
  </si>
  <si>
    <t>Identification des processus métiers impactés par l'application</t>
  </si>
  <si>
    <t>Adaptation de l'application aux processus métiers ?</t>
  </si>
  <si>
    <t>Application non adaptée.</t>
  </si>
  <si>
    <t>Mettre en place des audits pour évaluer les délais de réponse</t>
  </si>
  <si>
    <t>Liste des processus métiers impactés</t>
  </si>
  <si>
    <t>Développer des outils pour réduire les délais de réponse</t>
  </si>
  <si>
    <t>Adaptation de l'application aux processus métiers</t>
  </si>
  <si>
    <t>Suivi de l'impact de l'application sur les processus métiers ?</t>
  </si>
  <si>
    <t>Suivi d'impact inexistant.</t>
  </si>
  <si>
    <t>Traces non analysées.</t>
  </si>
  <si>
    <t>Mettre en place des audits pour évaluer les accès non autorisés aux informations</t>
  </si>
  <si>
    <t>Spécifications techniques de l'adaptation</t>
  </si>
  <si>
    <t>Suivi de l'impact de l'application sur les processus métiers</t>
  </si>
  <si>
    <t>Analyse des besoins des processus métiers ?</t>
  </si>
  <si>
    <t>Besoins non analysés.</t>
  </si>
  <si>
    <t>Alertes inutilisées.</t>
  </si>
  <si>
    <t>Mettre en place une gouvernance claire avec des rôles définis</t>
  </si>
  <si>
    <t>Tableau de bord de suivi de l'impact</t>
  </si>
  <si>
    <t>Développer des audits pour évaluer l’efficacité de la gouvernance</t>
  </si>
  <si>
    <t>Analyse des besoins des processus métiers</t>
  </si>
  <si>
    <t>Formation des utilisateurs aux processus métiers ?</t>
  </si>
  <si>
    <t>Formation inexistante.</t>
  </si>
  <si>
    <t>Mettre en place des audits pour évaluer les processus non gérés</t>
  </si>
  <si>
    <t>Cahier des charges des besoins métiers</t>
  </si>
  <si>
    <t>Développer des plans pour standardiser les processus critiques</t>
  </si>
  <si>
    <t>Formation des utilisateurs aux processus métiers</t>
  </si>
  <si>
    <t>Identification des traitements à réaliser par l'application ?</t>
  </si>
  <si>
    <t>Traitements non identifiés.</t>
  </si>
  <si>
    <t>Procédure avec de long délais.</t>
  </si>
  <si>
    <t>Mettre en place des audits pour évaluer les techniques non documentées</t>
  </si>
  <si>
    <t>Supports de formation pour les utilisateurs</t>
  </si>
  <si>
    <t>Développer des guides pour documenter les techniques utilisées</t>
  </si>
  <si>
    <t>S’assurer que les traitements ont été pris en compte</t>
  </si>
  <si>
    <t>Identification des traitements à réaliser par l'application</t>
  </si>
  <si>
    <t>Validation des traitements ?</t>
  </si>
  <si>
    <t>Validation manquante.</t>
  </si>
  <si>
    <t>Accès non autorisés des informations sensibles.</t>
  </si>
  <si>
    <t>Mettre en place des audits pour évaluer les compétences du personnel</t>
  </si>
  <si>
    <t>Spécifications fonctionnelles des traitements</t>
  </si>
  <si>
    <t>Développer des formations pour améliorer les compétences des équipes</t>
  </si>
  <si>
    <t>Validation des traitements</t>
  </si>
  <si>
    <t>Gestion des erreurs de traitement ?</t>
  </si>
  <si>
    <t>Gestion des erreurs inexistante.</t>
  </si>
  <si>
    <t>Mauvaise gouvernance.</t>
  </si>
  <si>
    <t>Mettre en place des audits pour évaluer les suivis des incidents</t>
  </si>
  <si>
    <t>Plan de tests des traitements</t>
  </si>
  <si>
    <t>Développer des plans pour améliorer la définition des suivis</t>
  </si>
  <si>
    <t>Gestion des erreurs de traitement</t>
  </si>
  <si>
    <t>Spécifications des traitements ?</t>
  </si>
  <si>
    <t>Spécifications incomplètes.</t>
  </si>
  <si>
    <t>Processus non géré.</t>
  </si>
  <si>
    <t>Spécifications des traitements</t>
  </si>
  <si>
    <t>Suivi de l'exécution des traitements ?</t>
  </si>
  <si>
    <t>Suivi de l'exécution inexistant.</t>
  </si>
  <si>
    <t>Techniques non documentées.</t>
  </si>
  <si>
    <t>Schémas de données des traitements</t>
  </si>
  <si>
    <t>Suivi de l'exécution des traitements</t>
  </si>
  <si>
    <t>Description de l'architecture technique de l'application ?</t>
  </si>
  <si>
    <t>Logs d'exécution des traitements</t>
  </si>
  <si>
    <t>Description de l'architecture technique de l'application</t>
  </si>
  <si>
    <t>Documentation de l'architecture technique ?</t>
  </si>
  <si>
    <t>Diagramme d'architecture technique</t>
  </si>
  <si>
    <t>Documentation de l'architecture technique</t>
  </si>
  <si>
    <t>Gestion des problèmes techniques ?</t>
  </si>
  <si>
    <t>Gestion des problèmes inexistante.</t>
  </si>
  <si>
    <t>Sécurité des données à risques.</t>
  </si>
  <si>
    <t>Mettre en place des audits pour évaluer les risques de sécurité des données</t>
  </si>
  <si>
    <t>Référentiel d'architecture technique</t>
  </si>
  <si>
    <t>Gestion des problèmes techniques</t>
  </si>
  <si>
    <t>Justification des choix techniques ?</t>
  </si>
  <si>
    <t>Justification des choix absente.</t>
  </si>
  <si>
    <t>Mettre en place des audits pour évaluer la sécurité des applications</t>
  </si>
  <si>
    <t>Registre des problèmes techniques</t>
  </si>
  <si>
    <t>Développer des plans pour renforcer les mesures de sécurité</t>
  </si>
  <si>
    <t>Justification des choix techniques</t>
  </si>
  <si>
    <t>Suivi de l'évolution de l'architecture technique ?</t>
  </si>
  <si>
    <t>Suivi de l'évolution inexistant.</t>
  </si>
  <si>
    <t>Mettre en place des audits pour évaluer les processus confus</t>
  </si>
  <si>
    <t>Rapport de choix techniques</t>
  </si>
  <si>
    <t>Développer des guides pour clarifier les processus critiques</t>
  </si>
  <si>
    <t>Suivi de l'évolution de l'architecture technique</t>
  </si>
  <si>
    <t>Définition des indicateurs de performance (KPI) ?</t>
  </si>
  <si>
    <t>KPI non définis.</t>
  </si>
  <si>
    <t>Mesures pas implémentés.</t>
  </si>
  <si>
    <t>Mettre en place des audits pour évaluer les qualifications du personnel</t>
  </si>
  <si>
    <t>Planning des évolutions de l'architecture</t>
  </si>
  <si>
    <t>S’assurer que les indicateurs de performance et un contrat de 
 service sont disponibles</t>
  </si>
  <si>
    <t>Définition des indicateurs de performance (KPI)</t>
  </si>
  <si>
    <t>Calcul des KPI ?</t>
  </si>
  <si>
    <t>Calcul des KPI inexistant.</t>
  </si>
  <si>
    <t>Personnel sans qualifications.</t>
  </si>
  <si>
    <t>Tableau des définitions des KPI</t>
  </si>
  <si>
    <t>Développer des indicateurs pour mesurer les performances des projets</t>
  </si>
  <si>
    <t>Calcul des KPI</t>
  </si>
  <si>
    <t>Suivi des objectifs de performance définis dans le contrat de service ?</t>
  </si>
  <si>
    <t>Suivi non défini dans le contrat de service.</t>
  </si>
  <si>
    <t>Impossibilité d'évaluer correctement les résultats ou les performances, entraînant des décisions mal informées.</t>
  </si>
  <si>
    <t>Mettre en place des audits pour évaluer les faiblesses non corrigées</t>
  </si>
  <si>
    <t>Scripts de calcul des KPI</t>
  </si>
  <si>
    <t>Développer des plans pour corriger les faiblesses identifiées</t>
  </si>
  <si>
    <t>Suivi des objectifs de performance définis dans le contrat de service</t>
  </si>
  <si>
    <t>Collecte des données pour les KPI ?</t>
  </si>
  <si>
    <t>Collecte des données inexistante.</t>
  </si>
  <si>
    <t>Mauvaise allocation des ressources, avec des faiblesses non corrigées et des forces sous-exploitées.</t>
  </si>
  <si>
    <t>Mettre en place des revues régulières pour évaluer les retards des projets</t>
  </si>
  <si>
    <t>Rapports de suivi des objectifs</t>
  </si>
  <si>
    <t>Développer des plans pour réduire les risques d’échec des projets</t>
  </si>
  <si>
    <t>Collecte des données pour les KPI</t>
  </si>
  <si>
    <t>Présentation des KPI sur des tableaux de bord ?</t>
  </si>
  <si>
    <t>Présentation inexistante.</t>
  </si>
  <si>
    <t>Retards, désorganisation et échec potentiel du projet ou de la tâche.</t>
  </si>
  <si>
    <t>Mettre en place des revues régulières pour évaluer les problèmes tardifs</t>
  </si>
  <si>
    <t>Procédure de collecte des données</t>
  </si>
  <si>
    <t>Développer des outils pour accélérer la détection des problèmes</t>
  </si>
  <si>
    <t>Présentation des KPI sur des tableaux de bord</t>
  </si>
  <si>
    <t>Outils de mesure de la performance mis en place et fonctionnels ?</t>
  </si>
  <si>
    <t>Outil de mesure inexistant.</t>
  </si>
  <si>
    <t>Détection tardive des problèmes, entraînant des dérives ou des échecs.</t>
  </si>
  <si>
    <t>Développer des indicateurs pour mesurer l’efficacité des décisions</t>
  </si>
  <si>
    <t>S’assurer que les outils de mesure de la performance et les 
 tableaux de bord sont disponibles</t>
  </si>
  <si>
    <t>Outils de mesure de la performance mis en place et fonctionnels</t>
  </si>
  <si>
    <t>Les tableaux de bord présentent les indicateurs de performance ?</t>
  </si>
  <si>
    <t>Tableaux de bord ne présentant pas les indicateurs de performance.</t>
  </si>
  <si>
    <t>Manque de visibilité sur les performances, entraînant une mauvaise prise de décision.</t>
  </si>
  <si>
    <t>Mettre en place des revues régulières pour évaluer les pertes de temps</t>
  </si>
  <si>
    <t>Guide d'utilisation des outils de mesure</t>
  </si>
  <si>
    <t>Développer des outils pour optimiser l’utilisation des ressources</t>
  </si>
  <si>
    <t>Les tableaux de bord présentent les indicateurs de performance</t>
  </si>
  <si>
    <t>Les tableaux de bord sont utilisés pour prendre des décisions ?</t>
  </si>
  <si>
    <t>Tableaux de bord non utilisés.</t>
  </si>
  <si>
    <t>Outil inefficace, entraînant une perte de temps et de ressources.</t>
  </si>
  <si>
    <t>Mettre en place des revues régulières pour évaluer les informations clés</t>
  </si>
  <si>
    <t>Documentation des tableaux de bord</t>
  </si>
  <si>
    <t>Développer des canaux pour améliorer l’accès aux informations</t>
  </si>
  <si>
    <t>Les tableaux de bord sont utilisés pour prendre des décisions</t>
  </si>
  <si>
    <t>Tableaux de bord disponibles et à jour ?</t>
  </si>
  <si>
    <t>Tableaux de bord indisponibles.</t>
  </si>
  <si>
    <t>Absence d’accès aux informations clés, entraînant des décisions mal informées.</t>
  </si>
  <si>
    <t>Mettre en place des revues régulières pour évaluer les objectifs des projets</t>
  </si>
  <si>
    <t>Procès-verbaux des réunions de prise de décision</t>
  </si>
  <si>
    <t>Développer des indicateurs pour mesurer l’alignement des actions</t>
  </si>
  <si>
    <t>Tableaux de bord disponibles et à jour</t>
  </si>
  <si>
    <t>Les tableaux de bord permettent d'identifier les problèmes et les tendances ?</t>
  </si>
  <si>
    <t>Objectifs de l'entité non compris.</t>
  </si>
  <si>
    <t>Actions mal alignées avec les objectifs, entraînant des résultats inefficaces.</t>
  </si>
  <si>
    <t>Mettre en place des revues régulières pour évaluer les opérations</t>
  </si>
  <si>
    <t>Politique de mise à jour des tableaux de bord</t>
  </si>
  <si>
    <t>Développer des plans pour réduire les échecs opérationnels</t>
  </si>
  <si>
    <t>Les tableaux de bord permettent d'identifier les problèmes et les tendances</t>
  </si>
  <si>
    <t>Les objectifs de l'entité sont clairement définis et documentés ?</t>
  </si>
  <si>
    <t>Technologies ne supportent pas les besoins métiers de l'entité.</t>
  </si>
  <si>
    <t>Solutions inadaptées, entraînant des échecs opérationnels.</t>
  </si>
  <si>
    <t>Mettre en place des revues régulières pour évaluer les besoins futurs</t>
  </si>
  <si>
    <t>Rapports d'analyse des tendances basés sur les tableaux de bord</t>
  </si>
  <si>
    <t>Développer des plans pour anticiper les solutions nécessaires</t>
  </si>
  <si>
    <t>Vérifier que les technologies utilisées sont conformes aux 
 aspirations de l’entité</t>
  </si>
  <si>
    <t>Les objectifs de l'entité sont clairement définis et documentés</t>
  </si>
  <si>
    <t>Charte stratégique de l'entité</t>
  </si>
  <si>
    <t>Les technologies utilisées supportent les besoins métiers de l'entité ?</t>
  </si>
  <si>
    <t>Plan d'évolution inexistant.</t>
  </si>
  <si>
    <t>Incapacité à anticiper les besoins futurs, entraînant des solutions obsolètes.</t>
  </si>
  <si>
    <t>Mettre en place des revues régulières pour évaluer les besoins des projets</t>
  </si>
  <si>
    <t>Rapport de alignement stratégique</t>
  </si>
  <si>
    <t>Développer des plans pour adapter les solutions aux besoins</t>
  </si>
  <si>
    <t>Les technologies utilisées supportent les besoins métiers de l'entité</t>
  </si>
  <si>
    <t>Un plan d'évolution des technologies est en place ?</t>
  </si>
  <si>
    <t>Analyse d'adéquation inexistante.</t>
  </si>
  <si>
    <t>Solutions mal adaptées aux besoins, entraînant des inefficacités.</t>
  </si>
  <si>
    <t>Mettre en place des revues régulières pour évaluer les intégrations</t>
  </si>
  <si>
    <t>Dossier de validation technique</t>
  </si>
  <si>
    <t>Développer des outils pour réduire les interruptions des systèmes</t>
  </si>
  <si>
    <t>Un plan d'évolution des technologies est en place</t>
  </si>
  <si>
    <t>Feuille de route technologique</t>
  </si>
  <si>
    <t>Une analyse a été menée pour évaluer l'adéquation des technologies aux objectifs ?</t>
  </si>
  <si>
    <t>Technologies incompatibles.</t>
  </si>
  <si>
    <t>Dysfonctionnements ou échecs d’intégration, entraînant des interruptions.</t>
  </si>
  <si>
    <t>Mettre en place des revues régulières pour évaluer les performances des systèmes</t>
  </si>
  <si>
    <t>Analyse prospective des technologies émergentes</t>
  </si>
  <si>
    <t>Développer des plans pour améliorer l’efficacité des systèmes</t>
  </si>
  <si>
    <t>Une analyse a été menée pour évaluer l'adéquation des technologies aux objectifs</t>
  </si>
  <si>
    <t>Matrice d'évaluation technologique</t>
  </si>
  <si>
    <t>Les technologies sont compatibles avec l'infrastructure existante ?</t>
  </si>
  <si>
    <t>Architecture non alignée.</t>
  </si>
  <si>
    <t>Système inefficace ou inadapté, entraînant des performances médiocres.</t>
  </si>
  <si>
    <t>Rapport d'impact stratégique des technologies</t>
  </si>
  <si>
    <t>Développer des plans pour réduire les pertes de productivité</t>
  </si>
  <si>
    <t>Les technologies sont compatibles avec l'infrastructure existante</t>
  </si>
  <si>
    <t>Diagnostic d'intégration technique</t>
  </si>
  <si>
    <t>L'architecture du logiciel est alignée avec les objectifs de l'entité ?</t>
  </si>
  <si>
    <t>Logiciel non performant.</t>
  </si>
  <si>
    <t>Ralentissements ou échecs opérationnels, entraînant des pertes de productivité.</t>
  </si>
  <si>
    <t>Mettre en place des revues régulières pour évaluer les changements</t>
  </si>
  <si>
    <t>Rapport de compatibilité et d'interopérabilité</t>
  </si>
  <si>
    <t>Développer des plans pour adapter les solutions aux changements</t>
  </si>
  <si>
    <t>S’assurer que technologie du logiciel sont conformes aux 
 aspirations de l’entité</t>
  </si>
  <si>
    <t>L'architecture du logiciel est alignée avec les objectifs de l'entité</t>
  </si>
  <si>
    <t>Modèle d'architecture d'entreprise</t>
  </si>
  <si>
    <t>Le logiciel est performant et fiable ?</t>
  </si>
  <si>
    <t>Logiciel non évolutif.</t>
  </si>
  <si>
    <t>Incapacité à s’adapter à la croissance ou aux changements, entraînant des solutions obsolètes.</t>
  </si>
  <si>
    <t>Mettre en place des revues régulières pour évaluer les processus clés</t>
  </si>
  <si>
    <t>Document de conception architecturale</t>
  </si>
  <si>
    <t>Développer des guides pour clarifier les fonctionnalités critiques</t>
  </si>
  <si>
    <t>Le logiciel est performant et fiable</t>
  </si>
  <si>
    <t>Rapport de benchmarking des performances</t>
  </si>
  <si>
    <t>Le logiciel est évolutif ?</t>
  </si>
  <si>
    <t>Fonctionnalités du logiciel non supportées.</t>
  </si>
  <si>
    <t>Manque de fonctionnalités clés, entraînant des processus incomplets.</t>
  </si>
  <si>
    <t>Dossier de qualification et de fiabilité</t>
  </si>
  <si>
    <t>Le logiciel est évolutif</t>
  </si>
  <si>
    <t>Plan de scalabilité</t>
  </si>
  <si>
    <t>Les fonctionnalités du logiciel supportent les besoins métiers ?</t>
  </si>
  <si>
    <t>Logiciel difficile à utiliser.</t>
  </si>
  <si>
    <t>Adoption faible ou erreurs fréquentes, entraînant une inefficacité.</t>
  </si>
  <si>
    <t>Mettre en place des audits pour évaluer les erreurs fréquentes</t>
  </si>
  <si>
    <t>Stratégie de développement évolutif</t>
  </si>
  <si>
    <t>Développer des formations pour réduire les inefficacités</t>
  </si>
  <si>
    <t>Les fonctionnalités du logiciel supportent les besoins métiers</t>
  </si>
  <si>
    <t>Cahier des charges fonctionnel</t>
  </si>
  <si>
    <t>Le logiciel est facile à utiliser et à maintenir ?</t>
  </si>
  <si>
    <t>Technologies n'ayant pas fait leurs preuves.</t>
  </si>
  <si>
    <t>Risque d’échec ou de dysfonctionnement, entraînant des pertes de temps et d’argent.</t>
  </si>
  <si>
    <t>Matrice de couverture des besoins</t>
  </si>
  <si>
    <t>Développer des plans pour réduire les dysfonctionnements</t>
  </si>
  <si>
    <t>Le logiciel est facile à utiliser et à maintenir</t>
  </si>
  <si>
    <t>Guide d'ergonomie et d'utilisabilité</t>
  </si>
  <si>
    <t>Les technologies ont fait leurs preuves dans des environnements similaires ?</t>
  </si>
  <si>
    <t>Technologies non documentées.</t>
  </si>
  <si>
    <t>Difficulté à utiliser ou à maintenir, entraînant des erreurs ou des interruptions.</t>
  </si>
  <si>
    <t>Mettre en place des audits pour évaluer les erreurs d’utilisation</t>
  </si>
  <si>
    <t>Manuel de maintenance et de support</t>
  </si>
  <si>
    <t>Développer des formations pour améliorer la maintenance des applications</t>
  </si>
  <si>
    <t>Les technologies ont fait leurs preuves dans des environnements similaires</t>
  </si>
  <si>
    <t>Étude de cas et retours d'expérience</t>
  </si>
  <si>
    <t>Les technologies sont documentées ?</t>
  </si>
  <si>
    <t>Technologies non conformes.</t>
  </si>
  <si>
    <t>Non-respect des normes ou réglementations, entraînant des sanctions ou des échecs.</t>
  </si>
  <si>
    <t>Mettre en place des audits pour évaluer la conformité aux normes</t>
  </si>
  <si>
    <t>Rapport de benchmark sectoriel</t>
  </si>
  <si>
    <t>Développer des plans pour réduire les risques de sanctions</t>
  </si>
  <si>
    <t>Les technologies sont documentées</t>
  </si>
  <si>
    <t>Référentiel technique</t>
  </si>
  <si>
    <t>Les technologies sont conformes aux normes et standards en vigueur ?</t>
  </si>
  <si>
    <t>Technologies non supportées.</t>
  </si>
  <si>
    <t>Absence de support technique, entraînant des problèmes non résolus.</t>
  </si>
  <si>
    <t>Mettre en place des audits pour évaluer le support technique</t>
  </si>
  <si>
    <t>Manuel de documentation technologique</t>
  </si>
  <si>
    <t>Développer des plans pour résoudre les problèmes non résolus</t>
  </si>
  <si>
    <t>Les technologies sont conformes aux normes et standards en vigueur</t>
  </si>
  <si>
    <t>Dossier de conformité réglementaire</t>
  </si>
  <si>
    <t>Les technologies sont supportées par des communautés actives ?</t>
  </si>
  <si>
    <t>Technologies non disponibles auprès de plusieurs fournisseurs.</t>
  </si>
  <si>
    <t>Dépendance à un fournisseur unique, entraînant des risques d’approvisionnement.</t>
  </si>
  <si>
    <t>Mettre en place des audits pour évaluer les dépendances aux fournisseurs</t>
  </si>
  <si>
    <t>Rapport de conformité aux standards</t>
  </si>
  <si>
    <t>Développer des plans pour diversifier les sources d’approvisionnement</t>
  </si>
  <si>
    <t>Les technologies sont supportées par des communautés actives</t>
  </si>
  <si>
    <t>Analyse des communautés technologiques</t>
  </si>
  <si>
    <t>Les technologies sont disponibles auprès de plusieurs fournisseurs ?</t>
  </si>
  <si>
    <t>Technologies non scalables.</t>
  </si>
  <si>
    <t>Incapacité à gérer une augmentation de la charge, entraînant des échecs opérationnels.</t>
  </si>
  <si>
    <t>Mettre en place des audits pour évaluer la charge des systèmes</t>
  </si>
  <si>
    <t>Rapport de support et d'engagement communautaire</t>
  </si>
  <si>
    <t>Les technologies sont disponibles auprès de plusieurs fournisseurs</t>
  </si>
  <si>
    <t>Étude comparative des fournisseurs</t>
  </si>
  <si>
    <t>Les technologies sont scalables ?</t>
  </si>
  <si>
    <t>Technologies non flexibles.</t>
  </si>
  <si>
    <t>Système surchargé, entraînant des ralentissements ou des pannes.</t>
  </si>
  <si>
    <t>Mettre en place des audits pour évaluer les coûts de remplacement</t>
  </si>
  <si>
    <t>Matrice d'évaluation des fournisseurs</t>
  </si>
  <si>
    <t>Développer des plans pour optimiser les coûts de remplacement</t>
  </si>
  <si>
    <t>S’assurer que les technologies utilisées peuvent s’adapter à la 
 croissance</t>
  </si>
  <si>
    <t>Les technologies sont scalables</t>
  </si>
  <si>
    <t>Plan de scalabilité technique</t>
  </si>
  <si>
    <t>Les technologies sont flexibles et peuvent être adaptées aux nouveaux besoins ?</t>
  </si>
  <si>
    <t>Plan de gestion de la croissance inexistant.</t>
  </si>
  <si>
    <t>Obsolescence rapide, entraînant des coûts de remplacement élevés.</t>
  </si>
  <si>
    <t>Stratégie de gestion de la croissance</t>
  </si>
  <si>
    <t>Les technologies sont flexibles et peuvent être adaptées aux nouveaux besoins</t>
  </si>
  <si>
    <t>Analyse de capacité de montée en charge</t>
  </si>
  <si>
    <t>Un plan de gestion de la croissance est en place ?</t>
  </si>
  <si>
    <t>Technologies ne supportant pas l'augmentation des utilisateurs et des données.</t>
  </si>
  <si>
    <t>Rapport de performance évolutive</t>
  </si>
  <si>
    <t>Un plan de gestion de la croissance est en place</t>
  </si>
  <si>
    <t>Étude de compatibilité technologique</t>
  </si>
  <si>
    <t>Les technologies peuvent supporter un nombre croissant d'utilisateurs et de données ?</t>
  </si>
  <si>
    <t>Technologies incompatibles avec les nouvelles technologies.</t>
  </si>
  <si>
    <t>Mettre en place des audits pour évaluer les volumes de données</t>
  </si>
  <si>
    <t>Rapport d'interopérabilité future</t>
  </si>
  <si>
    <t>Développer des plans pour gérer la croissance des données</t>
  </si>
  <si>
    <t>Les technologies peuvent supporter un nombre croissant d'utilisateurs et de données</t>
  </si>
  <si>
    <t>Plan de gestion de la croissance</t>
  </si>
  <si>
    <t>Les technologies sont compatibles avec les nouvelles technologies ?</t>
  </si>
  <si>
    <t>Application non compatible.</t>
  </si>
  <si>
    <t>Incapacité à gérer des volumes de données croissants, entraînant des échecs opérationnels.</t>
  </si>
  <si>
    <t>Mettre en place des audits pour évaluer les difficultés d’utilisation</t>
  </si>
  <si>
    <t>Stratégie d'adaptation aux nouveaux besoins</t>
  </si>
  <si>
    <t>Développer des guides pour documenter les processus d’utilisation</t>
  </si>
  <si>
    <t>Les technologies sont compatibles avec les nouvelles technologies</t>
  </si>
  <si>
    <t>Dossier de veille technologique</t>
  </si>
  <si>
    <t>L'application est compatible avec les autres applications du système ?</t>
  </si>
  <si>
    <t>Application ne respectant pas les normes et standards.</t>
  </si>
  <si>
    <t>Absence de documentation, entraînant des difficultés de maintenance ou d’utilisation.</t>
  </si>
  <si>
    <t>Mettre en place des audits pour évaluer les inefficacités des applications</t>
  </si>
  <si>
    <t>Rapport de prospective et d'innovation</t>
  </si>
  <si>
    <t>Développer des plans pour personnaliser les applications</t>
  </si>
  <si>
    <t>S’assurer que l'application peut s’intégrer dans le système de 
 l’entité</t>
  </si>
  <si>
    <t>L'application est compatible avec les autres applications du système</t>
  </si>
  <si>
    <t>Matrice de compatibilité inter-applicative</t>
  </si>
  <si>
    <t>L'application respecte les normes et standards de l'entité ?</t>
  </si>
  <si>
    <t>Intégration non testée.</t>
  </si>
  <si>
    <t>Incapacité à personnaliser l’application, entraînant une inefficacité.</t>
  </si>
  <si>
    <t>Mettre en place des audits pour évaluer les dépendances aux solutions uniques</t>
  </si>
  <si>
    <t>Rapport d'interopérabilité systémique</t>
  </si>
  <si>
    <t>Développer des plans pour diversifier les solutions en cas de panne</t>
  </si>
  <si>
    <t>L'application respecte les normes et standards de l'entité</t>
  </si>
  <si>
    <t>Référentiel des normes et standards de l'entité</t>
  </si>
  <si>
    <t>L'intégration de l'application est testée ?</t>
  </si>
  <si>
    <t>Application ne pouvant pas échanger des données.</t>
  </si>
  <si>
    <t>Dépendance à une solution unique, entraînant des risques en cas de panne.</t>
  </si>
  <si>
    <t>Mettre en place des audits pour évaluer les adaptations aux changements</t>
  </si>
  <si>
    <t>Dossier de conformité technique</t>
  </si>
  <si>
    <t>Développer des plans pour anticiper les solutions obsolètes</t>
  </si>
  <si>
    <t>L'intégration de l'application est testée</t>
  </si>
  <si>
    <t>Plan de test d'intégration</t>
  </si>
  <si>
    <t>L'application peut échanger des données avec les autres applications ?</t>
  </si>
  <si>
    <t>Intégration non documentée.</t>
  </si>
  <si>
    <t>Incapacité à s’adapter aux changements, entraînant des solutions obsolètes.</t>
  </si>
  <si>
    <t>Rapport de validation d'intégration</t>
  </si>
  <si>
    <t>L'application peut échanger des données avec les autres applications</t>
  </si>
  <si>
    <t>Protocole d'échange de données</t>
  </si>
  <si>
    <t>L'intégration de l'application est documentée ?</t>
  </si>
  <si>
    <t>Application non décomposée en modules indépendants.</t>
  </si>
  <si>
    <t>Absence de tests, entraînant des dysfonctionnements ou des échecs.</t>
  </si>
  <si>
    <t>Mettre en place des audits pour évaluer les modifications des applications</t>
  </si>
  <si>
    <t>Spécification des interfaces d'échange</t>
  </si>
  <si>
    <t>Développer des plans pour moderniser les applications obsolètes</t>
  </si>
  <si>
    <t>L'intégration de l'application est documentée</t>
  </si>
  <si>
    <t>Documentation technique d'intégration</t>
  </si>
  <si>
    <t>L'application est composée de modules indépendants ?</t>
  </si>
  <si>
    <t>Application non indépendante des modules.</t>
  </si>
  <si>
    <t>Incapacité à ajuster ou modifier l’application, entraînant une obsolescence rapide.</t>
  </si>
  <si>
    <t>Cartographie des interfaces</t>
  </si>
  <si>
    <t>Développer des guides pour documenter les processus de maintenance</t>
  </si>
  <si>
    <t>L'application est composée de modules indépendants</t>
  </si>
  <si>
    <t>Modèle de conception modulaire</t>
  </si>
  <si>
    <t>L'application peut être adaptée aux besoins spécifiques de l'entité ?</t>
  </si>
  <si>
    <t>Application non adaptable.</t>
  </si>
  <si>
    <t>Absence de documentation, entraînant des difficultés d’utilisation ou de maintenance.</t>
  </si>
  <si>
    <t>Mettre en place des audits pour évaluer les versions des applications</t>
  </si>
  <si>
    <t>Rapport d'architecture modulaire</t>
  </si>
  <si>
    <t>Développer des plans pour réduire les erreurs d’incohérence</t>
  </si>
  <si>
    <t>L'application peut être adaptée aux besoins spécifiques de l'entité</t>
  </si>
  <si>
    <t>Cahier des charges d'adaptabilité</t>
  </si>
  <si>
    <t>L'adaptation de l'application est testée ?</t>
  </si>
  <si>
    <t>Adaptation non testée.</t>
  </si>
  <si>
    <t>Absence de contrôle des versions, entraînant des erreurs ou des incohérences.</t>
  </si>
  <si>
    <t>Dossier de spécifications d'adaptation</t>
  </si>
  <si>
    <t>Développer des outils pour suivre les erreurs de modification</t>
  </si>
  <si>
    <t>L'adaptation de l'application est testée</t>
  </si>
  <si>
    <t>Rapport de tests d'adaptabilité</t>
  </si>
  <si>
    <t>Les modules peuvent être ajoutés, supprimés ou modifiés sans impacter le reste de l'application ?</t>
  </si>
  <si>
    <t>Les modules ne peuvent pas être ajoutés, supprimés ou modifiés sans impacter le reste de l'application.</t>
  </si>
  <si>
    <t>Perte de traçabilité des modifications, entraînant des erreurs ou des malentendus.</t>
  </si>
  <si>
    <t>Mettre en place des audits pour évaluer les changements historiques</t>
  </si>
  <si>
    <t>Procès-verbal de validation d'adaptation</t>
  </si>
  <si>
    <t>Développer des plans pour retracer les modifications effectuées</t>
  </si>
  <si>
    <t>Les modules peuvent être ajoutés, supprimés ou modifiés sans impacter le reste de l'application</t>
  </si>
  <si>
    <t>Procédure de modification modulaire</t>
  </si>
  <si>
    <t>L'adaptation de l'application est documentée ?</t>
  </si>
  <si>
    <t>Adaptation non documentée.</t>
  </si>
  <si>
    <t>Perte d’historique, entraînant des difficultés à retracer les changements.</t>
  </si>
  <si>
    <t>Mettre en place des audits pour évaluer les malentendus des applications</t>
  </si>
  <si>
    <t>Guide de maintenance modulaire</t>
  </si>
  <si>
    <t>Développer des formations pour clarifier les processus d’utilisation</t>
  </si>
  <si>
    <t>L'adaptation de l'application est documentée</t>
  </si>
  <si>
    <t>Politique de gestion des versions</t>
  </si>
  <si>
    <t>Un système de gestion des versions est en place ?</t>
  </si>
  <si>
    <t>Absence de gestion des versions.</t>
  </si>
  <si>
    <t>Documentation partielle, entraînant des malentendus ou des erreurs.</t>
  </si>
  <si>
    <t>Registre des versions</t>
  </si>
  <si>
    <t>Développer des plans pour réduire les dysfonctionnements des versions</t>
  </si>
  <si>
    <t>S’assurer que l'application significativement version par 
 version</t>
  </si>
  <si>
    <t>Un système de gestion des versions est en place</t>
  </si>
  <si>
    <t>Manuel de suivi des changements</t>
  </si>
  <si>
    <t>Les changements apportés à chaque version sont documentés ?</t>
  </si>
  <si>
    <t>Changements non documentés.</t>
  </si>
  <si>
    <t>Absence de validation des versions, entraînant des dysfonctionnements.</t>
  </si>
  <si>
    <t>Archives des versions historiques</t>
  </si>
  <si>
    <t>Les changements apportés à chaque version sont documentés</t>
  </si>
  <si>
    <t>Procédure d'identification des versions</t>
  </si>
  <si>
    <t>Les anciennes versions sont archivées ?</t>
  </si>
  <si>
    <t>Anciennes versions non archivées.</t>
  </si>
  <si>
    <t>Absence de suivi, entraînant des retards ou des échecs de maintenance.</t>
  </si>
  <si>
    <t>Mettre en place des audits pour évaluer les retards de maintenance</t>
  </si>
  <si>
    <t>Rapport de tests pré-production</t>
  </si>
  <si>
    <t>Développer des plans pour accélérer la résolution des problèmes</t>
  </si>
  <si>
    <t>Les anciennes versions sont archivées</t>
  </si>
  <si>
    <t>Tableau de bord des demandes de maintenance</t>
  </si>
  <si>
    <t>Chaque version de l'application est identifiée et documentée ?</t>
  </si>
  <si>
    <t>Identification et documentation incomplètes.</t>
  </si>
  <si>
    <t>Mauvaise planification des priorités, entraînant des retards ou des inefficacités.</t>
  </si>
  <si>
    <t>Mettre en place des revues régulières pour évaluer les priorités</t>
  </si>
  <si>
    <t>Matrice de priorisation des demandes</t>
  </si>
  <si>
    <t>Développer des outils pour optimiser la gestion des priorités</t>
  </si>
  <si>
    <t>Chaque version de l'application est identifiée et documentée</t>
  </si>
  <si>
    <t>Tableau de suivi des coûts de maintenance</t>
  </si>
  <si>
    <t>Les versions sont testées avant leur mise en production ?</t>
  </si>
  <si>
    <t>Versions non testées.</t>
  </si>
  <si>
    <t>Absence de suivi des coûts, entraînant des dépassements budgétaires.</t>
  </si>
  <si>
    <t>Mettre en place des audits pour évaluer les coûts des projets</t>
  </si>
  <si>
    <t>Analyse statistique des demandes</t>
  </si>
  <si>
    <t>Développer des plans pour optimiser les dépenses budgétaires</t>
  </si>
  <si>
    <t>Les versions sont testées avant leur mise en production</t>
  </si>
  <si>
    <t>Rapport d'analyse des tendances de maintenance</t>
  </si>
  <si>
    <t>Le nombre de demandes de maintenance est suivi ?</t>
  </si>
  <si>
    <t>Suivi des demandes de maintenance inexistant.</t>
  </si>
  <si>
    <t>Décisions mal informées, entraînant des erreurs stratégiques.</t>
  </si>
  <si>
    <t>Tableau de bord des délais de résolution</t>
  </si>
  <si>
    <t>Développer des outils pour améliorer la prise de décision stratégique</t>
  </si>
  <si>
    <t>Vérifier que le volume des demandes de maintenance évolutive 
 est acceptable et cohérent avec l’utilisation de l’application</t>
  </si>
  <si>
    <t>Le nombre de demandes de maintenance est suivi</t>
  </si>
  <si>
    <t>Référentiel des compétences de maintenance</t>
  </si>
  <si>
    <t>Les demandes de maintenance sont priorisées ?</t>
  </si>
  <si>
    <t>Priorisation inexistante.</t>
  </si>
  <si>
    <t>Résolution tardive des problèmes, entraînant des interruptions prolongées.</t>
  </si>
  <si>
    <t>Mettre en place des audits pour évaluer les interruptions prolongées</t>
  </si>
  <si>
    <t>Développer des plans pour réduire les impacts des interruptions</t>
  </si>
  <si>
    <t>Les demandes de maintenance sont priorisées</t>
  </si>
  <si>
    <t>Charte d'autonomie de l'équipe</t>
  </si>
  <si>
    <t>Le coût de la maintenance est suivi ?</t>
  </si>
  <si>
    <t>Suivi des coûts inexistant.</t>
  </si>
  <si>
    <t>Manque de compétences, entraînant des erreurs ou des inefficacités.</t>
  </si>
  <si>
    <t>Mettre en place des audits pour évaluer les compétences des équipes</t>
  </si>
  <si>
    <t>Matrice des habilitations</t>
  </si>
  <si>
    <t>Développer des formations pour améliorer les compétences critiques</t>
  </si>
  <si>
    <t>Le coût de la maintenance est suivi</t>
  </si>
  <si>
    <t>Guide des processus décisionnels</t>
  </si>
  <si>
    <t>Les demandes de maintenance sont analysées pour identifier les tendances ?</t>
  </si>
  <si>
    <t>Absence d’autonomie, entraînant une dépendance excessive à des tiers.</t>
  </si>
  <si>
    <t>Mettre en place des audits pour évaluer les dépendances aux tiers</t>
  </si>
  <si>
    <t>Baromètre de motivation de l'équipe</t>
  </si>
  <si>
    <t>Développer des plans pour réduire les dépendances excessives</t>
  </si>
  <si>
    <t>Les demandes de maintenance sont analysées pour identifier les tendances</t>
  </si>
  <si>
    <t>Plan d'engagement et de reconnaissance</t>
  </si>
  <si>
    <t>Les demandes de maintenance sont résolues dans un délai raisonnable ?</t>
  </si>
  <si>
    <t>Résolution tardive.</t>
  </si>
  <si>
    <t>Manque d’implication, entraînant des retards ou des échecs.</t>
  </si>
  <si>
    <t>Mettre en place des audits pour évaluer les retards des projets</t>
  </si>
  <si>
    <t>Inventaire des outils de maintenance</t>
  </si>
  <si>
    <t>Les demandes de maintenance sont résolues dans un délai raisonnable</t>
  </si>
  <si>
    <t>Matrice des ressources disponibles</t>
  </si>
  <si>
    <t>L'équipe de maintenance dispose des compétences nécessaires ?</t>
  </si>
  <si>
    <t>Compétences inadéquates.</t>
  </si>
  <si>
    <t>Manque de ressources, entraînant des retards ou des échecs opérationnels.</t>
  </si>
  <si>
    <t>Mettre en place des audits pour évaluer les ressources disponibles</t>
  </si>
  <si>
    <t>Plan de formation technologique</t>
  </si>
  <si>
    <t>Vérifier que structure en charge de la maintenance est 
 autonome et compétente</t>
  </si>
  <si>
    <t>L'équipe de maintenance dispose des compétences nécessaires</t>
  </si>
  <si>
    <t>Programme de veille technologique</t>
  </si>
  <si>
    <t>L'équipe de maintenance est autonome et peut prendre des décisions ?</t>
  </si>
  <si>
    <t>Autonomie inexistante.</t>
  </si>
  <si>
    <t>Manque de formation, entraînant des erreurs ou une adoption inefficace.</t>
  </si>
  <si>
    <t>Mettre en place des audits pour évaluer les erreurs d’adoption</t>
  </si>
  <si>
    <t>Référentiel des compétences émergentes</t>
  </si>
  <si>
    <t>Développer des formations pour améliorer l’adoption des outils</t>
  </si>
  <si>
    <t>L'équipe de maintenance est autonome et peut prendre des décisions</t>
  </si>
  <si>
    <t>Dossier de qualification technique</t>
  </si>
  <si>
    <t>L'équipe de maintenance est motivée et engagée ?</t>
  </si>
  <si>
    <t>Motivation et engagement absents.</t>
  </si>
  <si>
    <t>Absence d’évaluation, entraînant des risques non anticipés.</t>
  </si>
  <si>
    <t>Mettre en place des audits pour évaluer les risques non anticipés</t>
  </si>
  <si>
    <t>Rapport d'évaluation des compétences</t>
  </si>
  <si>
    <t>Développer des plans pour anticiper les risques potentiels</t>
  </si>
  <si>
    <t>L'équipe de maintenance est motivée et engagée</t>
  </si>
  <si>
    <t>Stratégie de montée en compétences</t>
  </si>
  <si>
    <t>L'équipe de maintenance a accès aux outils et ressources nécessaires ?</t>
  </si>
  <si>
    <t>Outils et ressources manquants.</t>
  </si>
  <si>
    <t>Manque de compétences internes, entraînant des dépendances externes coûteuses.</t>
  </si>
  <si>
    <t>Mettre en place des audits pour évaluer les dépendances externes</t>
  </si>
  <si>
    <t>Plan de gestion des connaissances</t>
  </si>
  <si>
    <t>Développer des plans pour réduire les coûts externes</t>
  </si>
  <si>
    <t>L'équipe de maintenance a accès aux outils et ressources nécessaires</t>
  </si>
  <si>
    <t>Matrice des risques de maintenance</t>
  </si>
  <si>
    <t>L'équipe de maintenance est formée aux nouvelles technologies ?</t>
  </si>
  <si>
    <t>Formation aux nouvelles technologies absente.</t>
  </si>
  <si>
    <t>Absence de support à long terme, entraînant des interruptions ou des échecs.</t>
  </si>
  <si>
    <t>Mettre en place des audits pour évaluer le support à long terme</t>
  </si>
  <si>
    <t>Tableau de bord des indicateurs de performance</t>
  </si>
  <si>
    <t>Développer des plans pour assurer un support durable</t>
  </si>
  <si>
    <t>L'équipe de maintenance est formée aux nouvelles technologies</t>
  </si>
  <si>
    <t>Rapport d'amélioration continue</t>
  </si>
  <si>
    <t>Avez-vous réalisé une évaluation documentée et exhaustive des risques potentiels liés à votre dépendance technologique ?</t>
  </si>
  <si>
    <t>Évaluation des risques inexistante.</t>
  </si>
  <si>
    <t>Absence de plan de transfert, entraînant des interruptions lors des transitions.</t>
  </si>
  <si>
    <t>Mettre en place des audits pour évaluer les transitions des projets</t>
  </si>
  <si>
    <t>Dossier de prospective et d'innovation</t>
  </si>
  <si>
    <t>Développer des plans pour gérer les interruptions des transitions</t>
  </si>
  <si>
    <t>S’assurer que le niveau de dépendance vis-à-vis de la structure 
 de développement de l’application est acceptable</t>
  </si>
  <si>
    <t>Évaluation documentée des risques liés à la dépendance</t>
  </si>
  <si>
    <t>Matrice d'analyse des risques de dépendance</t>
  </si>
  <si>
    <t>Votre organisation dispose-t-elle de compétences internes suffisantes pour assurer la maintenance corrective et évolutive de votre solution ?</t>
  </si>
  <si>
    <t>Compétences internes insuffisantes.</t>
  </si>
  <si>
    <t>Absence de solutions alternatives, entraînant une dépendance risquée.</t>
  </si>
  <si>
    <t>Mettre en place des audits pour évaluer les solutions alternatives</t>
  </si>
  <si>
    <t>Rapport d'évaluation des vulnérabilités</t>
  </si>
  <si>
    <t>Développer des plans pour diversifier les solutions disponibles</t>
  </si>
  <si>
    <t>Existence de compétences internes pour la maintenance corrective et évolutive</t>
  </si>
  <si>
    <t>Référentiel des compétences internes de maintenance</t>
  </si>
  <si>
    <t>Les clauses contractuelles actuelles garantissent-elles un support technique et fonctionnel à long terme ?</t>
  </si>
  <si>
    <t>Support technique et fonctionnel non garanti à long terme.</t>
  </si>
  <si>
    <t>Mauvaise réputation, entraînant une perte de confiance ou de clients.</t>
  </si>
  <si>
    <t>Mettre en place des audits pour évaluer la confiance des clients</t>
  </si>
  <si>
    <t>Plan de développement des compétences correctives</t>
  </si>
  <si>
    <t>Développer des plans pour améliorer la satisfaction des clients</t>
  </si>
  <si>
    <t>Clauses contractuelles garantissant un support à long terme</t>
  </si>
  <si>
    <t>Cartographie des compétences évolutives</t>
  </si>
  <si>
    <t>Existe-t-il un plan formel et détaillé de transfert de connaissances entre le fournisseur et votre équipe ?</t>
  </si>
  <si>
    <t>Plan de transfert inexistant.</t>
  </si>
  <si>
    <t>Instabilité financière, entraînant des difficultés à maintenir les opérations.</t>
  </si>
  <si>
    <t>Mettre en place des audits pour évaluer les difficultés financières</t>
  </si>
  <si>
    <t>Modèle de clause de support à long terme</t>
  </si>
  <si>
    <t>Développer des plans pour stabiliser les opérations financières</t>
  </si>
  <si>
    <t>Plan de transfert de connaissances formalisé</t>
  </si>
  <si>
    <t>Contrat de garantie de maintenance</t>
  </si>
  <si>
    <t>Avez-vous identifié et qualifié des prestataires alternatifs capables de prendre le relais en cas de défaillance de votre fournisseur principal ?</t>
  </si>
  <si>
    <t>Prestataires alternatifs non identifiés.</t>
  </si>
  <si>
    <t>Engagements non tenus, entraînant des litiges ou une perte de crédibilité.</t>
  </si>
  <si>
    <t>Mettre en place des audits pour évaluer les litiges potentiels</t>
  </si>
  <si>
    <t>Plan de transfert de connaissances</t>
  </si>
  <si>
    <t>Développer des plans pour réduire les risques de litiges</t>
  </si>
  <si>
    <t>Possibilité de recours à des prestataires alternatifs en cas de défaillance</t>
  </si>
  <si>
    <t>Procédure de transmission des savoirs</t>
  </si>
  <si>
    <t>L'éditeur a une bonne réputation sur le marché ?</t>
  </si>
  <si>
    <t>L'éditeur n'a pas une bonne réputation sur le marché.</t>
  </si>
  <si>
    <t>Insatisfaction des clients, entraînant une perte de fidélité ou de revenus.</t>
  </si>
  <si>
    <t>Mettre en place des audits pour évaluer la fidélité des clients</t>
  </si>
  <si>
    <t>Étude de marché des prestataires alternatifs</t>
  </si>
  <si>
    <t>S’assurer que l’éditeur de l’application a des références 
 indiscutables</t>
  </si>
  <si>
    <t>L'éditeur a une bonne réputation sur le marché</t>
  </si>
  <si>
    <t>Matrice d'évaluation des fournisseurs potentiels</t>
  </si>
  <si>
    <t>L'éditeur a une situation financière stable ?</t>
  </si>
  <si>
    <t>L'éditeur n'a pas de situation financière stable.</t>
  </si>
  <si>
    <t>Incertitude sur l’avenir de l’application, entraînant des hésitations ou des abandons.</t>
  </si>
  <si>
    <t>Mettre en place des audits pour évaluer les hésitations des applications</t>
  </si>
  <si>
    <t>Dossier de continuité de service</t>
  </si>
  <si>
    <t>Développer des plans pour stabiliser les performances des applications</t>
  </si>
  <si>
    <t>L'éditeur a une situation financière stable</t>
  </si>
  <si>
    <t>Analyse de réputation de l'éditeur</t>
  </si>
  <si>
    <t>L'éditeur est engagé dans le développement de l'application ?</t>
  </si>
  <si>
    <t>Éditeur non engagé.</t>
  </si>
  <si>
    <t>Absence de processus, entraînant des retards ou des erreurs.</t>
  </si>
  <si>
    <t>Mettre en place des audits pour évaluer les retards des processus</t>
  </si>
  <si>
    <t>Rapport de benchmark éditeur</t>
  </si>
  <si>
    <t>L'éditeur est engagé dans le développement de l'application</t>
  </si>
  <si>
    <t>Étude financière de l'éditeur</t>
  </si>
  <si>
    <t>L'éditeur a des clients satisfaits ?</t>
  </si>
  <si>
    <t>Clients insatisfaits.</t>
  </si>
  <si>
    <t>Absence de tests, entraînant des erreurs ou des dysfonctionnements.</t>
  </si>
  <si>
    <t>Analyse de stabilité financière</t>
  </si>
  <si>
    <t>L'éditeur a des clients satisfaits</t>
  </si>
  <si>
    <t>Dossier de stratégie de développement</t>
  </si>
  <si>
    <t>L'éditeur a une vision claire de l'avenir de l'application ?</t>
  </si>
  <si>
    <t>Vision d'avenir de l'application incertaine.</t>
  </si>
  <si>
    <t>Manque d’information, entraînant des malentendus ou des erreurs.</t>
  </si>
  <si>
    <t>Feuille de route de l'éditeur</t>
  </si>
  <si>
    <t>L'éditeur a une vision claire de l'avenir de l'application</t>
  </si>
  <si>
    <t>Rapport de satisfaction clients</t>
  </si>
  <si>
    <t>Un processus de mise à jour du progiciel est en place ?</t>
  </si>
  <si>
    <t>Mises à jour irrégulières, entraînant des dysfonctionnements ou des retards.</t>
  </si>
  <si>
    <t>Mettre en place des audits pour évaluer les mises à jour irrégulières</t>
  </si>
  <si>
    <t>Étude de référencement client</t>
  </si>
  <si>
    <t>Développer des plans pour réduire les dysfonctionnements des mises à jour</t>
  </si>
  <si>
    <t>S’assurer que la version du progiciel installée dans 
 l’organisation est la plus récente</t>
  </si>
  <si>
    <t>Un processus de mise à jour du progiciel est en place</t>
  </si>
  <si>
    <t>Document de vision prospective</t>
  </si>
  <si>
    <t>Les mises à jour sont testées avant leur mise en production ?</t>
  </si>
  <si>
    <t>Mises à jour non testées.</t>
  </si>
  <si>
    <t>Absence de documentation, entraînant des difficultés de suivi ou de maintenance.</t>
  </si>
  <si>
    <t>Stratégie de développement long terme</t>
  </si>
  <si>
    <t>Les mises à jour sont testées avant leur mise en production</t>
  </si>
  <si>
    <t>Politique de mise à jour</t>
  </si>
  <si>
    <t>Les utilisateurs sont informés des mises à jour ?</t>
  </si>
  <si>
    <t>Utilisateurs non informés.</t>
  </si>
  <si>
    <t>Procédure de test des mises à jour</t>
  </si>
  <si>
    <t>Les utilisateurs sont informés des mises à jour</t>
  </si>
  <si>
    <t>Plan de communication des mises à jour</t>
  </si>
  <si>
    <t>Les mises à jour sont installées régulièrement ?</t>
  </si>
  <si>
    <t>Mises à jour irrégulières.</t>
  </si>
  <si>
    <t>Calendrier des mises à jour</t>
  </si>
  <si>
    <t>Les mises à jour sont installées régulièrement</t>
  </si>
  <si>
    <t>Les mises à jour sont documentées ?</t>
  </si>
  <si>
    <t>Mises à jour non documentées.</t>
  </si>
  <si>
    <t>Guide de documentation des mises à jour</t>
  </si>
  <si>
    <t>Les mises à jour sont documentées</t>
  </si>
  <si>
    <t>Référentiel des développements spécifiques</t>
  </si>
  <si>
    <t>Les développements spécifiques sont documentés ?</t>
  </si>
  <si>
    <t>Développements spécifiques non documentés.</t>
  </si>
  <si>
    <t>Mettre en place des audits pour évaluer les fonctionnalités manquantes</t>
  </si>
  <si>
    <t>Cahier des charges des développements</t>
  </si>
  <si>
    <t>Développer des plans pour intégrer les fonctionnalités nécessaires</t>
  </si>
  <si>
    <t>S’assurer que les développements spécifiques sont bien suivis</t>
  </si>
  <si>
    <t>Les développements spécifiques sont documentés</t>
  </si>
  <si>
    <t>Matrice de compatibilité des développements</t>
  </si>
  <si>
    <t>Les développements spécifiques sont intégrés dans la version standard de l'application ?</t>
  </si>
  <si>
    <t>Développements spécifiques non intégrés.</t>
  </si>
  <si>
    <t>Absence de développements spécifiques, entraînant des fonctionnalités manquantes ou inadaptées.</t>
  </si>
  <si>
    <t>Plan d'intégration des développements</t>
  </si>
  <si>
    <t>Développer des outils pour réduire les dysfonctionnements des systèmes</t>
  </si>
  <si>
    <t>Les développements spécifiques sont intégrés dans la version standard de l'application</t>
  </si>
  <si>
    <t>Rapport de test des développements</t>
  </si>
  <si>
    <t>Les développements spécifiques sont compatibles avec les mises à jour du progiciel ?</t>
  </si>
  <si>
    <t>Développements spécifiques incompatibles.</t>
  </si>
  <si>
    <t>Incompatibilité des développements, entraînant des dysfonctionnements ou des échecs d’intégration.</t>
  </si>
  <si>
    <t>Procédure de maintenance des développements</t>
  </si>
  <si>
    <t>Les développements spécifiques sont compatibles avec les mises à jour du progiciel</t>
  </si>
  <si>
    <t>Dossier d'adhésion au club utilisateurs</t>
  </si>
  <si>
    <t>Les développements spécifiques sont testés ?</t>
  </si>
  <si>
    <t>Développements spécifiques non testés.</t>
  </si>
  <si>
    <t>Mettre en place des audits pour évaluer les pannes des applications</t>
  </si>
  <si>
    <t>Compte-rendu des contributions</t>
  </si>
  <si>
    <t>Les développements spécifiques sont testés</t>
  </si>
  <si>
    <t>Rapport d'influence sur le progiciel</t>
  </si>
  <si>
    <t>Les développements spécifiques sont maintenus ?</t>
  </si>
  <si>
    <t>Développements spécifiques non maintenus.</t>
  </si>
  <si>
    <t>Absence de maintenance, entraînant une obsolescence rapide ou des pannes.</t>
  </si>
  <si>
    <t>Mettre en place des audits pour évaluer la coordination des équipes</t>
  </si>
  <si>
    <t>Planning des réunions du club</t>
  </si>
  <si>
    <t>Développer des plans pour améliorer la communication entre les équipes</t>
  </si>
  <si>
    <t>Les développements spécifiques sont maintenus</t>
  </si>
  <si>
    <t>Registre des échanges et informations</t>
  </si>
  <si>
    <t>L'entité est membre d'un club utilisateurs actif ?</t>
  </si>
  <si>
    <t>Entité non membre.</t>
  </si>
  <si>
    <t>Entité non intégrée, entraînant une mauvaise coordination ou des malentendus.</t>
  </si>
  <si>
    <t>Mettre en place des audits pour évaluer la valeur ajoutée des projets</t>
  </si>
  <si>
    <t>Analyse des retours du club utilisateurs</t>
  </si>
  <si>
    <t>Développer des indicateurs pour mesurer l’impact des projets</t>
  </si>
  <si>
    <t>L'entité est membre d'un club utilisateurs actif</t>
  </si>
  <si>
    <t>Stratégie de participation active</t>
  </si>
  <si>
    <t>L'entité contribue aux discussions du club utilisateurs ?</t>
  </si>
  <si>
    <t>Entité ne contribuant pas.</t>
  </si>
  <si>
    <t>Absence de contribution, entraînant un manque de valeur ajoutée ou d’impact.</t>
  </si>
  <si>
    <t>Mettre en place des audits pour évaluer la prise en compte des projets</t>
  </si>
  <si>
    <t>Tableau de bord des interactions</t>
  </si>
  <si>
    <t>Développer des plans pour améliorer l’engagement des équipes</t>
  </si>
  <si>
    <t>L'entité contribue aux discussions du club utilisateurs</t>
  </si>
  <si>
    <t>L'entité influence l'évolution du progiciel ?</t>
  </si>
  <si>
    <t>Entité n'influençant pas.</t>
  </si>
  <si>
    <t>Manque d’influence, entraînant une marginalisation ou un manque de prise en compte.</t>
  </si>
  <si>
    <t>Développer des plans pour optimiser les bénéfices des projets</t>
  </si>
  <si>
    <t>L'entité influence l'évolution du progiciel</t>
  </si>
  <si>
    <t>Matrice des opportunités d'évolution</t>
  </si>
  <si>
    <t>L'entité participe aux réunions du club utilisateurs ?</t>
  </si>
  <si>
    <t>Entité ne participant pas.</t>
  </si>
  <si>
    <t>Non-participation, entraînant un manque d’engagement ou de collaboration.</t>
  </si>
  <si>
    <t>Plan de positionnement stratégique</t>
  </si>
  <si>
    <t>L'entité participe aux réunions du club utilisateurs</t>
  </si>
  <si>
    <t>Étude comparative des versions</t>
  </si>
  <si>
    <t>L'entité bénéficie des informations et des échanges du club utilisateurs ?</t>
  </si>
  <si>
    <t>Entité ne bénéficiant pas.</t>
  </si>
  <si>
    <t>Absence de bénéfices, entraînant un retour sur investissement nul ou négatif.</t>
  </si>
  <si>
    <t>Mettre en place des audits pour évaluer les attentes non satisfaites</t>
  </si>
  <si>
    <t>Analyse des tendances du marché</t>
  </si>
  <si>
    <t>Développer des plans pour aligner les prestations sur les attentes</t>
  </si>
  <si>
    <t>L'entité bénéficie des informations et des échanges du club utilisateurs</t>
  </si>
  <si>
    <t>Rapport de prospective technologique</t>
  </si>
  <si>
    <t>Un contrat de maintenance est en place ?</t>
  </si>
  <si>
    <t>Contrat inexistant.</t>
  </si>
  <si>
    <t>Absence de contrat, entraînant des ambiguïtés ou des litiges.</t>
  </si>
  <si>
    <t>Mettre en place des audits pour évaluer les prestations inadéquates</t>
  </si>
  <si>
    <t>Dossier de stratégie d'innovation</t>
  </si>
  <si>
    <t>Développer des plans pour améliorer la qualité des prestations</t>
  </si>
  <si>
    <t>S’assurer que l’entité a un contrat de maintenance avec 
 l’éditeur</t>
  </si>
  <si>
    <t>Un contrat de maintenance est en place</t>
  </si>
  <si>
    <t>Contrat de maintenance cadre</t>
  </si>
  <si>
    <t>Le contrat de maintenance définit les niveaux de service ?</t>
  </si>
  <si>
    <t>Niveaux de service non définis.</t>
  </si>
  <si>
    <t>Niveau de service mal défini, entraînant des attentes non satisfaites ou des échecs de prestation.</t>
  </si>
  <si>
    <t>Mettre en place des audits pour évaluer les conflits potentiels</t>
  </si>
  <si>
    <t>Annexe des niveaux de service</t>
  </si>
  <si>
    <t>Développer des plans pour clarifier les responsabilités des équipes</t>
  </si>
  <si>
    <t>Le contrat de maintenance définit les niveaux de service</t>
  </si>
  <si>
    <t>Rapport périodique de revue contractuelle</t>
  </si>
  <si>
    <t>Le contrat de maintenance est régulièrement revu ?</t>
  </si>
  <si>
    <t>Contrat non revu.</t>
  </si>
  <si>
    <t>Absence de contrat, entraînant des incertitudes juridiques ou des litiges.</t>
  </si>
  <si>
    <t>Catalogue des services couverts</t>
  </si>
  <si>
    <t>Développer des plans pour réduire les désalignements des équipes</t>
  </si>
  <si>
    <t>Le contrat de maintenance est régulièrement revu</t>
  </si>
  <si>
    <t>Matrice des responsabilités contractuelles</t>
  </si>
  <si>
    <t>Le contrat de maintenance définit les services couverts ?</t>
  </si>
  <si>
    <t>Services non définis.</t>
  </si>
  <si>
    <t>Services mal définis, entraînant des prestations inadéquates ou des malentendus.</t>
  </si>
  <si>
    <t>Mettre en place des audits pour évaluer les retards de gestion</t>
  </si>
  <si>
    <t>Calendrier contractuel des échéances</t>
  </si>
  <si>
    <t>Développer des plans pour standardiser les processus de suivi</t>
  </si>
  <si>
    <t>Le contrat de maintenance définit les services couverts</t>
  </si>
  <si>
    <t>Procédure de suivi des paiements</t>
  </si>
  <si>
    <t>Le contrat de maintenance définit les responsabilités des parties ?</t>
  </si>
  <si>
    <t>Responsabilités non définies.</t>
  </si>
  <si>
    <t>Responsabilités floues, entraînant des conflits ou des retards.</t>
  </si>
  <si>
    <t>Mettre en place des audits pour évaluer les décisions contestées</t>
  </si>
  <si>
    <t>Processus de relance contractuelle</t>
  </si>
  <si>
    <t>Développer des plans pour justifier les décisions prises</t>
  </si>
  <si>
    <t>Le contrat de maintenance définit les responsabilités des parties</t>
  </si>
  <si>
    <t>Registre des justificatifs de paiement</t>
  </si>
  <si>
    <t>Avez-vous un calendrier contractuel précis et exhaustif détaillant l'ensemble des échéances de paiement ?</t>
  </si>
  <si>
    <t>Calendrier contractuel inexistant.</t>
  </si>
  <si>
    <t>Absence de calendrier contractuel, entraînant des retards ou des désalignements.</t>
  </si>
  <si>
    <t>Mettre en place des audits pour évaluer les problèmes tardifs</t>
  </si>
  <si>
    <t>Tableau de bord des alertes financières</t>
  </si>
  <si>
    <t>Développer des plans pour améliorer la détection des problèmes</t>
  </si>
  <si>
    <t>S’assurer que les redevances de maintenance sont payées dans 
 les délais</t>
  </si>
  <si>
    <t>Existence d’un calendrier contractuel des échéances de paiement</t>
  </si>
  <si>
    <t>Rapport de revue financière trimestriel</t>
  </si>
  <si>
    <t>Votre processus de suivi et de relance des paiements est-il formalisé et efficace ?</t>
  </si>
  <si>
    <t>Processus de suivi inexistant.</t>
  </si>
  <si>
    <t>Absence de processus de suivi, entraînant des dérives ou des échecs de gestion.</t>
  </si>
  <si>
    <t>Mettre en place des audits pour évaluer le contrôle des projets</t>
  </si>
  <si>
    <t>Historique des paiements de maintenance</t>
  </si>
  <si>
    <t>Développer des plans pour améliorer les revues des projets</t>
  </si>
  <si>
    <t>Mise en place d’un processus de suivi et de relance des paiements</t>
  </si>
  <si>
    <t>Matrice de résolution des problèmes de paiement</t>
  </si>
  <si>
    <t>Comment archivez-vous et rendez-vous accessibles les justificatifs de paiement ?</t>
  </si>
  <si>
    <t>Justificatifs inaccessibles.</t>
  </si>
  <si>
    <t>Justifications insuffisantes, entraînant des décisions contestées ou mal comprises.</t>
  </si>
  <si>
    <t>Mettre en place des audits pour évaluer les ambiguïtés des projets</t>
  </si>
  <si>
    <t>Tableau de suivi du respect des clauses</t>
  </si>
  <si>
    <t>Développer des plans pour clarifier les termes des projets</t>
  </si>
  <si>
    <t>Justificatifs de paiement archivés et accessibles</t>
  </si>
  <si>
    <t>Rapport de conformité contractuelle</t>
  </si>
  <si>
    <t>Disposez-vous d'un système d'alerte fiable en cas de retard ou défaut de paiement ?</t>
  </si>
  <si>
    <t>Système d'alerte non fiable.</t>
  </si>
  <si>
    <t>Système d’alerte défaillant, entraînant une détection tardive des problèmes.</t>
  </si>
  <si>
    <t>Tableau de bord des paiements</t>
  </si>
  <si>
    <t>Alertes en cas de retard ou de défaut de paiement</t>
  </si>
  <si>
    <t>Calendrier de renouvellement des contrats</t>
  </si>
  <si>
    <t>Réalisez-vous des revues périodiques approfondies des engagements financiers avec le fournisseur ?</t>
  </si>
  <si>
    <t>Revues non réalisées.</t>
  </si>
  <si>
    <t>Absence de revues, entraînant un manque de contrôle ou d’amélioration continue.</t>
  </si>
  <si>
    <t>Procédure de renouvellement contractuel</t>
  </si>
  <si>
    <t>Revue périodique des engagements financiers avec le fournisseur</t>
  </si>
  <si>
    <t>Politique de montée de version</t>
  </si>
  <si>
    <t>Une clause d'Escrow Agreement est présente dans le contrat ?</t>
  </si>
  <si>
    <t>Clause non présente.</t>
  </si>
  <si>
    <t>Clause absente, entraînant des ambiguïtés ou des litiges.</t>
  </si>
  <si>
    <t>Procédure de gestion des montées de version</t>
  </si>
  <si>
    <t>S’assurer qu’une clause dite d’ « Escrow Agreement » est 
 présente dans le contrat</t>
  </si>
  <si>
    <t>Les redevances de maintenance sont payées dans les délais</t>
  </si>
  <si>
    <t>Rapport de documentation des montées</t>
  </si>
  <si>
    <t>La clause protège les intérêts de l'entité en cas de défaillance de l'éditeur ?</t>
  </si>
  <si>
    <t>Clause ne protégeant pas.</t>
  </si>
  <si>
    <t>Clause non protectrice, entraînant des risques juridiques ou financiers.</t>
  </si>
  <si>
    <t>Mettre en place des audits pour évaluer les risques juridiques</t>
  </si>
  <si>
    <t>Dossier de tests de montée de version</t>
  </si>
  <si>
    <t>Développer des politiques pour protéger les aspects financiers</t>
  </si>
  <si>
    <t>Les problèmes de paiement sont résolus rapidement</t>
  </si>
  <si>
    <t>Plan de communication des montées</t>
  </si>
  <si>
    <t>Les conditions de la clause sont respectées ?</t>
  </si>
  <si>
    <t>Conditions non respectées.</t>
  </si>
  <si>
    <t>Conditions non respectées, entraînant des litiges ou des pénalités.</t>
  </si>
  <si>
    <t>Rapport de validation pré-production</t>
  </si>
  <si>
    <t>Développer des plans pour réduire les risques de pénalités</t>
  </si>
  <si>
    <t>Les conditions de la clause sont respectées</t>
  </si>
  <si>
    <t>Matrice d'impact des montées de version</t>
  </si>
  <si>
    <t>La clause définit les conditions de libération du code source ?</t>
  </si>
  <si>
    <t>Conditions non définies.</t>
  </si>
  <si>
    <t>Conditions mal définies, entraînant des malentendus ou des échecs d’exécution.</t>
  </si>
  <si>
    <t>Mettre en place des audits pour évaluer les malentendus d’exécution</t>
  </si>
  <si>
    <t>Procès-verbal de mise en production</t>
  </si>
  <si>
    <t>Développer des plans pour clarifier les attentes d’exécution</t>
  </si>
  <si>
    <t>Un suivi des paiements est réalisé</t>
  </si>
  <si>
    <t>Dossier de communication utilisateurs</t>
  </si>
  <si>
    <t>La clause est régulièrement revue ?</t>
  </si>
  <si>
    <t>Clause non revue.</t>
  </si>
  <si>
    <t>Clause non revue, entraînant des risques juridiques ou des engagements non tenus.</t>
  </si>
  <si>
    <t>Mettre en place des audits pour évaluer les engagements non tenus</t>
  </si>
  <si>
    <t>Document de pérennité du progiciel</t>
  </si>
  <si>
    <t>Développer des plans pour réviser les clauses des engagements</t>
  </si>
  <si>
    <t>Les contrats de maintenance sont renouvelés à temps</t>
  </si>
  <si>
    <t>Analyse de la trajectoire stratégique</t>
  </si>
  <si>
    <t>Un processus de montée de version est en place ?</t>
  </si>
  <si>
    <t>Processus inexistant.</t>
  </si>
  <si>
    <t>Rapport d'évaluation de la soutenabilité</t>
  </si>
  <si>
    <t>Un processus de montée de version est en place</t>
  </si>
  <si>
    <t>Matrice d'influence sur le progiciel</t>
  </si>
  <si>
    <t>Les montées de version sont documentées ?</t>
  </si>
  <si>
    <t>Montées de version non documentées.</t>
  </si>
  <si>
    <t>Dossier de stratégie long terme de l'éditeur</t>
  </si>
  <si>
    <t>Les montées de version sont documentées</t>
  </si>
  <si>
    <t>Compte-rendu des comités stratégiques</t>
  </si>
  <si>
    <t>Les montées de version se déroulent sans problème majeur ?</t>
  </si>
  <si>
    <t>Montées de version problématiques.</t>
  </si>
  <si>
    <t>Montées de version problématiques, entraînant des dysfonctionnements ou des interruptions.</t>
  </si>
  <si>
    <t>Rapport de participation communautaire</t>
  </si>
  <si>
    <t>Les montées de version se déroulent sans problème majeur</t>
  </si>
  <si>
    <t>Registre des contributions communautaires</t>
  </si>
  <si>
    <t>Les montées de version sont testées avant leur mise en production ?</t>
  </si>
  <si>
    <t>Montées de version non testées.</t>
  </si>
  <si>
    <t>Les montées de version sont testées avant leur mise en production</t>
  </si>
  <si>
    <t>Analyse comparative des éditeurs</t>
  </si>
  <si>
    <t>Les utilisateurs sont informés des montées de version ?</t>
  </si>
  <si>
    <t>Mettre en place des audits pour évaluer les abandons des logiciels</t>
  </si>
  <si>
    <t>Rapport de positionnement sectoriel</t>
  </si>
  <si>
    <t>Développer des plans pour moderniser les logiciels obsolètes</t>
  </si>
  <si>
    <t>Les utilisateurs sont informés des montées de version</t>
  </si>
  <si>
    <t>Étude prospective du progiciel</t>
  </si>
  <si>
    <t>L'éditeur s'engage sur la pérennité du progiciel ?</t>
  </si>
  <si>
    <t>L'éditeur ne s'engage pas sur la pérennité du progiciel.</t>
  </si>
  <si>
    <t>Manque d’engagement, entraînant une obsolescence rapide ou un abandon du logiciel.</t>
  </si>
  <si>
    <t>Mettre en place des audits pour évaluer les informations disponibles</t>
  </si>
  <si>
    <t>Matrice des risques technologiques</t>
  </si>
  <si>
    <t>Développer des plans pour améliorer l’accès aux informations</t>
  </si>
  <si>
    <t>S’assurer qu’il existe des engagements et ou une visibilité 
 suffisante pour la pérennité du progiciel</t>
  </si>
  <si>
    <t>L'éditeur s'engage sur la pérennité du progiciel</t>
  </si>
  <si>
    <t>Plan de continuité technologique</t>
  </si>
  <si>
    <t>L'entité dispose d'informations suffisantes pour évaluer la pérennité du progiciel ?</t>
  </si>
  <si>
    <t>Informations insuffisantes pour évaluer la pérennité.</t>
  </si>
  <si>
    <t>Informations insuffisantes, entraînant une évaluation erronée ou incomplète.</t>
  </si>
  <si>
    <t>Dossier de gouvernance communautaire</t>
  </si>
  <si>
    <t>L'entité dispose d'informations suffisantes pour évaluer la pérennité du progiciel</t>
  </si>
  <si>
    <t>L'entité a une influence sur l'évolution du progiciel ?</t>
  </si>
  <si>
    <t>Absence d'influence sur l'évolution du progiciel.</t>
  </si>
  <si>
    <t>Manque d’influence, entraînant une marginalisation ou un manque d’impact.</t>
  </si>
  <si>
    <t>Mettre en place des audits pour évaluer l’alignement stratégique</t>
  </si>
  <si>
    <t>Rapport d'influence stratégique</t>
  </si>
  <si>
    <t>Développer des plans pour améliorer la communication stratégique</t>
  </si>
  <si>
    <t>L'entité a une influence sur l'évolution du progiciel</t>
  </si>
  <si>
    <t>Analyse des retours de la communauté</t>
  </si>
  <si>
    <t>L'éditeur communique sur sa stratégie à long terme ?</t>
  </si>
  <si>
    <t>L'éditeur ne communique pas sur sa stratégie à long terme.</t>
  </si>
  <si>
    <t>Absence de communication, entraînant un manque d’alignement stratégique.</t>
  </si>
  <si>
    <t>Mettre en place des audits pour évaluer la cohésion des équipes</t>
  </si>
  <si>
    <t>Document de vision partagée</t>
  </si>
  <si>
    <t>Développer des plans pour améliorer l’impact communautaire</t>
  </si>
  <si>
    <t>L'éditeur communique sur sa stratégie à long terme</t>
  </si>
  <si>
    <t>L'entité est impliquée dans la communauté du progiciel ?</t>
  </si>
  <si>
    <t>L'entité n'est pas impliquée dans la communauté du progiciel.</t>
  </si>
  <si>
    <t>Manque d’implication, entraînant un manque de cohésion ou d’impact communautaire.</t>
  </si>
  <si>
    <t>Organiser ou participer à des initiatives collaboratives au sein de la communauté</t>
  </si>
  <si>
    <t>Rapport de benchmark communautaire</t>
  </si>
  <si>
    <t>Mettre en place une stratégie de communication active pour valoriser son rôle dans la communauté</t>
  </si>
  <si>
    <t>L'entité est impliquée dans la communauté du progiciel</t>
  </si>
  <si>
    <t>Dossier de positionnement stratégique</t>
  </si>
  <si>
    <t>L'entité s'engage activement au sein de la communauté du progiciel?</t>
  </si>
  <si>
    <t>L'entité ne s'engage activement au sein de la communauté du progiciel</t>
  </si>
  <si>
    <t>isolation de l’entité vis-à-vis des évolutions et des bonnes pratiques</t>
  </si>
  <si>
    <t>Participer aux forums, événements et groupes d’utilisateurs du progiciel</t>
  </si>
  <si>
    <t>Synthèse prospective du progiciel</t>
  </si>
  <si>
    <t>Établir un partenariat ou une collaboration avec d’autres utilisateurs du progiciel</t>
  </si>
  <si>
    <t>Objectifs de Contrôle </t>
  </si>
  <si>
    <t>Criteres D'evaluations</t>
  </si>
  <si>
    <t>Questions D'evaluations</t>
  </si>
  <si>
    <t>Documents requis</t>
  </si>
  <si>
    <t>risques</t>
  </si>
  <si>
    <t>Rôle et positionnement de l'informatique dans l'organisation</t>
  </si>
  <si>
    <t>Vérifier qu’ont été créés des Comités « informatique » (stratégique, pilotage,..) regroupant les différentes directions de l’Organisation en charge de recenser les besoins et les opportunités, gérer les priorités et suivre les projets</t>
  </si>
  <si>
    <t>Existence formelle de comités informatiques identifiés dans l’organigramme.</t>
  </si>
  <si>
    <t>Quels comités liés à l'informatique ont été formellement institués dans l'organisation ?</t>
  </si>
  <si>
    <t>Actes de création / chartes / mandats des comités informatiques.</t>
  </si>
  <si>
    <t>Priorisation des projets basée sur des intérêts individuels ou politiques internes.</t>
  </si>
  <si>
    <t>Canaux de partage d'information sur les risques inefficaces ou non sécurisés</t>
  </si>
  <si>
    <t>Contrôles qualité inefficaces</t>
  </si>
  <si>
    <t>Représentativité interdirectionnelle au sein des comités.</t>
  </si>
  <si>
    <t>Quelles directions participent activement à ces comités ?</t>
  </si>
  <si>
    <t>Liste des membres et fonctions par comité.</t>
  </si>
  <si>
    <t>Manque de cohérence entre les besoins métiers et les projets informatiques.</t>
  </si>
  <si>
    <t>Matrice de sélection des contrôles non alignée avec la réalité des risques</t>
  </si>
  <si>
    <t>Erreurs non détectées dans les bases de données</t>
  </si>
  <si>
    <t>Périodicité régulière des réunions avec PV disponibles.</t>
  </si>
  <si>
    <t>À quelle fréquence ces comités se réunissent-ils ?</t>
  </si>
  <si>
    <t>Comptes rendus ou PV de réunions (6 derniers mois).</t>
  </si>
  <si>
    <t>Retards importants dans le déploiement des solutions SI.</t>
  </si>
  <si>
    <t>Calendrier d'évaluation des contrôles non respecté ou irréaliste</t>
  </si>
  <si>
    <t>Identification imprécise des informations critiques</t>
  </si>
  <si>
    <t>Présence d’un ordre du jour traitant les sujets SI prioritaires.</t>
  </si>
  <si>
    <t>Existe-t-il un mécanisme de priorisation des projets SI au sein de ces comités ?</t>
  </si>
  <si>
    <t>Planning des réunions à venir.</t>
  </si>
  <si>
    <t>Budget SI mal alloué ou sous-utilisé.</t>
  </si>
  <si>
    <t>Responsables de contrôles non clairement identifiés ou formés</t>
  </si>
  <si>
    <t>Circuit d'information défaillant</t>
  </si>
  <si>
    <t>Suivi structuré des projets informatiques validé en comité.</t>
  </si>
  <si>
    <t>Comment le comité suit-il l’état d’avancement et les dérives éventuelles des projets ?</t>
  </si>
  <si>
    <t>Tableau de suivi des projets SI validés en comité.</t>
  </si>
  <si>
    <t>Faible implication des directions métiers dans la stratégie numérique.</t>
  </si>
  <si>
    <t>Rapports d'efficacité des contrôles inexistants ou non exploitables</t>
  </si>
  <si>
    <t>Supports de reporting inadaptés</t>
  </si>
  <si>
    <t>Vérifier l’existence d’une charte informatique ou de tout autre 
document définissant le rôle et le périmètre de responsabilité de la 
DSI</t>
  </si>
  <si>
    <t>Un document officiel (charte, note de service, politique SI) existe et est validé.</t>
  </si>
  <si>
    <t>Disposez-vous d’une charte informatique formalisant les rôles de la DSI ?</t>
  </si>
  <si>
    <t>Charte informatique ou politique SI officielle.</t>
  </si>
  <si>
    <t>Ambiguïté des responsabilités entre la DSI et les autres directions.</t>
  </si>
  <si>
    <t>Procédures de correction rapide des failles absentes ou inadéquates</t>
  </si>
  <si>
    <t>Outils collaboratifs mal utilisés</t>
  </si>
  <si>
    <t>Le rôle de la DSI est clairement défini (missions, responsabilités).</t>
  </si>
  <si>
    <t>Qui a validé ce document (DG, comité informatique, etc.) ?</t>
  </si>
  <si>
    <t>Organigramme fonctionnel de la DSI.</t>
  </si>
  <si>
    <t>Difficultés à imposer des règles de sécurité ou de gouvernance IT.</t>
  </si>
  <si>
    <t>Formation du personnel aux contrôles insuffisante ou obsolète</t>
  </si>
  <si>
    <t>Indisponibilité des informations clés</t>
  </si>
  <si>
    <t>Le périmètre d’intervention (applications, infrastructures, sécurité, support) est détaillé.</t>
  </si>
  <si>
    <t>Quelles sont les principales responsabilités de la DSI indiquées dans ce document ?</t>
  </si>
  <si>
    <t>Fiches de poste des responsables SI.</t>
  </si>
  <si>
    <t>Multiplication des projets informatiques non coordonnés.</t>
  </si>
  <si>
    <t>Journal des ajustements opérationnels incomplet ou non tenu à jour</t>
  </si>
  <si>
    <t>Validation subjective des rapports</t>
  </si>
  <si>
    <t>Le document est accessible à tous les collaborateurs concernés.</t>
  </si>
  <si>
    <t>Ce document est-il diffusé à l’ensemble des utilisateurs internes ?</t>
  </si>
  <si>
    <t>Historique des versions ou révisions du document.</t>
  </si>
  <si>
    <t>Incohérence dans la gestion des ressources (humaines, techniques).</t>
  </si>
  <si>
    <t>Synthèses des résultats des contrôles non analysées ou non partagées</t>
  </si>
  <si>
    <t>Critères d'évaluation flous ou absents</t>
  </si>
  <si>
    <t>La charte est mise à jour régulièrement (au moins tous les 2 ans).</t>
  </si>
  <si>
    <t>Quand a eu lieu la dernière mise à jour de cette charte ?</t>
  </si>
  <si>
    <t>Procès-verbal de validation du document par la direction ou un comité.</t>
  </si>
  <si>
    <t>Faible alignement entre la stratégie SI et la stratégie globale de l’organisation.</t>
  </si>
  <si>
    <t>Politique des contrôles IT non formalisée ou non communiquée</t>
  </si>
  <si>
    <t>Historique des validations non tracé</t>
  </si>
  <si>
    <t>Évaluer le degré d’implication et de maîtrise des organes de 
gestion dans les systèmes d’information de l’Organisation</t>
  </si>
  <si>
    <t>L’implication de la direction générale dans les décisions liées aux SI est attestée par des PV ou des décisions stratégiques.</t>
  </si>
  <si>
    <t>Les membres du comité de direction participent-ils activement à la gouvernance des systèmes d’information ?</t>
  </si>
  <si>
    <t>Comptes rendus de comités de pilotage SI.</t>
  </si>
  <si>
    <t>Décalage entre les besoins métiers et les solutions informatiques mises en œuvre.</t>
  </si>
  <si>
    <t>Vérification d'intégrité des systèmes irrégulière ou superficielle</t>
  </si>
  <si>
    <t>Responsabilités de validation mal définies</t>
  </si>
  <si>
    <t>Les SI sont intégrés dans la stratégie globale de l’organisation.</t>
  </si>
  <si>
    <t>Comment la stratégie SI est-elle alignée avec la stratégie de l’organisation ?</t>
  </si>
  <si>
    <t>Plan stratégique de l’organisation incluant un volet SI.</t>
  </si>
  <si>
    <t>Mauvaise priorisation des projets IT, voire gaspillage budgétaire.</t>
  </si>
  <si>
    <t>Couverture des infrastructures critiques incomplète ou obsolète</t>
  </si>
  <si>
    <t>Incohérences entre processus interconnectés</t>
  </si>
  <si>
    <t>Les organes de gestion participent à des comités SI (pilotage, stratégique).</t>
  </si>
  <si>
    <t>Quels sont les mécanismes mis en place pour suivre l’état d’avancement des projets SI ?</t>
  </si>
  <si>
    <t>Rapports d’activités du service informatique adressés à la direction.</t>
  </si>
  <si>
    <t>Faible performance ou non-atteinte des objectifs stratégiques liés au numérique.</t>
  </si>
  <si>
    <t>Calendrier de réévaluation IT non respecté ou inadapté</t>
  </si>
  <si>
    <t>Évaluation ponctuelle au lieu de continue</t>
  </si>
  <si>
    <t>Les responsables métiers sont consultés et impliqués dans les projets SI.</t>
  </si>
  <si>
    <t>Existe-t-il des tableaux de bord ou des rapports SI destinés à la direction ?</t>
  </si>
  <si>
    <t>Tableaux de bord des projets SI.</t>
  </si>
  <si>
    <t>Résistance au changement par manque de pilotage global.</t>
  </si>
  <si>
    <t>Certifications de conformité non obtenues ou expirées</t>
  </si>
  <si>
    <t>Calendrier des contrôles non respecté</t>
  </si>
  <si>
    <t>Des indicateurs de performance SI sont suivis et analysés par les organes de gestion.</t>
  </si>
  <si>
    <t>Comment les retours métiers sont-ils pris en compte dans les décisions SI ?</t>
  </si>
  <si>
    <t>Note d’implication des directions métiers dans les projets IT.</t>
  </si>
  <si>
    <t>Risques accrus de dérives ou de non-conformité dans les projets SI.</t>
  </si>
  <si>
    <t>Schémas d'architecture des contrôles techniques non documentés</t>
  </si>
  <si>
    <t>Grille d'analyse des contrôles incomplète</t>
  </si>
  <si>
    <t>Vérifier en pratique que le leadership des grands projets est 
assuré par les organes de gestion</t>
  </si>
  <si>
    <t>Les projets stratégiques sont suivis en comité de direction ou en comité de pilotage.</t>
  </si>
  <si>
    <t>Quels sont les grands projets SI ou transversaux en cours dans l’organisation ?</t>
  </si>
  <si>
    <t>Liste des projets stratégiques en cours.</t>
  </si>
  <si>
    <t>Projets mal alignés sur les priorités stratégiques de l’organisation.</t>
  </si>
  <si>
    <t>Protocoles de tests d'efficacité non standardisés ou non appliqués</t>
  </si>
  <si>
    <t>Tableau de bord non représentatif</t>
  </si>
  <si>
    <t>Un sponsor de haut niveau (DG, DGA, Directeur métier) est désigné pour chaque projet majeur.</t>
  </si>
  <si>
    <t>Qui sont les sponsors ou référents de ces projets au sein de la direction ?</t>
  </si>
  <si>
    <t>Organigrammes projet avec les rôles des décideurs (chef de projet, sponsor, comité de pilotage).</t>
  </si>
  <si>
    <t>Absence de prise de décision rapide en cas de blocage.</t>
  </si>
  <si>
    <t>Historique des mises à jour non tracé ou incomplet</t>
  </si>
  <si>
    <t>Comptes-rendus d'évaluation non produits</t>
  </si>
  <si>
    <t>Les décisions clés sont validées par la direction (budget, calendrier, objectifs).</t>
  </si>
  <si>
    <t>Comment la direction suit-elle l’évolution de ces projets (indicateurs, rapports, comités) ?</t>
  </si>
  <si>
    <t>PV des comités de pilotage ou de direction liés aux projets.</t>
  </si>
  <si>
    <t>Pertes financières dues à des dérives de délais ou de coûts non contrôlés.</t>
  </si>
  <si>
    <t>Rapports de conformité sécurité irréguliers ou inexistants</t>
  </si>
  <si>
    <t>Solutions digitales obsolètes ou inadaptées</t>
  </si>
  <si>
    <t>Les risques et arbitrages sont gérés à un niveau décisionnel élevé.</t>
  </si>
  <si>
    <t>La direction générale participe-t-elle aux grandes décisions liées aux projets ?</t>
  </si>
  <si>
    <t>Rapports d’avancement ou tableaux de bord des projets.</t>
  </si>
  <si>
    <t>Faible mobilisation des équipes métiers.</t>
  </si>
  <si>
    <t>Surveillance continue des SI défaillante ou interrompue</t>
  </si>
  <si>
    <t>Fuites ou pertes de données sensibles</t>
  </si>
  <si>
    <t>Des comptes rendus de suivi des projets sont communiqués aux organes de gestion.</t>
  </si>
  <si>
    <t>Comment les risques, retards ou dérives de projets sont-ils gérés au niveau stratégique ?</t>
  </si>
  <si>
    <t>Grille de risques / suivi budgétaire validé par la direction.</t>
  </si>
  <si>
    <t>Risque de projets inaboutis ou inefficaces.</t>
  </si>
  <si>
    <t>Registre des actions correctives non exhaustif ou non actualisé</t>
  </si>
  <si>
    <t>Maintenance insuffisante des outils</t>
  </si>
  <si>
    <t>Vérifier que les métiers assurent leur rôle de MOA</t>
  </si>
  <si>
    <t>Les directions métiers participent à la définition des besoins fonctionnels.</t>
  </si>
  <si>
    <t>Les utilisateurs métiers sont-ils systématiquement impliqués dans les projets SI ?</t>
  </si>
  <si>
    <t>Comptes rendus de réunions fonctionnelles (ateliers, expressions de besoins).</t>
  </si>
  <si>
    <t>Inadéquation entre les besoins réels et les solutions informatiques livrées.</t>
  </si>
  <si>
    <t>Matrice des responsabilités en GRC floue ou non communiquée</t>
  </si>
  <si>
    <t>Utilisateurs non formés aux systèmes</t>
  </si>
  <si>
    <t>Des référents métiers sont désignés pour chaque projet ou application.</t>
  </si>
  <si>
    <t>Comment les besoins fonctionnels sont-ils recueillis et validés ?</t>
  </si>
  <si>
    <t>Cahiers des charges validés par les directions métiers.</t>
  </si>
  <si>
    <t>Rejet des outils par les utilisateurs finaux.</t>
  </si>
  <si>
    <t>Dossiers d'évaluation des risques incomplets ou non validés</t>
  </si>
  <si>
    <t>Intégration déficiente entre les applications</t>
  </si>
  <si>
    <t>Les cahiers des charges sont validés par les directions concernées.</t>
  </si>
  <si>
    <t>Existe-t-il des réunions régulières entre MOA (métiers) et MOE (informatique) ?</t>
  </si>
  <si>
    <t>Plans de recette fonctionnelle (avec validation des utilisateurs).</t>
  </si>
  <si>
    <t>Multiplication des demandes de modifications coûteuses en phase post-projet.</t>
  </si>
  <si>
    <t>Reporting périodique à la direction irrégulier ou incomplet</t>
  </si>
  <si>
    <t>Défaut de politique de communication claire</t>
  </si>
  <si>
    <t>Les utilisateurs métiers participent aux phases de tests (recette fonctionnelle).</t>
  </si>
  <si>
    <t>Comment les utilisateurs s’impliquent-ils dans les phases de test et de validation ?</t>
  </si>
  <si>
    <t>Désignation des correspondants métiers pour les projets SI.</t>
  </si>
  <si>
    <t>Perte de temps due à des aller-retours entre DSI et métiers.</t>
  </si>
  <si>
    <t>PV des décisions stratégiques non formalisés ou non archivés</t>
  </si>
  <si>
    <t>Information mal diffusée dans l'organisation</t>
  </si>
  <si>
    <t>Des retours métiers sont régulièrement intégrés dans les évolutions des systèmes.</t>
  </si>
  <si>
    <t>Quels mécanismes permettent d’assurer que les outils livrés répondent réellement aux besoins métier ?</t>
  </si>
  <si>
    <t>Tableaux de suivi des demandes d’évolution issues des métiers.</t>
  </si>
  <si>
    <t>Non-atteinte des objectifs métier ou stratégiques du projet.</t>
  </si>
  <si>
    <t>Procédures de révision des risques non appliquées systématiquement</t>
  </si>
  <si>
    <t>Accusés de réception non systématiques</t>
  </si>
  <si>
    <t>Vérifier la couverture du périmètre fonctionnel</t>
  </si>
  <si>
    <t>Une cartographie des processus métiers couverts par le SI est disponible.</t>
  </si>
  <si>
    <t>Disposez-vous d’une cartographie des processus métiers et de leur couverture SI ?</t>
  </si>
  <si>
    <t>Cartographie des processus métiers vs. SI.</t>
  </si>
  <si>
    <t>Usage d’outils parallèles (Excel, papier), source d’erreurs et d’inefficacité.</t>
  </si>
  <si>
    <t>Listes de distribution des rapports non actualisées ou incomplètes</t>
  </si>
  <si>
    <t>Destinataires oubliés dans les envois</t>
  </si>
  <si>
    <t>Les fonctionnalités informatisées couvrent l’ensemble des besoins métiers critiques.</t>
  </si>
  <si>
    <t>Tous les métiers essentiels sont-ils pris en charge par une solution informatique ?</t>
  </si>
  <si>
    <t>Cahiers des charges fonctionnels des outils existants.</t>
  </si>
  <si>
    <t>Perte de temps et d’informations critiques entre services.</t>
  </si>
  <si>
    <t>Grille de sélection des contrôles non adaptée à la criticité</t>
  </si>
  <si>
    <t>Archivage défaillant des échanges</t>
  </si>
  <si>
    <t>Les écarts entre besoins exprimés et fonctionnalités disponibles sont identifiés.</t>
  </si>
  <si>
    <t>Existe-t-il des processus critiques encore non informatisés ?</t>
  </si>
  <si>
    <t>Relevé des écarts fonctionnels (gap analysis).</t>
  </si>
  <si>
    <t>Risque de non-conformité réglementaire ou opérationnelle.</t>
  </si>
  <si>
    <t>Plans d'adaptation des activités de contrôle irréalistes ou inexistants</t>
  </si>
  <si>
    <t>Responsabilités floues dans la communication</t>
  </si>
  <si>
    <t>Les utilisateurs valident régulièrement l’adéquation des outils aux usages.</t>
  </si>
  <si>
    <t>Comment les besoins non couverts sont-ils identifiés et traités ?</t>
  </si>
  <si>
    <t>Comptes rendus de comités utilisateurs.</t>
  </si>
  <si>
    <t>Difficultés de reporting ou de pilotage stratégique.</t>
  </si>
  <si>
    <t>Rapports d'intégration des contrôles non produits ou non analysés</t>
  </si>
  <si>
    <t>Planification stratégique</t>
  </si>
  <si>
    <t>Des évolutions sont planifiées pour combler les manques fonctionnels.</t>
  </si>
  <si>
    <t>Avez-vous un plan d’évolution du SI pour améliorer la couverture fonctionnelle ?</t>
  </si>
  <si>
    <t>Plan d’évolution des applications.</t>
  </si>
  <si>
    <t>Demandes d’assistance fréquentes par manque de fonctionnalités.</t>
  </si>
  <si>
    <t>Calendrier de réévaluation des contrôles non respecté</t>
  </si>
  <si>
    <t>Feedback non analysé ou exploité</t>
  </si>
  <si>
    <t>Vérifier l’existence d’une analyse à jour des procédures de 
pilotage et de mise à jour du plan informatique</t>
  </si>
  <si>
    <t>Un plan informatique (schéma directeur ou plan stratégique SI) est formellement rédigé.</t>
  </si>
  <si>
    <t>Disposez-vous d’un plan informatique à jour ?</t>
  </si>
  <si>
    <t>Schéma directeur des systèmes d’information (ou plan stratégique SI).</t>
  </si>
  <si>
    <t>Incohérence entre les projets SI et la stratégie globale de l’organisation.</t>
  </si>
  <si>
    <t>Fiches de poste des responsables de contrôles non définies</t>
  </si>
  <si>
    <t>Canaux de communication inadaptés</t>
  </si>
  <si>
    <t>Ce plan est mis à jour régulièrement (au moins tous les 2 à 3 ans).</t>
  </si>
  <si>
    <t>Qui est responsable de sa révision et selon quelle fréquence est-elle effectuée ?</t>
  </si>
  <si>
    <t>Procédures formalisées de révision/mise à jour du plan.</t>
  </si>
  <si>
    <t>Retards ou doublons dans les projets faute de coordination.</t>
  </si>
  <si>
    <t>Mécanismes de suivi de l'efficacité des contrôles inefficaces</t>
  </si>
  <si>
    <t>Demandes d'information non traitées</t>
  </si>
  <si>
    <t>Les procédures de pilotage (suivi des actions, mise à jour des priorités) sont formalisées.</t>
  </si>
  <si>
    <t>Comment le pilotage des actions prévues dans ce plan est-il assuré ?</t>
  </si>
  <si>
    <t>Comptes rendus des réunions de pilotage du plan informatique.</t>
  </si>
  <si>
    <t>Perte d’agilité face aux évolutions technologiques ou métiers.</t>
  </si>
  <si>
    <t>Registres des résultats d'évaluation non tenus à jour</t>
  </si>
  <si>
    <t>Documentation non mise à jour régulièrement</t>
  </si>
  <si>
    <t>Un responsable est désigné pour la coordination et la révision du plan.</t>
  </si>
  <si>
    <t>Y a-t-il des comités de suivi du plan informatique ?</t>
  </si>
  <si>
    <t>Tableaux de bord ou reporting d’exécution du plan.</t>
  </si>
  <si>
    <t>Sous-utilisation des budgets SI ou investissements mal orientés.</t>
  </si>
  <si>
    <t>Plans d'ajustement des contrôles non mis en œuvre</t>
  </si>
  <si>
    <t>Contrôle qualité absent avant diffusion</t>
  </si>
  <si>
    <t>Des indicateurs de pilotage sont utilisés pour suivre les projets et ajuster le plan.</t>
  </si>
  <si>
    <t>Quels outils utilisez-vous pour assurer le suivi et la mise à jour de ce plan ?</t>
  </si>
  <si>
    <t>Historique des versions du plan informatique et actions entreprises.</t>
  </si>
  <si>
    <t>Incapacité à répondre aux exigences de conformité ou aux audits.</t>
  </si>
  <si>
    <t>Rapports trimestriels d'efficacité non produits ou non exploitables</t>
  </si>
  <si>
    <t>Ajustements non communiqués aux équipes</t>
  </si>
  <si>
    <t>Vérifier l’existence des documents à jour d’urbanisme de 
l’Organisation</t>
  </si>
  <si>
    <t>L’organisation dispose d’une cartographie des systèmes d’information à jour.</t>
  </si>
  <si>
    <t>Disposez-vous d’une cartographie complète de vos applications et infrastructures ?</t>
  </si>
  <si>
    <t>Cartographie actuelle du système d’information (applications, infrastructures, flux).</t>
  </si>
  <si>
    <t>Redondance d’applications ou absence de cohérence entre les outils.</t>
  </si>
  <si>
    <t>Procédure de correction rapide des contrôles inexistante</t>
  </si>
  <si>
    <t>Information stratégique mal relayée</t>
  </si>
  <si>
    <t>Les flux entre applications, bases de données et services sont bien identifiés.</t>
  </si>
  <si>
    <t>Qui est responsable de la tenue à jour de l’urbanisme du SI ?</t>
  </si>
  <si>
    <t>Vision cible ou schéma directeur d’urbanisation SI.</t>
  </si>
  <si>
    <t>Complexité accrue du SI nuisant à sa performance et à son évolutivité.</t>
  </si>
  <si>
    <t>Guide d'intégration des contrôles non disponible ou obsolète</t>
  </si>
  <si>
    <t>Procédures d'urgence non opérationnelles</t>
  </si>
  <si>
    <t>Une vision cible de l’architecture SI est définie à moyen ou long terme.</t>
  </si>
  <si>
    <t>À quelle fréquence mettez-vous à jour cette documentation ?</t>
  </si>
  <si>
    <t>Plans d’urbanisation en couches (architecture métier, fonctionnelle, technique).</t>
  </si>
  <si>
    <t>Difficulté à évaluer les impacts lors des changements ou projets.</t>
  </si>
  <si>
    <t>Formation des employés aux contrôles insuffisante ou inadéquate</t>
  </si>
  <si>
    <t>Canaux de dialogue insuffisamment ouverts</t>
  </si>
  <si>
    <t>L’urbanisation distingue les couches métier, fonctionnelle, applicative et technique.</t>
  </si>
  <si>
    <t>L’urbanisme SI est-il pris en compte dans les projets d’évolution ?</t>
  </si>
  <si>
    <t>Historique des mises à jour (versions) du document d’urbanisme.</t>
  </si>
  <si>
    <t>Coûts de maintenance élevés dus à une architecture non rationalisée.</t>
  </si>
  <si>
    <t>Indicateurs de suivi opérationnel non définis ou non suivis</t>
  </si>
  <si>
    <t>Mécanismes d'évaluation de compréhension absents</t>
  </si>
  <si>
    <t>Le document est validé par la DSI et communiqué aux parties prenantes concernées.</t>
  </si>
  <si>
    <t>Quels sont les outils ou référentiels utilisés pour documenter l’urbanisation ?</t>
  </si>
  <si>
    <t>Guide méthodologique ou référentiel d’urbanisme (TOGAF, Zachman, etc.).</t>
  </si>
  <si>
    <t>Incapacité à aligner le SI sur les objectifs métiers ou réglementaires.</t>
  </si>
  <si>
    <t>Journaux d'activité des contrôles incomplets ou non analysés</t>
  </si>
  <si>
    <t>Suivi inexistant de l'efficacité des feedbacks</t>
  </si>
  <si>
    <t>Vérifier l’existence d’une analyse à jour des procédures de 
pilotage et de mise à jour du plan d’occupation des sols (POS)</t>
  </si>
  <si>
    <t>Le POS est formellement établi, approuvé par les autorités compétentes et disponible pour consultation.</t>
  </si>
  <si>
    <t>Quand le POS a-t-il été mis à jour pour la dernière fois ?</t>
  </si>
  <si>
    <t>Plan d’Occupation des Sols officiel (dernière version).</t>
  </si>
  <si>
    <t>Développement urbain non contrôlé ou incohérent.</t>
  </si>
  <si>
    <t>Absence de cadre pour les ajustements opérationnels entraînant des réponses inadaptées aux dysfonctionnements</t>
  </si>
  <si>
    <t>Responsable des clarifications non identifié</t>
  </si>
  <si>
    <t>Une procédure formalisée de mise à jour du POS existe (avec calendrier et responsabilités).</t>
  </si>
  <si>
    <t>Existe-t-il une procédure formalisée pour la révision du POS ?</t>
  </si>
  <si>
    <t>Compte-rendu de réunion de la commission d’urbanisme ou de pilotage du POS.</t>
  </si>
  <si>
    <t>Incompatibilités juridiques avec les projets d’aménagement récents.</t>
  </si>
  <si>
    <t>Défaut de production de rapports détaillés compromettant la transparence des activités de contrôle</t>
  </si>
  <si>
    <t>Surveillance irrégulière des retours</t>
  </si>
  <si>
    <t>Les révisions du POS sont déclenchées suite à des évolutions démographiques, économiques, environnementales ou urbanistiques.</t>
  </si>
  <si>
    <t>Qui est responsable du suivi et de l’actualisation du POS dans votre structure ?</t>
  </si>
  <si>
    <t>Procédure écrite de révision du POS (fréquence, déclencheurs, acteurs).</t>
  </si>
  <si>
    <t>Conflits d’usage du sol (zones industrielles/militaires/marécageuses en zone d’habitation…).</t>
  </si>
  <si>
    <t>Canaux de communication inappropriés générant des incompréhensions sur les résultats obtenus</t>
  </si>
  <si>
    <t>Outils de communication non recensés</t>
  </si>
  <si>
    <t>Un comité ou une commission de suivi est désigné pour piloter l’actualisation du POS.</t>
  </si>
  <si>
    <t>Le POS est-il régulièrement évalué en fonction de l’évolution des besoins urbains ?</t>
  </si>
  <si>
    <t>Dossier de concertation publique ou avis des parties prenantes.</t>
  </si>
  <si>
    <t>Difficultés pour les investisseurs à obtenir des autorisations de construire.</t>
  </si>
  <si>
    <t>Processus GRC non formalisé conduisant à des stratégies non alignées avec les risques réels</t>
  </si>
  <si>
    <t>Calendrier des réunions non respecté</t>
  </si>
  <si>
    <t>Les habitants et parties prenantes sont consultés dans le cadre des révisions.</t>
  </si>
  <si>
    <t>Quels mécanismes de consultation publique sont mis en œuvre pour les révisions du POS ?</t>
  </si>
  <si>
    <t>Rapports d’étude ou diagnostics territoriaux justifiant les révisions.</t>
  </si>
  <si>
    <t>Non-conformité avec la réglementation en vigueur (urbanisme, environnement, sécurité civile…).</t>
  </si>
  <si>
    <t>Absence de démarche d'amélioration continue des contrôles maintenant des faiblesses structurelles</t>
  </si>
  <si>
    <t>Système d'information décentralisé et incohérent</t>
  </si>
  <si>
    <t>Vérifier la cohérence et l’homogénéité des technologies</t>
  </si>
  <si>
    <t>L'organisation a défini un référentiel technologique standardisé (matériel, logiciels, systèmes).</t>
  </si>
  <si>
    <t>Disposez-vous d’un inventaire ou d’un référentiel technologique à jour ?</t>
  </si>
  <si>
    <t>Référentiel technologique (standards logiciels, matériels, OS, bases de données, outils bureautiques, etc.).</t>
  </si>
  <si>
    <t>Incompatibilités entre systèmes/applications, générant des bugs ou erreurs.</t>
  </si>
  <si>
    <t>Inventaire IT incomplet empêchant une vision globale des dispositifs de sécurité</t>
  </si>
  <si>
    <t>Synchronisation défaillante entre services</t>
  </si>
  <si>
    <t>Les technologies utilisées sont compatibles entre elles (interopérabilité assurée).</t>
  </si>
  <si>
    <t>Existe-t-il une politique de normalisation des outils, logiciels, plateformes ?</t>
  </si>
  <si>
    <t>Politique de gestion du cycle de vie des technologies (acquisition, support, mise à jour, retrait).</t>
  </si>
  <si>
    <t>Surcoût de maintenance (multiplication des expertises et licences).</t>
  </si>
  <si>
    <t>Vérifications d'intégrité non documentées remettant en cause leur validité</t>
  </si>
  <si>
    <t>Indicateurs de performance des outils absents</t>
  </si>
  <si>
    <t>L’hétérogénéité technologique est maîtrisée (versions, systèmes, architectures).</t>
  </si>
  <si>
    <t>Qui est chargé de valider les choix technologiques dans les projets ?</t>
  </si>
  <si>
    <t>Plans d’urbanisation applicative et technique (schémas directeurs SI).</t>
  </si>
  <si>
    <t>Problèmes de sécurité dus à la coexistence de versions obsolètes.</t>
  </si>
  <si>
    <t>Cartographie manquante des contrôles créant des zones d'ombre dans la protection des infrastructures</t>
  </si>
  <si>
    <t>Évaluation rare des canaux de communication</t>
  </si>
  <si>
    <t>Les projets IT respectent les standards définis dans la politique technologique.</t>
  </si>
  <si>
    <t>Comment est gérée l'obsolescence technologique dans l’organisation ?</t>
  </si>
  <si>
    <t>Dossier d’architecture des projets récents (pour vérifier le respect de la cohérence technologique).</t>
  </si>
  <si>
    <t>Difficultés d'intégration de nouveaux outils ou partenaires.</t>
  </si>
  <si>
    <t>Non-respect du calendrier IT exposant à des vulnérabilités non corrigées</t>
  </si>
  <si>
    <t>Audits qualité non réalisés</t>
  </si>
  <si>
    <t>Les technologies obsolètes ou non maintenues sont progressivement éliminées ou mises à jour.</t>
  </si>
  <si>
    <t>Quelles sont les procédures de veille et de mise à jour technologique ?</t>
  </si>
  <si>
    <t>Rapports de veille technologique ou de comité d’architecture technique.</t>
  </si>
  <si>
    <t>Perte d’agilité pour les projets de transformation numérique.</t>
  </si>
  <si>
    <t>Certifications périmées invalidant la conformité aux standards du secteur</t>
  </si>
  <si>
    <t>Analyse des forces/faiblesses non formalisée</t>
  </si>
  <si>
    <t>Vérifier l’existence et l’unicité des référentiels (clients, 
fournisseurs, articles…) et des saisies</t>
  </si>
  <si>
    <t>Des référentiels centralisés sont disponibles pour les clients, fournisseurs, articles, etc.</t>
  </si>
  <si>
    <t>Existe-t-il un référentiel centralisé pour les clients, fournisseurs, articles ?</t>
  </si>
  <si>
    <t>Liste des référentiels utilisés avec description des champs obligatoires.</t>
  </si>
  <si>
    <t>Doublons entraînant des erreurs de facturation, de livraison ou de paiement.</t>
  </si>
  <si>
    <t>Schémas techniques obsolètes faussant la compréhension des architectures</t>
  </si>
  <si>
    <t>Plans d'amélioration non mis en œuvre</t>
  </si>
  <si>
    <t>Un identifiant unique est attribué à chaque entité du référentiel (client, article...).</t>
  </si>
  <si>
    <t>Comment identifiez-vous un doublon dans la base de données ?</t>
  </si>
  <si>
    <t>Politique de gestion des données de référence (data management policy).</t>
  </si>
  <si>
    <t>Incohérences dans les reportings (un même client apparaît plusieurs fois).</t>
  </si>
  <si>
    <t>Protocoles de tests non standardisés produisant des résultats non comparables</t>
  </si>
  <si>
    <t>Supervision inefficace des flux informationnels</t>
  </si>
  <si>
    <t>Des règles de gestion empêchent la duplication (doublons) dans les référentiels.</t>
  </si>
  <si>
    <t>Quelles validations sont mises en place lors de la création d’un nouveau client ou article ?</t>
  </si>
  <si>
    <t>État des doublons détectés sur les 6 ou 12 derniers mois.</t>
  </si>
  <si>
    <t>Risque accru de fraude ou de contournement des procédures.</t>
  </si>
  <si>
    <t>Historique des mises à jour incomplet compliquant le diagnostic des incidents</t>
  </si>
  <si>
    <t>Absence de cadre structuré pour les échanges externes</t>
  </si>
  <si>
    <t>Les référentiels sont tenus à jour avec des processus de validation des données.</t>
  </si>
  <si>
    <t>Les référentiels sont-ils partagés entre les services (ex. : compta, logistique, commercial) ?</t>
  </si>
  <si>
    <t>Procédures de création/modification/suppression d’un enregistrement dans un référentiel.</t>
  </si>
  <si>
    <t>Problèmes de synchronisation entre applications utilisant des référentiels différents.</t>
  </si>
  <si>
    <t>Rapports de sécurité irréguliers empêchant un suivi rigoureux de la conformité</t>
  </si>
  <si>
    <t>Méconnaissance des interlocuteurs clés et des informations partageables</t>
  </si>
  <si>
    <t>Des contrôles automatiques existent lors des saisies pour garantir l’unicité et la cohérence.</t>
  </si>
  <si>
    <t>Qui est responsable de la qualité et de la mise à jour des référentiels ?</t>
  </si>
  <si>
    <t>Journal de validation ou de workflow sur les créations/modifications (ex. : client validé par la compta).</t>
  </si>
  <si>
    <t>Surcoûts liés à la correction manuelle des erreurs ou à la perte de confiance dans les données.</t>
  </si>
  <si>
    <t>Surveillance défaillante des SI laissant passer des anomalies critiques</t>
  </si>
  <si>
    <t>Défaut de planification des communications stratégiques</t>
  </si>
  <si>
    <t>Évaluer l’organisation et les processus existants</t>
  </si>
  <si>
    <t>Une structure organisationnelle formalisée et documentée existe.</t>
  </si>
  <si>
    <t>Disposez-vous d’un organigramme à jour de l’organisation ?</t>
  </si>
  <si>
    <t>Organigramme de l’entreprise ou de l’unité auditée.</t>
  </si>
  <si>
    <t>Duplication des tâches ou conflits de responsabilités.</t>
  </si>
  <si>
    <t>Registres de compétences non actualisés induisant des incompétences opérationnelles</t>
  </si>
  <si>
    <t>Non-conformité aux exigences légales en communication</t>
  </si>
  <si>
    <t>Chaque processus métier est décrit dans un manuel ou une procédure.</t>
  </si>
  <si>
    <t>Avez-vous des procédures formelles pour vos processus métiers (achat, vente, production, etc.) ?</t>
  </si>
  <si>
    <t>Manuel des procédures ou cartographie des processus.</t>
  </si>
  <si>
    <t>Mauvaise exécution des opérations en raison de procédures floues.</t>
  </si>
  <si>
    <t>Évaluations de performance manquantes générant un management peu objectif</t>
  </si>
  <si>
    <t>Impact non mesuré des communications externes</t>
  </si>
  <si>
    <t>Les responsabilités et rôles sont clairement définis pour chaque étape des processus.</t>
  </si>
  <si>
    <t>Quels sont les outils utilisés pour piloter et évaluer vos processus ?</t>
  </si>
  <si>
    <t>Fiches de poste des responsables de processus.</t>
  </si>
  <si>
    <t>Manque d’efficacité opérationnelle (retards, erreurs, coûts élevés).</t>
  </si>
  <si>
    <t>Formation continue insuffisante entraînant une obsolescence des compétences</t>
  </si>
  <si>
    <t>Retard dans la transmission des évolutions critiques</t>
  </si>
  <si>
    <t>Des indicateurs de performance (KPI) sont associés aux processus clés.</t>
  </si>
  <si>
    <t>Comment les rôles et responsabilités sont-ils communiqués aux collaborateurs ?</t>
  </si>
  <si>
    <t>Tableaux de bord de suivi des processus clés.</t>
  </si>
  <si>
    <t>Faible traçabilité des décisions ou actions.</t>
  </si>
  <si>
    <t>Dossiers de qualifications incomplets compromettant la validation des expertises</t>
  </si>
  <si>
    <t>Défaillance dans l'identification des événements majeurs</t>
  </si>
  <si>
    <t>Budgets et coûts informatiques</t>
  </si>
  <si>
    <t>L’organisation actuelle permet une bonne coordination entre les services.</t>
  </si>
  <si>
    <t>Qui est responsable de la revue et de la mise à jour des processus ?</t>
  </si>
  <si>
    <t>Rapports d’audit ou d’évaluation internes sur l’organisation ou les processus.</t>
  </si>
  <si>
    <t>Difficultés à intégrer de nouveaux employés ou partenaires dans les processus.</t>
  </si>
  <si>
    <t>Procédures IT non documentées créant des pratiques hétérogènes et risquées</t>
  </si>
  <si>
    <t>Lenteur dans l'information des parties concernées</t>
  </si>
  <si>
    <t>Vérifier l’existence des ratios et des éléments de benchmark 
(interne et/ou externe, ratio coûts/CA, …)</t>
  </si>
  <si>
    <t>Des indicateurs de performance (ratios) financiers et opérationnels sont définis (coûts/CA, productivité, etc.).</t>
  </si>
  <si>
    <t>Quels sont les principaux ratios de performance utilisés dans l’organisation ?</t>
  </si>
  <si>
    <t>Tableaux de bord financiers avec indicateurs clés (KPI, ratios coûts/CA…).</t>
  </si>
  <si>
    <t>Décisions de gestion prises sans données fiables ni comparatives.</t>
  </si>
  <si>
    <t>Calendrier non respecté retardant les mises à jour nécessaires</t>
  </si>
  <si>
    <t>Incapacité à vérifier la bonne compréhension des messages</t>
  </si>
  <si>
    <t>Des éléments de benchmark internes (entre départements) sont utilisés pour comparaison.</t>
  </si>
  <si>
    <t>Existe-t-il des comparaisons internes (entre services, filiales…) ?</t>
  </si>
  <si>
    <t>Rapports de gestion ou d’analyse de la performance.</t>
  </si>
  <si>
    <t>Difficultés à détecter les écarts de performance entre entités ou par rapport au marché.</t>
  </si>
  <si>
    <t>Attestations manquantes remettant en cause la réalité des formations suivies</t>
  </si>
  <si>
    <t>Rigidité face aux changements réglementaires ou organisationnels</t>
  </si>
  <si>
    <t>Des données de benchmark externes (secteur, concurrents, normes) sont disponibles.</t>
  </si>
  <si>
    <t>L’organisation accède-t-elle à des données externes de référence (moyenne du secteur, publications professionnelles) ?</t>
  </si>
  <si>
    <t>Études de marché ou rapports sectoriels utilisés pour le benchmark externe.</t>
  </si>
  <si>
    <t>Absence de repères pour définir des objectifs réalistes et motivants.</t>
  </si>
  <si>
    <t>Suivi inefficace permettant la persistance de procédures mal appliquées</t>
  </si>
  <si>
    <t>Communication inadaptée aux différents interlocuteurs</t>
  </si>
  <si>
    <t>Les ratios sont régulièrement suivis, analysés et documentés dans des rapports.</t>
  </si>
  <si>
    <t>À quelle fréquence les ratios sont-ils calculés, analysés et partagés ?</t>
  </si>
  <si>
    <t>Données comparatives internes (entre départements ou sites).</t>
  </si>
  <si>
    <t>Impossibilité d’identifier les leviers de performance ou les zones de sous-performance.</t>
  </si>
  <si>
    <t>Absence de rapports d'évaluation privant de mesure de l'efficacité réelle</t>
  </si>
  <si>
    <t>Informations partielles ou ambiguës transmises aux tiers</t>
  </si>
  <si>
    <t>Les résultats des benchmarks sont utilisés pour orienter les décisions de gestion.</t>
  </si>
  <si>
    <t>Comment les benchmarks sont-ils exploités dans la prise de décision stratégique ou opérationnelle ?</t>
  </si>
  <si>
    <t>Procédure de définition et de mise à jour des indicateurs et benchmarks.</t>
  </si>
  <si>
    <t>Manque de transparence et de redevabilité dans les suivis de gestion.</t>
  </si>
  <si>
    <t>Audits IT incomplets donnant une vision tronquée des risques</t>
  </si>
  <si>
    <t>Validation insuffisante du contenu avant diffusion</t>
  </si>
  <si>
    <t>Vérifier que des objectifs de court, moyen et long termes 
existent et sont assignés à la DSI (approche BSC ?) et que ces 
objectifs sont déclinés au sein de l’entité</t>
  </si>
  <si>
    <t>Des objectifs stratégiques de la DSI sont formalisés à court, moyen et long terme.</t>
  </si>
  <si>
    <t>Quels sont les objectifs stratégiques de la DSI à court, moyen et long terme ?</t>
  </si>
  <si>
    <t>Plan stratégique de la DSI (incluant objectifs à court, moyen et long terme).</t>
  </si>
  <si>
    <t>Manque de vision stratégique pour les systèmes d’information.</t>
  </si>
  <si>
    <t>Résultats non documentés empêchant le suivi des améliorations</t>
  </si>
  <si>
    <t>Utilisation inappropriée des canaux de communication</t>
  </si>
  <si>
    <t>Ces objectifs sont alignés avec la stratégie globale de l’organisation (vision, mission).</t>
  </si>
  <si>
    <t>Comment ces objectifs sont-ils fixés et validés ? Par qui ?</t>
  </si>
  <si>
    <t>Balanced Scorecard (BSC) ou équivalent avec les quatre axes (financier, client, processus internes, apprentissage).</t>
  </si>
  <si>
    <t>Faible alignement entre la DSI et les besoins métier de l’organisation.</t>
  </si>
  <si>
    <t>Plans d'action non mis en œuvre maintenant des vulnérabilités connues</t>
  </si>
  <si>
    <t>Réception non confirmée des informations clés</t>
  </si>
  <si>
    <t>L’approche Balanced Scorecard (BSC) est utilisée ou une autre méthode de déclinaison des objectifs (ex : OKR, SMART…).</t>
  </si>
  <si>
    <t>Utilisez-vous une méthode de pilotage comme le Balanced Scorecard (BSC) ?</t>
  </si>
  <si>
    <t>Plans d’action opérationnels déclinés par service/direction.</t>
  </si>
  <si>
    <t>Inefficacité dans la planification des projets et investissements IT.</t>
  </si>
  <si>
    <t>Suivi post-audit insuffisant permettant la réapparition des mêmes faiblesses</t>
  </si>
  <si>
    <t>Engagements non respectés par les partenaires externes</t>
  </si>
  <si>
    <t>Les objectifs sont déclinés par département, service ou équipe au sein de la DSI.</t>
  </si>
  <si>
    <t>Chaque service de la DSI a-t-il des objectifs spécifiques en cohérence avec ceux de la DSI ?</t>
  </si>
  <si>
    <t>Tableaux de bord de suivi des objectifs.</t>
  </si>
  <si>
    <t>Absence de priorisation claire, générant des pertes de temps et de ressources.</t>
  </si>
  <si>
    <t>Méthodologies d'audit rigides inadaptées aux évolutions technologiques</t>
  </si>
  <si>
    <t>Évaluation absente ou biaisée des collaborations</t>
  </si>
  <si>
    <t>Mesure et suivi de la performance informatique</t>
  </si>
  <si>
    <t>Un système de suivi (indicateurs, tableaux de bord) est mis en place pour évaluer l’atteinte de ces objectifs.</t>
  </si>
  <si>
    <t>Quels outils ou indicateurs utilisez-vous pour mesurer l’atteinte de ces objectifs ?</t>
  </si>
  <si>
    <t>Procès-verbaux de réunions de suivi stratégique ou de pilotage de la performance.</t>
  </si>
  <si>
    <t>Difficultés à évaluer la performance et la contribution réelle de la DSI à la stratégie globale.</t>
  </si>
  <si>
    <t>Manuel obsolète induisant en erreur sur les procédures en vigueur</t>
  </si>
  <si>
    <t>Défaut de mesure de la performance des relations externes</t>
  </si>
  <si>
    <t>Vérifier l’existence d’un comité informatique regroupant les 
différentes directions de l’organisation</t>
  </si>
  <si>
    <t>Un comité informatique est officiellement institué par une décision ou note de service.</t>
  </si>
  <si>
    <t>Existe-t-il un comité dédié au pilotage stratégique et opérationnel du SI ?</t>
  </si>
  <si>
    <t>Décision de création du comité ou note de service associée.</t>
  </si>
  <si>
    <t>Système de conformité inefficace exposant à des manquements non détectés</t>
  </si>
  <si>
    <t>Correctifs non appliqués dans les relations avec les tiers</t>
  </si>
  <si>
    <t>Le comité regroupe les principales directions fonctionnelles et métiers de l’organisation.</t>
  </si>
  <si>
    <t>Quelles directions participent activement à ce comité ?</t>
  </si>
  <si>
    <t>Liste des membres du comité (avec fonctions/directions).</t>
  </si>
  <si>
    <t>Traçabilité insuffisante des actions empêchant leur justification</t>
  </si>
  <si>
    <t>Flou dans la répartition des responsabilités</t>
  </si>
  <si>
    <t>Le comité se réunit régulièrement selon un calendrier prédéfini (ex. mensuel, trimestriel).</t>
  </si>
  <si>
    <t>À quelle fréquence ce comité se réunit-il ?</t>
  </si>
  <si>
    <t>Calendrier de réunions annuelles.</t>
  </si>
  <si>
    <t>Révisions non faites à temps générant des référentiels périmés</t>
  </si>
  <si>
    <t>Fuites d'informations sensibles ou confidentielles</t>
  </si>
  <si>
    <t>Les missions du comité sont clairement définies (priorisation des projets, validation des orientations SI, suivi du portefeuille projets...).</t>
  </si>
  <si>
    <t>Quels sont les sujets régulièrement abordés ?</t>
  </si>
  <si>
    <t>Ordres du jour, procès-verbaux ou comptes-rendus des réunions.</t>
  </si>
  <si>
    <t>Inadéquation des compétences conduisant à des erreurs de mise en œuvre</t>
  </si>
  <si>
    <t>Violation des réglementations sur les communications</t>
  </si>
  <si>
    <t>Des comptes-rendus ou PV de réunions sont établis et diffusés à chaque session.</t>
  </si>
  <si>
    <t>Comment les décisions sont-elles prises et suivies ?</t>
  </si>
  <si>
    <t>Feuilles de route ou documents de priorisation issus du comité.</t>
  </si>
  <si>
    <t>Règles obsolètes créant des écarts avec les exigences actuelles</t>
  </si>
  <si>
    <t>Exposition des données sensibles lors des échanges</t>
  </si>
  <si>
    <t>Évaluer la pertinence des indicateurs de qualité et de 
performance ainsi que les moyens et outils de mesure</t>
  </si>
  <si>
    <t>Manque de coordination entre la DSI et les directions métiers.</t>
  </si>
  <si>
    <t>Vulnérabilités non couvertes augmentant la surface d'attaque</t>
  </si>
  <si>
    <t>Défaut de surveillance de la sécurité des données</t>
  </si>
  <si>
    <t>Priorisation désorganisée ou conflictuelle des projets informatiques.</t>
  </si>
  <si>
    <t>Non-conformité légale exposant à des sanctions réglementaires</t>
  </si>
  <si>
    <t>Méconnaissance des règles de protection par le personnel</t>
  </si>
  <si>
    <t>Faible implication des utilisateurs finaux dans les décisions SI.</t>
  </si>
  <si>
    <t>Décisions basées sur des référentiels périmés conduisant à des erreurs stratégiques</t>
  </si>
  <si>
    <t>Perte de traçabilité des échanges avec l'extérieur</t>
  </si>
  <si>
    <t>Risques accrus de redondance ou d’incohérence technologique.</t>
  </si>
  <si>
    <t>Historique des modifications perdu compliquant le troubleshooting</t>
  </si>
  <si>
    <t>Intégration incomplète des risques externes dans la gestion</t>
  </si>
  <si>
    <t>Difficulté à aligner le système d’information avec la stratégie globale de l’organisation.</t>
  </si>
  <si>
    <t>Absence de preuve de formation rendant impossible la certification des compétences</t>
  </si>
  <si>
    <t>Impact non évalué des relations externes sur les contrôles</t>
  </si>
  <si>
    <t>Vérifier que la DSI tient un tableau de bord (idéalement de type 
BSC) permettant un suivi consolidé de la performance (opérationnelle 
et financière) et de la qualité des prestations informatiques</t>
  </si>
  <si>
    <t>Un tableau de bord consolidé est effectivement utilisé par la DSI.</t>
  </si>
  <si>
    <t>La DSI utilise-t-elle un tableau de bord formel pour suivre sa performance ?</t>
  </si>
  <si>
    <t>Copie ou extrait du tableau de bord de la DSI.</t>
  </si>
  <si>
    <t>Manque de visibilité sur la performance réelle de la DSI.</t>
  </si>
  <si>
    <t>Incompétences opérationnelles causant des dysfonctionnements critiques</t>
  </si>
  <si>
    <t>Actions correctives non suivies pour les risques externes</t>
  </si>
  <si>
    <r>
      <t xml:space="preserve">Le tableau de bord couvre </t>
    </r>
    <r>
      <rPr>
        <b/>
        <sz val="11"/>
        <color theme="1"/>
        <rFont val="Calibri"/>
        <family val="2"/>
        <scheme val="minor"/>
      </rPr>
      <t>au moins</t>
    </r>
    <r>
      <rPr>
        <sz val="11"/>
        <color theme="1"/>
        <rFont val="Calibri"/>
        <family val="2"/>
        <scheme val="minor"/>
      </rPr>
      <t xml:space="preserve"> les dimensions : financière, qualité de service, efficacité opérationnelle, et satisfaction utilisateur.</t>
    </r>
  </si>
  <si>
    <t>Quelles dimensions (axes) y sont suivies : coûts, projets, incidents, disponibilité, satisfaction ?</t>
  </si>
  <si>
    <t>Liste des indicateurs suivis et méthodologie de calcul.</t>
  </si>
  <si>
    <t>Décalage entre les objectifs assignés et les résultats obtenus.</t>
  </si>
  <si>
    <t>Déficit de compétences clés fragilisant l'organisation face aux défis</t>
  </si>
  <si>
    <t>Base de données des risques non actualisée</t>
  </si>
  <si>
    <t>Les indicateurs sont régulièrement mis à jour (mensuels, trimestriels).</t>
  </si>
  <si>
    <t>Les indicateurs utilisés sont-ils alignés sur les objectifs stratégiques définis ?</t>
  </si>
  <si>
    <t>Planning ou historique des mises à jour du tableau de bord.</t>
  </si>
  <si>
    <t>Absence de pilotage orienté résultats et amélioration continue.</t>
  </si>
  <si>
    <t>Pilotage sans indicateurs conduisant à une gestion aveugle</t>
  </si>
  <si>
    <t>Évaluation irrégulière ou incomplète des contrôles</t>
  </si>
  <si>
    <t>Le tableau de bord est aligné sur les objectifs stratégiques de la DSI (BSC ou équivalent).</t>
  </si>
  <si>
    <t>À quelle fréquence le tableau de bord est-il mis à jour et communiqué ?</t>
  </si>
  <si>
    <t>Rapports de performance ou bilans périodiques.</t>
  </si>
  <si>
    <t>Difficulté à justifier les budgets ou ressources alloués.</t>
  </si>
  <si>
    <t>Faiblesses persistantes diminuant la performance globale</t>
  </si>
  <si>
    <t>Surveillance défaillante des mécanismes en place</t>
  </si>
  <si>
    <t>Les résultats du tableau de bord sont partagés avec la Direction générale et les parties prenantes concernées.</t>
  </si>
  <si>
    <t>Le tableau de bord permet-il de prendre des décisions concrètes en matière d'amélioration ?</t>
  </si>
  <si>
    <t>Traces de communication ou restitution à la direction (PV, mails, présentations…).</t>
  </si>
  <si>
    <t>Faible implication des métiers et de la direction dans les enjeux SI.</t>
  </si>
  <si>
    <t>Décisions non éclairées augmentant les risques organisationnels</t>
  </si>
  <si>
    <t>Faiblesses non identifiées dans le système de contrôle</t>
  </si>
  <si>
    <t>Vérifier qu’il est systématiquement effectué un bilan après 
chaque projet et notamment un bilan économique (bilan rapproché 
des prévisions de l’étude préalable)</t>
  </si>
  <si>
    <t>Des bilans de projet sont systématiquement réalisés à la clôture de chaque projet.</t>
  </si>
  <si>
    <t>Avez-vous un processus formel de bilan de projet à la fin de chaque initiative ?</t>
  </si>
  <si>
    <t>Exemple(s) de bilans de projets récents.</t>
  </si>
  <si>
    <t>Répétition des erreurs d’un projet à l’autre (absence de retour d’expérience).</t>
  </si>
  <si>
    <t>Défaut de supervision par la gouvernance réduisant la maîtrise des risques</t>
  </si>
  <si>
    <t>Responsabilités floues dans l'évaluation des contrôles</t>
  </si>
  <si>
    <r>
      <t xml:space="preserve">Le bilan inclut une analyse économique comparant </t>
    </r>
    <r>
      <rPr>
        <b/>
        <sz val="11"/>
        <color theme="1"/>
        <rFont val="Calibri"/>
        <family val="2"/>
        <scheme val="minor"/>
      </rPr>
      <t>coûts réels vs prévisions</t>
    </r>
    <r>
      <rPr>
        <sz val="11"/>
        <color theme="1"/>
        <rFont val="Calibri"/>
        <family val="2"/>
        <scheme val="minor"/>
      </rPr>
      <t xml:space="preserve"> de l’étude préalable.</t>
    </r>
  </si>
  <si>
    <r>
      <t xml:space="preserve">Réalisez-vous un </t>
    </r>
    <r>
      <rPr>
        <b/>
        <sz val="11"/>
        <color theme="1"/>
        <rFont val="Calibri"/>
        <family val="2"/>
        <scheme val="minor"/>
      </rPr>
      <t>bilan économique</t>
    </r>
    <r>
      <rPr>
        <sz val="11"/>
        <color theme="1"/>
        <rFont val="Calibri"/>
        <family val="2"/>
        <scheme val="minor"/>
      </rPr>
      <t xml:space="preserve"> comparatif avec les estimations initiales ?</t>
    </r>
  </si>
  <si>
    <t>Études préalables ou dossiers de cadrage de ces projets.</t>
  </si>
  <si>
    <t>Non-maîtrise des écarts budgétaires (dérives financières non identifiées).</t>
  </si>
  <si>
    <t>Orientations stratégiques introuvables créant des incohérences opérationnelles</t>
  </si>
  <si>
    <t>Performance non mesurée des dispositifs de contrôle</t>
  </si>
  <si>
    <t>Les écarts sont expliqués et documentés (retards, surcoûts, économies).</t>
  </si>
  <si>
    <t>Ces bilans sont-ils exploités pour améliorer la gestion des projets futurs ?</t>
  </si>
  <si>
    <t>Grille d’analyse ou modèle de bilan économique.</t>
  </si>
  <si>
    <t>Perte de crédibilité de la DSI auprès de la direction générale.</t>
  </si>
  <si>
    <t>Décisions non implémentées générant un décalage stratégique/opérationnel</t>
  </si>
  <si>
    <t>Inadaptation des contrôles aux transformations majeures</t>
  </si>
  <si>
    <t>Les leçons apprises (retours d’expérience) sont formalisées et capitalisées.</t>
  </si>
  <si>
    <t>Qui est responsable de la réalisation du bilan et de sa validation ?</t>
  </si>
  <si>
    <t>Compte rendu ou rapport de clôture des projets.</t>
  </si>
  <si>
    <t>Difficulté à améliorer la planification ou les estimations futures.</t>
  </si>
  <si>
    <t>Effets non mesurés empêchant l'ajustement des correctifs</t>
  </si>
  <si>
    <t>Retard dans l'ajustement des processus internes</t>
  </si>
  <si>
    <t>Les bilans sont partagés avec les parties prenantes (MOA, direction, finance…).</t>
  </si>
  <si>
    <t>Les écarts entre les coûts prévisionnels et réels sont-ils suivis et expliqués ?</t>
  </si>
  <si>
    <t>Retours d’expérience ou documents de capitalisation.</t>
  </si>
  <si>
    <t>Impossibilité de mesurer le retour sur investissement (ROI) des projets SI.</t>
  </si>
  <si>
    <t>Système rigide incapable de s'adapter aux changements</t>
  </si>
  <si>
    <t>Décisions non documentées après évaluation</t>
  </si>
  <si>
    <t>Vérifier l’existence d’un organigramme à jour de la DSI</t>
  </si>
  <si>
    <t>1. Un organigramme formel de la DSI existe.</t>
  </si>
  <si>
    <t>Existe-t-il un organigramme officiel de la DSI ?</t>
  </si>
  <si>
    <t>Organigramme officiel de la DSI (format PDF, PPT, Visio ou équivalent).</t>
  </si>
  <si>
    <t>Confusion sur les rôles et responsabilités des membres de la DSI.</t>
  </si>
  <si>
    <t>Retard sur les meilleures pratiques donnant un désavantage concurrentiel</t>
  </si>
  <si>
    <t>Révisions non effectuées après changements</t>
  </si>
  <si>
    <t>2. L’organigramme est daté et mis à jour régulièrement (au moins une fois par an ou après réorganisation).</t>
  </si>
  <si>
    <t>Quelle est la date de sa dernière mise à jour ?</t>
  </si>
  <si>
    <t>Note interne ou décision validant la dernière mise à jour.</t>
  </si>
  <si>
    <t>Difficultés de coordination et de communication entre les équipes.</t>
  </si>
  <si>
    <t>Risques émergents non identifiés exposant à des menaces imprévues</t>
  </si>
  <si>
    <t>Implication inégale des responsables dans les évaluations</t>
  </si>
  <si>
    <t>3. Chaque poste y est clairement identifié avec le nom, le rôle ou la fonction associée.</t>
  </si>
  <si>
    <t>Est-il validé par la direction des ressources humaines ou la direction générale ?</t>
  </si>
  <si>
    <t>Fiches de poste ou descriptions de fonction liées à l’organigramme.</t>
  </si>
  <si>
    <t>Risques de doublon ou d’omission de certaines fonctions critiques (ex : cybersécurité, conformité…).</t>
  </si>
  <si>
    <t>Réponse inadaptée aggravant les incidents</t>
  </si>
  <si>
    <t>Transmission incomplète ou tardive des résultats</t>
  </si>
  <si>
    <t>4. Les lignes hiérarchiques et les responsabilités sont clairement représentées.</t>
  </si>
  <si>
    <t>Comment les évolutions organisationnelles sont-elles prises en compte dans l’organigramme ?</t>
  </si>
  <si>
    <t>Planning ou historique des mises à jour organisationnelles.</t>
  </si>
  <si>
    <t>Mauvaise affectation des ressources humaines ou des responsabilités projets.</t>
  </si>
  <si>
    <t>Défaut de préparation aux crises prolongeant les temps de reprise</t>
  </si>
  <si>
    <t>Améliorations non suivies ou non implémentées</t>
  </si>
  <si>
    <t>Organisation et structure de la DSI</t>
  </si>
  <si>
    <t>5. L’organigramme est accessible aux parties prenantes concernées (Direction Générale, RH, MOA…).</t>
  </si>
  <si>
    <t>L’organigramme reflète-t-il fidèlement les rôles actuels des équipes SI (infra, support, dev, sécurité, etc.) ?</t>
  </si>
  <si>
    <t>Traces de diffusion interne (email, intranet, PV de réunion…).</t>
  </si>
  <si>
    <t>Manque de lisibilité pour les autres directions et partenaires externes.</t>
  </si>
  <si>
    <t>Tests non représentatifs surestimant le niveau de sécurité réel</t>
  </si>
  <si>
    <t>Efficacité non vérifiée des actions correctives</t>
  </si>
  <si>
    <t>Vérifier l’existence d’une définition de fonction et d’un partage 
clair des rôles et des responsabilités pour chaque poste figurant sur 
l’organigramme</t>
  </si>
  <si>
    <r>
      <t xml:space="preserve">1. Chaque poste de l’organigramme dispose d’une </t>
    </r>
    <r>
      <rPr>
        <b/>
        <sz val="11"/>
        <color theme="1"/>
        <rFont val="Calibri"/>
        <family val="2"/>
        <scheme val="minor"/>
      </rPr>
      <t>fiche de poste ou fiche de fonction formalisée</t>
    </r>
    <r>
      <rPr>
        <sz val="11"/>
        <color theme="1"/>
        <rFont val="Calibri"/>
        <family val="2"/>
        <scheme val="minor"/>
      </rPr>
      <t>.</t>
    </r>
  </si>
  <si>
    <t>Disposez-vous de fiches de poste actualisées pour tous les membres de la DSI ?</t>
  </si>
  <si>
    <t>Fiches de poste ou fiches de fonction pour tous les postes présents sur l’organigramme.</t>
  </si>
  <si>
    <t>Ambiguïté dans les responsabilités des membres de la DSI.</t>
  </si>
  <si>
    <t>Répétition des mêmes incidents par manque d'analyse post-mortem</t>
  </si>
  <si>
    <t>Responsabilités mal définies pour les corrections</t>
  </si>
  <si>
    <t>2. Les rôles, missions, responsabilités et rattachements hiérarchiques y sont clairement définis.</t>
  </si>
  <si>
    <t>Qui est responsable de leur rédaction, validation et mise à jour ?</t>
  </si>
  <si>
    <t>Modèle de fiche de fonction utilisé au sein de l’organisation.</t>
  </si>
  <si>
    <t>Conflits ou chevauchements de missions entre les collaborateurs.</t>
  </si>
  <si>
    <t>Savoir-faire non capitalisé entraînant une perte de connaissance</t>
  </si>
  <si>
    <t>Critères d'évaluation obsolètes ou inadaptés</t>
  </si>
  <si>
    <r>
      <t xml:space="preserve">3. Les fiches sont </t>
    </r>
    <r>
      <rPr>
        <b/>
        <sz val="11"/>
        <color theme="1"/>
        <rFont val="Calibri"/>
        <family val="2"/>
        <scheme val="minor"/>
      </rPr>
      <t>validées par la DRH</t>
    </r>
    <r>
      <rPr>
        <sz val="11"/>
        <color theme="1"/>
        <rFont val="Calibri"/>
        <family val="2"/>
        <scheme val="minor"/>
      </rPr>
      <t xml:space="preserve"> et mises à disposition des collaborateurs concernés.</t>
    </r>
  </si>
  <si>
    <t>Comment sont-elles communiquées aux nouveaux arrivants ?</t>
  </si>
  <si>
    <t>Planning de mise à jour ou d’évaluation annuelle des fiches.</t>
  </si>
  <si>
    <t>Difficulté à évaluer les performances individuelles et collectives.</t>
  </si>
  <si>
    <t>Retours d'expérience ignorés reproduisant les mêmes erreurs</t>
  </si>
  <si>
    <t>Seuils de tolérance mal définis ou non respectés</t>
  </si>
  <si>
    <r>
      <t xml:space="preserve">4. Les responsabilités sont </t>
    </r>
    <r>
      <rPr>
        <b/>
        <sz val="11"/>
        <color theme="1"/>
        <rFont val="Calibri"/>
        <family val="2"/>
        <scheme val="minor"/>
      </rPr>
      <t>alignées avec les objectifs et activités du poste</t>
    </r>
    <r>
      <rPr>
        <sz val="11"/>
        <color theme="1"/>
        <rFont val="Calibri"/>
        <family val="2"/>
        <scheme val="minor"/>
      </rPr>
      <t>.</t>
    </r>
  </si>
  <si>
    <t>Les rôles et responsabilités sont-ils cohérents avec l’organigramme officiel ?</t>
  </si>
  <si>
    <t>Preuve de validation par la DRH ou la Direction Générale.</t>
  </si>
  <si>
    <t>Faible transparence dans l’organisation du travail et la gestion des priorités.</t>
  </si>
  <si>
    <t>Processus non optimisés générant des gaspillages de ressources</t>
  </si>
  <si>
    <t>Évaluations irrégulières ou incomplètes</t>
  </si>
  <si>
    <r>
      <t xml:space="preserve">5. Les fiches de poste sont </t>
    </r>
    <r>
      <rPr>
        <b/>
        <sz val="11"/>
        <color theme="1"/>
        <rFont val="Calibri"/>
        <family val="2"/>
        <scheme val="minor"/>
      </rPr>
      <t>mises à jour régulièrement</t>
    </r>
    <r>
      <rPr>
        <sz val="11"/>
        <color theme="1"/>
        <rFont val="Calibri"/>
        <family val="2"/>
        <scheme val="minor"/>
      </rPr>
      <t xml:space="preserve"> (au moins une fois par an ou en cas de changement).</t>
    </r>
  </si>
  <si>
    <t>En cas de changement d’organisation, les fiches sont-elles rapidement adaptées ?</t>
  </si>
  <si>
    <t>Document de communication interne (note de service, procédure RH…).</t>
  </si>
  <si>
    <t>Risques juridiques en cas de litiges liés aux missions (ex : sécurité, RGPD…).</t>
  </si>
  <si>
    <t>Impossibilité de prouver la conformité exposant à des sanctions</t>
  </si>
  <si>
    <t>Actions non déclenchées malgré les écarts</t>
  </si>
  <si>
    <t>Vérifier que l’ensemble des composantes d’une fonction 
informatique est convenablement pris en compte, notamment la veille 
technologique, la sécurité informatique, la fonction qualité &amp; 
méthodes, la gestion des ressources humaines, le contrôle de gestion, 
le support utilisateurs (de proximité et à distance), l’administration des 
serveurs</t>
  </si>
  <si>
    <r>
      <t xml:space="preserve">1. L’organigramme ou la cartographie des fonctions SI couvre bien </t>
    </r>
    <r>
      <rPr>
        <b/>
        <sz val="11"/>
        <color theme="1"/>
        <rFont val="Calibri"/>
        <family val="2"/>
        <scheme val="minor"/>
      </rPr>
      <t>toutes les composantes clés</t>
    </r>
    <r>
      <rPr>
        <sz val="11"/>
        <color theme="1"/>
        <rFont val="Calibri"/>
        <family val="2"/>
        <scheme val="minor"/>
      </rPr>
      <t xml:space="preserve"> mentionnées.</t>
    </r>
  </si>
  <si>
    <t>Les activités suivantes sont-elles couvertes dans l’organisation SI : veille, sécurité, qualité, RH, support, serveurs, pilotage ?</t>
  </si>
  <si>
    <t>Organigramme fonctionnel de la DSI ou cartographie des responsabilités.</t>
  </si>
  <si>
    <r>
      <t xml:space="preserve">Risques accrus de </t>
    </r>
    <r>
      <rPr>
        <b/>
        <sz val="11"/>
        <color theme="1"/>
        <rFont val="Calibri"/>
        <family val="2"/>
        <scheme val="minor"/>
      </rPr>
      <t>cyberattaques</t>
    </r>
    <r>
      <rPr>
        <sz val="11"/>
        <color theme="1"/>
        <rFont val="Calibri"/>
        <family val="2"/>
        <scheme val="minor"/>
      </rPr>
      <t xml:space="preserve"> en cas de défaillance sur la sécurité informatique.</t>
    </r>
  </si>
  <si>
    <t>Mécanismes de suivi inefficaces laissant passer des anomalies</t>
  </si>
  <si>
    <t>Mise à jour retardée des référentiels d'évaluation</t>
  </si>
  <si>
    <r>
      <t xml:space="preserve">2. Chaque composante (veille, sécurité, support...) est </t>
    </r>
    <r>
      <rPr>
        <b/>
        <sz val="11"/>
        <color theme="1"/>
        <rFont val="Calibri"/>
        <family val="2"/>
        <scheme val="minor"/>
      </rPr>
      <t>associée à un responsable identifié</t>
    </r>
    <r>
      <rPr>
        <sz val="11"/>
        <color theme="1"/>
        <rFont val="Calibri"/>
        <family val="2"/>
        <scheme val="minor"/>
      </rPr>
      <t xml:space="preserve"> ou à une équipe dédiée.</t>
    </r>
  </si>
  <si>
    <t>Existe-t-il des fiches de poste et procédures pour chaque domaine ?</t>
  </si>
  <si>
    <t>Procédures ou politiques propres à chaque domaine (sécurité, qualité, support…).</t>
  </si>
  <si>
    <r>
      <t>Absence d’innovation</t>
    </r>
    <r>
      <rPr>
        <sz val="11"/>
        <color theme="1"/>
        <rFont val="Calibri"/>
        <family val="2"/>
        <scheme val="minor"/>
      </rPr>
      <t xml:space="preserve"> ou de réactivité sans veille technologique.</t>
    </r>
  </si>
  <si>
    <t>Audits non représentatifs donnant une fausse sécurité</t>
  </si>
  <si>
    <t>Capitalisation insuffisante des résultats</t>
  </si>
  <si>
    <r>
      <t xml:space="preserve">3. Des </t>
    </r>
    <r>
      <rPr>
        <b/>
        <sz val="11"/>
        <color theme="1"/>
        <rFont val="Calibri"/>
        <family val="2"/>
        <scheme val="minor"/>
      </rPr>
      <t>processus formalisés</t>
    </r>
    <r>
      <rPr>
        <sz val="11"/>
        <color theme="1"/>
        <rFont val="Calibri"/>
        <family val="2"/>
        <scheme val="minor"/>
      </rPr>
      <t xml:space="preserve"> (procédures, chartes, manuels) existent pour chaque fonction critique.</t>
    </r>
  </si>
  <si>
    <t>Quels outils ou mécanismes assurent la coordination entre ces fonctions ?</t>
  </si>
  <si>
    <t>Fiches de poste ou fiches de mission spécifiques.</t>
  </si>
  <si>
    <r>
      <t>Non-conformité réglementaire</t>
    </r>
    <r>
      <rPr>
        <sz val="11"/>
        <color theme="1"/>
        <rFont val="Calibri"/>
        <family val="2"/>
        <scheme val="minor"/>
      </rPr>
      <t xml:space="preserve"> (ISO, RGPD...) si la qualité et les méthodes ne sont pas pilotées.</t>
    </r>
  </si>
  <si>
    <t>Règles internes non révisées devenant inadaptées</t>
  </si>
  <si>
    <r>
      <t xml:space="preserve">4. Il existe des </t>
    </r>
    <r>
      <rPr>
        <b/>
        <sz val="11"/>
        <color theme="1"/>
        <rFont val="Calibri"/>
        <family val="2"/>
        <scheme val="minor"/>
      </rPr>
      <t>indicateurs de suivi</t>
    </r>
    <r>
      <rPr>
        <sz val="11"/>
        <color theme="1"/>
        <rFont val="Calibri"/>
        <family val="2"/>
        <scheme val="minor"/>
      </rPr>
      <t xml:space="preserve"> ou tableaux de bord pour chacune des composantes.</t>
    </r>
  </si>
  <si>
    <t>Des indicateurs permettent-ils d’évaluer la performance de chaque composante ?</t>
  </si>
  <si>
    <t>Tableaux de bord ou KPI liés à ces fonctions.</t>
  </si>
  <si>
    <r>
      <t>Désorganisation</t>
    </r>
    <r>
      <rPr>
        <sz val="11"/>
        <color theme="1"/>
        <rFont val="Calibri"/>
        <family val="2"/>
        <scheme val="minor"/>
      </rPr>
      <t xml:space="preserve"> des équipes SI en l'absence de pilotage RH et de support structuré.</t>
    </r>
  </si>
  <si>
    <t>Calendrier non respecté retardant les mises à jour critiques</t>
  </si>
  <si>
    <t>Instaurer un registre centralisé des décisions stratégiques avec suivi des actions</t>
  </si>
  <si>
    <r>
      <t xml:space="preserve">5. La couverture fonctionnelle est </t>
    </r>
    <r>
      <rPr>
        <b/>
        <sz val="11"/>
        <color theme="1"/>
        <rFont val="Calibri"/>
        <family val="2"/>
        <scheme val="minor"/>
      </rPr>
      <t>revue régulièrement</t>
    </r>
    <r>
      <rPr>
        <sz val="11"/>
        <color theme="1"/>
        <rFont val="Calibri"/>
        <family val="2"/>
        <scheme val="minor"/>
      </rPr>
      <t xml:space="preserve"> pour l’adapter aux évolutions technologiques et aux besoins métier.</t>
    </r>
  </si>
  <si>
    <t>Comment les fonctions transverses (qualité, sécurité, veille) sont-elles pilotées et suivies ?</t>
  </si>
  <si>
    <t>Rapports d’audit, de veille technologique ou de revue de processus.</t>
  </si>
  <si>
    <r>
      <t>Surcharge des équipes techniques</t>
    </r>
    <r>
      <rPr>
        <sz val="11"/>
        <color theme="1"/>
        <rFont val="Calibri"/>
        <family val="2"/>
        <scheme val="minor"/>
      </rPr>
      <t xml:space="preserve"> si certaines fonctions sont oubliées ou mal déléguées.</t>
    </r>
  </si>
  <si>
    <t>Modifications non documentées créant de la confusion opérationnelle</t>
  </si>
  <si>
    <t>Développer un système de suivi des décisions avec alertes pour les retards</t>
  </si>
  <si>
    <t>Évaluer l’adéquation des effectifs aux besoins et aux enjeux</t>
  </si>
  <si>
    <r>
      <t xml:space="preserve">Le dimensionnement des équipes est </t>
    </r>
    <r>
      <rPr>
        <b/>
        <sz val="11"/>
        <color theme="1"/>
        <rFont val="Calibri"/>
        <family val="2"/>
        <scheme val="minor"/>
      </rPr>
      <t>aligné sur les volumes d’activités, projets et services à rendre</t>
    </r>
    <r>
      <rPr>
        <sz val="11"/>
        <color theme="1"/>
        <rFont val="Calibri"/>
        <family val="2"/>
        <scheme val="minor"/>
      </rPr>
      <t>.</t>
    </r>
  </si>
  <si>
    <t>Combien de collaborateurs composent l’équipe informatique ? Leur nombre est-il jugé suffisant ?</t>
  </si>
  <si>
    <t>Organigramme de la DSI avec effectifs par fonction.</t>
  </si>
  <si>
    <r>
      <t>1. Sous-effectif</t>
    </r>
    <r>
      <rPr>
        <sz val="11"/>
        <color theme="1"/>
        <rFont val="Calibri"/>
        <family val="2"/>
        <scheme val="minor"/>
      </rPr>
      <t xml:space="preserve"> entraînant surcharge, stress, délais allongés, perte de qualité de service.</t>
    </r>
  </si>
  <si>
    <t>Retard de diffusion générant des incohérences entre services</t>
  </si>
  <si>
    <t>Mettre en place des indicateurs de performance pour mesurer l'impact des correctifs</t>
  </si>
  <si>
    <r>
      <t xml:space="preserve">Il existe une </t>
    </r>
    <r>
      <rPr>
        <b/>
        <sz val="11"/>
        <color theme="1"/>
        <rFont val="Calibri"/>
        <family val="2"/>
        <scheme val="minor"/>
      </rPr>
      <t>analyse formalisée de la charge de travail</t>
    </r>
    <r>
      <rPr>
        <sz val="11"/>
        <color theme="1"/>
        <rFont val="Calibri"/>
        <family val="2"/>
        <scheme val="minor"/>
      </rPr>
      <t xml:space="preserve"> par domaine ou service.</t>
    </r>
  </si>
  <si>
    <t>Une étude de charge ou une planification des ressources a-t-elle été réalisée récemment ?</t>
  </si>
  <si>
    <t>Rapport de charge ou tableau de suivi des activités/projets.</t>
  </si>
  <si>
    <r>
      <t>2. Sur-effectif</t>
    </r>
    <r>
      <rPr>
        <sz val="11"/>
        <color theme="1"/>
        <rFont val="Calibri"/>
        <family val="2"/>
        <scheme val="minor"/>
      </rPr>
      <t xml:space="preserve"> inutilement coûteux, sans justification économique.</t>
    </r>
  </si>
  <si>
    <t>Décalage avec les standards sectoriels nuisant à la compétitivité</t>
  </si>
  <si>
    <t>Élaborer des plans d'action standardisés avec jalons et livrables clairs</t>
  </si>
  <si>
    <r>
      <t xml:space="preserve">Les compétences internes sont </t>
    </r>
    <r>
      <rPr>
        <b/>
        <sz val="11"/>
        <color theme="1"/>
        <rFont val="Calibri"/>
        <family val="2"/>
        <scheme val="minor"/>
      </rPr>
      <t>suffisantes pour couvrir les technologies, projets et enjeux stratégiques</t>
    </r>
    <r>
      <rPr>
        <sz val="11"/>
        <color theme="1"/>
        <rFont val="Calibri"/>
        <family val="2"/>
        <scheme val="minor"/>
      </rPr>
      <t>.</t>
    </r>
  </si>
  <si>
    <t>Quels sont les domaines où l’organisation manque de compétences ou d’effectifs ?</t>
  </si>
  <si>
    <t>Plan de gestion prévisionnelle des emplois et des compétences (GPEC).</t>
  </si>
  <si>
    <r>
      <t>3. Compétences inadaptées</t>
    </r>
    <r>
      <rPr>
        <sz val="11"/>
        <color theme="1"/>
        <rFont val="Calibri"/>
        <family val="2"/>
        <scheme val="minor"/>
      </rPr>
      <t xml:space="preserve"> face à des évolutions technologiques ou réglementaires.</t>
    </r>
  </si>
  <si>
    <t>Implication insuffisante des opérationnels réduisant l'adhésion aux changements</t>
  </si>
  <si>
    <t>Définir des matrices RACI pour chaque plan de correction</t>
  </si>
  <si>
    <r>
      <t xml:space="preserve">Des </t>
    </r>
    <r>
      <rPr>
        <b/>
        <sz val="11"/>
        <color theme="1"/>
        <rFont val="Calibri"/>
        <family val="2"/>
        <scheme val="minor"/>
      </rPr>
      <t>plans de recrutement, de formation ou d’externalisation</t>
    </r>
    <r>
      <rPr>
        <sz val="11"/>
        <color theme="1"/>
        <rFont val="Calibri"/>
        <family val="2"/>
        <scheme val="minor"/>
      </rPr>
      <t xml:space="preserve"> sont mis en œuvre si un écart est constaté.</t>
    </r>
  </si>
  <si>
    <t>Le recours à l’externalisation est-il organisé, encadré, cohérent avec les besoins ?</t>
  </si>
  <si>
    <t>Fiches de poste et indicateurs de performance.</t>
  </si>
  <si>
    <r>
      <t xml:space="preserve">4. Risque de </t>
    </r>
    <r>
      <rPr>
        <b/>
        <sz val="11"/>
        <color theme="1"/>
        <rFont val="Calibri"/>
        <family val="2"/>
        <scheme val="minor"/>
      </rPr>
      <t>déséquilibre entre tâches opérationnelles et projets stratégiques</t>
    </r>
    <r>
      <rPr>
        <sz val="11"/>
        <color theme="1"/>
        <rFont val="Calibri"/>
        <family val="2"/>
        <scheme val="minor"/>
      </rPr>
      <t>.</t>
    </r>
  </si>
  <si>
    <t>Revues processus irrégulières laissant dériver les pratiques</t>
  </si>
  <si>
    <t>Implémenter un outil de suivi des corrections avec rapports automatiques</t>
  </si>
  <si>
    <r>
      <t xml:space="preserve">Le </t>
    </r>
    <r>
      <rPr>
        <b/>
        <sz val="11"/>
        <color theme="1"/>
        <rFont val="Calibri"/>
        <family val="2"/>
        <scheme val="minor"/>
      </rPr>
      <t>taux de disponibilité opérationnelle</t>
    </r>
    <r>
      <rPr>
        <sz val="11"/>
        <color theme="1"/>
        <rFont val="Calibri"/>
        <family val="2"/>
        <scheme val="minor"/>
      </rPr>
      <t xml:space="preserve"> des équipes est suivi et optimisé.</t>
    </r>
  </si>
  <si>
    <t>Quelles sont les actions prévues pour faire face à des enjeux nouveaux (cybersécurité, cloud, RGPD…) ?</t>
  </si>
  <si>
    <t>Bilans RH ou rapports d’audit interne sur les effectifs.</t>
  </si>
  <si>
    <r>
      <t xml:space="preserve">5. Difficulté à maintenir un </t>
    </r>
    <r>
      <rPr>
        <b/>
        <sz val="11"/>
        <color theme="1"/>
        <rFont val="Calibri"/>
        <family val="2"/>
        <scheme val="minor"/>
      </rPr>
      <t>support utilisateurs performant</t>
    </r>
    <r>
      <rPr>
        <sz val="11"/>
        <color theme="1"/>
        <rFont val="Calibri"/>
        <family val="2"/>
        <scheme val="minor"/>
      </rPr>
      <t xml:space="preserve"> ou à respecter les SLA.</t>
    </r>
  </si>
  <si>
    <t>Décisions de modification introuvables compliquant les audits</t>
  </si>
  <si>
    <t>Créer une base de connaissances des corrections passées et leçons apprises</t>
  </si>
  <si>
    <t>Évaluer l’adéquation des qualifications du personnel avec les 
fonctions qu’ils occupent</t>
  </si>
  <si>
    <r>
      <t xml:space="preserve">Les agents en poste disposent des </t>
    </r>
    <r>
      <rPr>
        <b/>
        <sz val="11"/>
        <color theme="1"/>
        <rFont val="Calibri"/>
        <family val="2"/>
        <scheme val="minor"/>
      </rPr>
      <t>diplômes, certifications ou compétences nécessaires</t>
    </r>
    <r>
      <rPr>
        <sz val="11"/>
        <color theme="1"/>
        <rFont val="Calibri"/>
        <family val="2"/>
        <scheme val="minor"/>
      </rPr>
      <t xml:space="preserve"> aux missions confiées.</t>
    </r>
  </si>
  <si>
    <t>Les qualifications requises sont-elles définies pour chaque poste ?</t>
  </si>
  <si>
    <t>Fiches de poste et fiches de fonctions.</t>
  </si>
  <si>
    <r>
      <t>Mauvaise exécution des missions</t>
    </r>
    <r>
      <rPr>
        <sz val="11"/>
        <color theme="1"/>
        <rFont val="Calibri"/>
        <family val="2"/>
        <scheme val="minor"/>
      </rPr>
      <t xml:space="preserve"> techniques ou métiers.</t>
    </r>
  </si>
  <si>
    <t>Contributions ignorées démobilisant les équipes</t>
  </si>
  <si>
    <t>Instaurer des revues systématiques post-implantation des correctifs</t>
  </si>
  <si>
    <r>
      <t xml:space="preserve">Une </t>
    </r>
    <r>
      <rPr>
        <b/>
        <sz val="11"/>
        <color theme="1"/>
        <rFont val="Calibri"/>
        <family val="2"/>
        <scheme val="minor"/>
      </rPr>
      <t>fiche de poste détaillée</t>
    </r>
    <r>
      <rPr>
        <sz val="11"/>
        <color theme="1"/>
        <rFont val="Calibri"/>
        <family val="2"/>
        <scheme val="minor"/>
      </rPr>
      <t xml:space="preserve"> est disponible pour chaque fonction occupée.</t>
    </r>
  </si>
  <si>
    <t>Le personnel en place dispose-t-il des compétences techniques et fonctionnelles adéquates ?</t>
  </si>
  <si>
    <t>CV ou dossiers professionnels du personnel.</t>
  </si>
  <si>
    <r>
      <t>Erreurs, retards ou incidents</t>
    </r>
    <r>
      <rPr>
        <sz val="11"/>
        <color theme="1"/>
        <rFont val="Calibri"/>
        <family val="2"/>
        <scheme val="minor"/>
      </rPr>
      <t xml:space="preserve"> opérationnels causés par un manque de compétence.</t>
    </r>
  </si>
  <si>
    <t>Adaptations non alignées créant des dissonances opérationnelles</t>
  </si>
  <si>
    <t>Mettre en place des analyses de cause racine pour les déficiences récurrentes</t>
  </si>
  <si>
    <r>
      <t xml:space="preserve">L’organisation tient à jour une </t>
    </r>
    <r>
      <rPr>
        <b/>
        <sz val="11"/>
        <color theme="1"/>
        <rFont val="Calibri"/>
        <family val="2"/>
        <scheme val="minor"/>
      </rPr>
      <t>cartographie des compétences</t>
    </r>
    <r>
      <rPr>
        <sz val="11"/>
        <color theme="1"/>
        <rFont val="Calibri"/>
        <family val="2"/>
        <scheme val="minor"/>
      </rPr>
      <t>.</t>
    </r>
  </si>
  <si>
    <t>Un inventaire ou un référentiel des compétences du personnel existe-t-il ?</t>
  </si>
  <si>
    <t>Référentiel des compétences par fonction ou service.</t>
  </si>
  <si>
    <r>
      <t>Insatisfaction des utilisateurs finaux</t>
    </r>
    <r>
      <rPr>
        <sz val="11"/>
        <color theme="1"/>
        <rFont val="Calibri"/>
        <family val="2"/>
        <scheme val="minor"/>
      </rPr>
      <t xml:space="preserve"> ou des partenaires métiers.</t>
    </r>
  </si>
  <si>
    <t>Contrôles inefficaces par manque de rigueur dans le suivi</t>
  </si>
  <si>
    <t>Former les équipes aux techniques d'analyse des causes profondes (5 pourquoi, diagramme d'Ishikawa)</t>
  </si>
  <si>
    <r>
      <t xml:space="preserve">Des </t>
    </r>
    <r>
      <rPr>
        <b/>
        <sz val="11"/>
        <color theme="1"/>
        <rFont val="Calibri"/>
        <family val="2"/>
        <scheme val="minor"/>
      </rPr>
      <t>écarts entre profils requis et profils en poste</t>
    </r>
    <r>
      <rPr>
        <sz val="11"/>
        <color theme="1"/>
        <rFont val="Calibri"/>
        <family val="2"/>
        <scheme val="minor"/>
      </rPr>
      <t xml:space="preserve"> sont identifiés et suivis.</t>
    </r>
  </si>
  <si>
    <t>Comment l’organisation identifie-t-elle les écarts de compétences ?</t>
  </si>
  <si>
    <t>Plan de formation actualisé.</t>
  </si>
  <si>
    <t>Difficulté à intégrer de nouvelles technologies ou méthodes.</t>
  </si>
  <si>
    <t>Reporting incomplet faussant le tableau de bord de gestion</t>
  </si>
  <si>
    <t>Développer un processus formalisé d'amélioration continue (PDCA)</t>
  </si>
  <si>
    <r>
      <t xml:space="preserve">Un </t>
    </r>
    <r>
      <rPr>
        <b/>
        <sz val="11"/>
        <color theme="1"/>
        <rFont val="Calibri"/>
        <family val="2"/>
        <scheme val="minor"/>
      </rPr>
      <t>plan de formation</t>
    </r>
    <r>
      <rPr>
        <sz val="11"/>
        <color theme="1"/>
        <rFont val="Calibri"/>
        <family val="2"/>
        <scheme val="minor"/>
      </rPr>
      <t xml:space="preserve"> ou d’évolution accompagne les profils nécessitant une montée en compétences.</t>
    </r>
  </si>
  <si>
    <t>Quelles mesures sont mises en œuvre (formations, coaching, mobilité) pour combler ces écarts ?</t>
  </si>
  <si>
    <t>Rapport RH ou audit interne des qualifications.</t>
  </si>
  <si>
    <r>
      <t xml:space="preserve">Risque de </t>
    </r>
    <r>
      <rPr>
        <b/>
        <sz val="11"/>
        <color theme="1"/>
        <rFont val="Calibri"/>
        <family val="2"/>
        <scheme val="minor"/>
      </rPr>
      <t>non-conformité réglementaire ou contractuelle</t>
    </r>
    <r>
      <rPr>
        <sz val="11"/>
        <color theme="1"/>
        <rFont val="Calibri"/>
        <family val="2"/>
        <scheme val="minor"/>
      </rPr>
      <t xml:space="preserve"> en cas d'exigences de qualification spécifiques.</t>
    </r>
  </si>
  <si>
    <t>Programme d'audit lacunaire laissant des zones non couvertes</t>
  </si>
  <si>
    <t>Créer un système de capitalisation des retours d'expérience accessible à tous</t>
  </si>
  <si>
    <t>Vérifier que l’expression des besoins, les spécifications 
fonctionnelles et la recette des applications sont effectuées par les 
utilisateurs</t>
  </si>
  <si>
    <r>
      <t xml:space="preserve">L’expression des besoins applicatifs est </t>
    </r>
    <r>
      <rPr>
        <b/>
        <sz val="11"/>
        <color theme="1"/>
        <rFont val="Calibri"/>
        <family val="2"/>
        <scheme val="minor"/>
      </rPr>
      <t>formellement rédigée et validée</t>
    </r>
    <r>
      <rPr>
        <sz val="11"/>
        <color theme="1"/>
        <rFont val="Calibri"/>
        <family val="2"/>
        <scheme val="minor"/>
      </rPr>
      <t xml:space="preserve"> par les utilisateurs.</t>
    </r>
  </si>
  <si>
    <t>Qui rédige les documents d’expression de besoins ? Sont-ils validés par les métiers ?</t>
  </si>
  <si>
    <t>Documents d’expression de besoins (cahier des charges utilisateur).</t>
  </si>
  <si>
    <t>1. Inadéquation entre les besoins métiers et la solution livrée.</t>
  </si>
  <si>
    <t>Preuves manquantes invalidant les conclusions d'audit</t>
  </si>
  <si>
    <t>Établir des tableaux de bord de suivi des progrès avec indicateurs clés</t>
  </si>
  <si>
    <r>
      <t xml:space="preserve">Les </t>
    </r>
    <r>
      <rPr>
        <b/>
        <sz val="11"/>
        <color theme="1"/>
        <rFont val="Calibri"/>
        <family val="2"/>
        <scheme val="minor"/>
      </rPr>
      <t>spécifications fonctionnelles</t>
    </r>
    <r>
      <rPr>
        <sz val="11"/>
        <color theme="1"/>
        <rFont val="Calibri"/>
        <family val="2"/>
        <scheme val="minor"/>
      </rPr>
      <t xml:space="preserve"> sont rédigées en collaboration avec la MOA (Maîtrise d’Ouvrage).</t>
    </r>
  </si>
  <si>
    <t>Les utilisateurs participent-ils aux ateliers de conception fonctionnelle ?</t>
  </si>
  <si>
    <t>Spécifications fonctionnelles signées (SFG ou SFD).</t>
  </si>
  <si>
    <r>
      <t xml:space="preserve">2. Risque de </t>
    </r>
    <r>
      <rPr>
        <b/>
        <sz val="11"/>
        <color theme="1"/>
        <rFont val="Calibri"/>
        <family val="2"/>
        <scheme val="minor"/>
      </rPr>
      <t>refus d’appropriation</t>
    </r>
    <r>
      <rPr>
        <sz val="11"/>
        <color theme="1"/>
        <rFont val="Calibri"/>
        <family val="2"/>
        <scheme val="minor"/>
      </rPr>
      <t xml:space="preserve"> ou de mauvaise adoption de l’application.</t>
    </r>
  </si>
  <si>
    <t>Actions non suivies permettant la persistance des problèmes</t>
  </si>
  <si>
    <t>Nommer des responsables de supervision avec compte-rendu régulier</t>
  </si>
  <si>
    <r>
      <t xml:space="preserve">Des </t>
    </r>
    <r>
      <rPr>
        <b/>
        <sz val="11"/>
        <color theme="1"/>
        <rFont val="Calibri"/>
        <family val="2"/>
        <scheme val="minor"/>
      </rPr>
      <t>comités de validation fonctionnelle</t>
    </r>
    <r>
      <rPr>
        <sz val="11"/>
        <color theme="1"/>
        <rFont val="Calibri"/>
        <family val="2"/>
        <scheme val="minor"/>
      </rPr>
      <t xml:space="preserve"> sont mis en place avec implication active des métiers.</t>
    </r>
  </si>
  <si>
    <t>Comment est organisée la phase de recette fonctionnelle (scénarios, jeux de données, outils) ?</t>
  </si>
  <si>
    <t>Plan de test et scénarios de recette.</t>
  </si>
  <si>
    <r>
      <t>3. Coûts de reprise ou de correction</t>
    </r>
    <r>
      <rPr>
        <sz val="11"/>
        <color theme="1"/>
        <rFont val="Calibri"/>
        <family val="2"/>
        <scheme val="minor"/>
      </rPr>
      <t xml:space="preserve"> élevés post-mise en production.</t>
    </r>
  </si>
  <si>
    <t>Détection tardive augmentant l'impact des écarts</t>
  </si>
  <si>
    <t>Instaurer des points de contrôle intermédiaires pour les actions en cours</t>
  </si>
  <si>
    <r>
      <t xml:space="preserve">La </t>
    </r>
    <r>
      <rPr>
        <b/>
        <sz val="11"/>
        <color theme="1"/>
        <rFont val="Calibri"/>
        <family val="2"/>
        <scheme val="minor"/>
      </rPr>
      <t>phase de recette</t>
    </r>
    <r>
      <rPr>
        <sz val="11"/>
        <color theme="1"/>
        <rFont val="Calibri"/>
        <family val="2"/>
        <scheme val="minor"/>
      </rPr>
      <t xml:space="preserve"> est réalisée par les utilisateurs avec des cas de tests validés.</t>
    </r>
  </si>
  <si>
    <t>Existe-t-il une procédure officielle de validation des applications avant mise en production ?</t>
  </si>
  <si>
    <t>PV de recette signés par les utilisateurs.</t>
  </si>
  <si>
    <r>
      <t xml:space="preserve">4. Non-conformité avec les </t>
    </r>
    <r>
      <rPr>
        <b/>
        <sz val="11"/>
        <color theme="1"/>
        <rFont val="Calibri"/>
        <family val="2"/>
        <scheme val="minor"/>
      </rPr>
      <t>règles métier ou réglementaires</t>
    </r>
    <r>
      <rPr>
        <sz val="11"/>
        <color theme="1"/>
        <rFont val="Calibri"/>
        <family val="2"/>
        <scheme val="minor"/>
      </rPr>
      <t xml:space="preserve"> spécifiques.</t>
    </r>
  </si>
  <si>
    <t>Correctifs retardés prolongeant l'exposition aux risques</t>
  </si>
  <si>
    <t>Mettre en place des mécanismes de supervision adaptés aux risques</t>
  </si>
  <si>
    <r>
      <t xml:space="preserve">Des </t>
    </r>
    <r>
      <rPr>
        <b/>
        <sz val="11"/>
        <color theme="1"/>
        <rFont val="Calibri"/>
        <family val="2"/>
        <scheme val="minor"/>
      </rPr>
      <t>procès-verbaux de validation</t>
    </r>
    <r>
      <rPr>
        <sz val="11"/>
        <color theme="1"/>
        <rFont val="Calibri"/>
        <family val="2"/>
        <scheme val="minor"/>
      </rPr>
      <t xml:space="preserve"> (PV de recette) sont signés par les représentants métiers.</t>
    </r>
  </si>
  <si>
    <t>Comment sont gérés les retours utilisateurs durant la phase de test (anomalies, évolutions, correctifs) ?</t>
  </si>
  <si>
    <t>Procédures de gestion des demandes de modifications.</t>
  </si>
  <si>
    <t>5. Allongement des délais projets dû à des retours tardifs ou contradictoires.</t>
  </si>
  <si>
    <t>Efficacité non vérifiée des corrections risquant de laisser des failles</t>
  </si>
  <si>
    <t>Standardiser les rapports d'évaluation avec preuves à l'appui</t>
  </si>
  <si>
    <t>Vérifier que les tâches, les locaux et les environnements relatifs 
aux fonctions études et exploitation, qu’ils soient assurés ou fournis 
en interne, ou externalisés, sont séparés</t>
  </si>
  <si>
    <r>
      <t xml:space="preserve">1. Les </t>
    </r>
    <r>
      <rPr>
        <b/>
        <sz val="11"/>
        <color theme="1"/>
        <rFont val="Calibri"/>
        <family val="2"/>
        <scheme val="minor"/>
      </rPr>
      <t>fonctions "études" (développement, intégration)</t>
    </r>
    <r>
      <rPr>
        <sz val="11"/>
        <color theme="1"/>
        <rFont val="Calibri"/>
        <family val="2"/>
        <scheme val="minor"/>
      </rPr>
      <t xml:space="preserve"> et </t>
    </r>
    <r>
      <rPr>
        <b/>
        <sz val="11"/>
        <color theme="1"/>
        <rFont val="Calibri"/>
        <family val="2"/>
        <scheme val="minor"/>
      </rPr>
      <t>"exploitation" (production, supervision, support)</t>
    </r>
    <r>
      <rPr>
        <sz val="11"/>
        <color theme="1"/>
        <rFont val="Calibri"/>
        <family val="2"/>
        <scheme val="minor"/>
      </rPr>
      <t xml:space="preserve"> sont assurées par </t>
    </r>
    <r>
      <rPr>
        <b/>
        <sz val="11"/>
        <color theme="1"/>
        <rFont val="Calibri"/>
        <family val="2"/>
        <scheme val="minor"/>
      </rPr>
      <t>des équipes distinctes</t>
    </r>
    <r>
      <rPr>
        <sz val="11"/>
        <color theme="1"/>
        <rFont val="Calibri"/>
        <family val="2"/>
        <scheme val="minor"/>
      </rPr>
      <t>.</t>
    </r>
  </si>
  <si>
    <t>1. Les développeurs ont-ils un accès direct à l’environnement de production ?</t>
  </si>
  <si>
    <t>Organigramme fonctionnel de la DSI et fiches de poste.</t>
  </si>
  <si>
    <r>
      <t>Modifications non autorisées ou non traçables</t>
    </r>
    <r>
      <rPr>
        <sz val="11"/>
        <color theme="1"/>
        <rFont val="Calibri"/>
        <family val="2"/>
        <scheme val="minor"/>
      </rPr>
      <t xml:space="preserve"> en production.</t>
    </r>
  </si>
  <si>
    <t>Responsabilités floues générant des rejets de responsabilité</t>
  </si>
  <si>
    <t>Organiser des revues critiques trimestrielles des dispositifs de supervision</t>
  </si>
  <si>
    <r>
      <t xml:space="preserve">2. Les </t>
    </r>
    <r>
      <rPr>
        <b/>
        <sz val="11"/>
        <color theme="1"/>
        <rFont val="Calibri"/>
        <family val="2"/>
        <scheme val="minor"/>
      </rPr>
      <t>droits d’accès</t>
    </r>
    <r>
      <rPr>
        <sz val="11"/>
        <color theme="1"/>
        <rFont val="Calibri"/>
        <family val="2"/>
        <scheme val="minor"/>
      </rPr>
      <t xml:space="preserve"> aux environnements de développement, de test et de production sont </t>
    </r>
    <r>
      <rPr>
        <b/>
        <sz val="11"/>
        <color theme="1"/>
        <rFont val="Calibri"/>
        <family val="2"/>
        <scheme val="minor"/>
      </rPr>
      <t>strictement séparés</t>
    </r>
    <r>
      <rPr>
        <sz val="11"/>
        <color theme="1"/>
        <rFont val="Calibri"/>
        <family val="2"/>
        <scheme val="minor"/>
      </rPr>
      <t>.</t>
    </r>
  </si>
  <si>
    <t>2. Comment sont organisés les rôles entre études et exploitation dans l’organigramme ?</t>
  </si>
  <si>
    <t>Politique de séparation des environnements.</t>
  </si>
  <si>
    <r>
      <t>Conflits d’intérêts</t>
    </r>
    <r>
      <rPr>
        <sz val="11"/>
        <color theme="1"/>
        <rFont val="Calibri"/>
        <family val="2"/>
        <scheme val="minor"/>
      </rPr>
      <t xml:space="preserve"> entre concepteurs et exploitants.</t>
    </r>
  </si>
  <si>
    <t>Clôture non formalisée entretenant la confusion sur l'état des actions</t>
  </si>
  <si>
    <t>Implémenter un système de remontée obligatoire des dysfonctionnements</t>
  </si>
  <si>
    <r>
      <t xml:space="preserve">3. Les </t>
    </r>
    <r>
      <rPr>
        <b/>
        <sz val="11"/>
        <color theme="1"/>
        <rFont val="Calibri"/>
        <family val="2"/>
        <scheme val="minor"/>
      </rPr>
      <t>locaux</t>
    </r>
    <r>
      <rPr>
        <sz val="11"/>
        <color theme="1"/>
        <rFont val="Calibri"/>
        <family val="2"/>
        <scheme val="minor"/>
      </rPr>
      <t xml:space="preserve"> (bureaux, salles serveurs) affectés aux fonctions critiques sont </t>
    </r>
    <r>
      <rPr>
        <b/>
        <sz val="11"/>
        <color theme="1"/>
        <rFont val="Calibri"/>
        <family val="2"/>
        <scheme val="minor"/>
      </rPr>
      <t>physiquement isolés ou contrôlés</t>
    </r>
    <r>
      <rPr>
        <sz val="11"/>
        <color theme="1"/>
        <rFont val="Calibri"/>
        <family val="2"/>
        <scheme val="minor"/>
      </rPr>
      <t>.</t>
    </r>
  </si>
  <si>
    <t>3. Existe-t-il des contrôles d’accès physiques ou logiques aux zones sensibles ?</t>
  </si>
  <si>
    <t>Registre des accès (physiques et systèmes).</t>
  </si>
  <si>
    <r>
      <t>Erreurs humaines ou techniques non détectées</t>
    </r>
    <r>
      <rPr>
        <sz val="11"/>
        <color theme="1"/>
        <rFont val="Calibri"/>
        <family val="2"/>
        <scheme val="minor"/>
      </rPr>
      <t xml:space="preserve"> rapidement.</t>
    </r>
  </si>
  <si>
    <t>Formation obsolète ne répondant plus aux besoins actuels</t>
  </si>
  <si>
    <t>Réviser annuellement le système de contrôle interne</t>
  </si>
  <si>
    <r>
      <t xml:space="preserve">4. Des </t>
    </r>
    <r>
      <rPr>
        <b/>
        <sz val="11"/>
        <color theme="1"/>
        <rFont val="Calibri"/>
        <family val="2"/>
        <scheme val="minor"/>
      </rPr>
      <t>procédures de transfert contrôlé</t>
    </r>
    <r>
      <rPr>
        <sz val="11"/>
        <color theme="1"/>
        <rFont val="Calibri"/>
        <family val="2"/>
        <scheme val="minor"/>
      </rPr>
      <t xml:space="preserve"> sont mises en place entre les environnements (ex. : recette → production).</t>
    </r>
  </si>
  <si>
    <t>4. Les environnements (développement, test, production) sont-ils cloisonnés techniquement ?</t>
  </si>
  <si>
    <t>Procédure de mise en production.</t>
  </si>
  <si>
    <r>
      <t xml:space="preserve">Non-conformité aux </t>
    </r>
    <r>
      <rPr>
        <b/>
        <sz val="11"/>
        <color theme="1"/>
        <rFont val="Calibri"/>
        <family val="2"/>
        <scheme val="minor"/>
      </rPr>
      <t>normes de sécurité (ISO 27001, ITIL, COBIT)</t>
    </r>
    <r>
      <rPr>
        <sz val="11"/>
        <color theme="1"/>
        <rFont val="Calibri"/>
        <family val="2"/>
        <scheme val="minor"/>
      </rPr>
      <t>.</t>
    </r>
  </si>
  <si>
    <t>Participation insuffisante limitant l'impact des formations</t>
  </si>
  <si>
    <t>Benchmarker régulièrement les meilleures pratiques</t>
  </si>
  <si>
    <r>
      <t xml:space="preserve">5. Les </t>
    </r>
    <r>
      <rPr>
        <b/>
        <sz val="11"/>
        <color theme="1"/>
        <rFont val="Calibri"/>
        <family val="2"/>
        <scheme val="minor"/>
      </rPr>
      <t>prestataires externes</t>
    </r>
    <r>
      <rPr>
        <sz val="11"/>
        <color theme="1"/>
        <rFont val="Calibri"/>
        <family val="2"/>
        <scheme val="minor"/>
      </rPr>
      <t xml:space="preserve"> respectent les mêmes règles de séparation des tâches que les équipes internes.</t>
    </r>
  </si>
  <si>
    <t>5. Les contrats d’externalisation imposent-ils une séparation claire des rôles et des responsabilités ?</t>
  </si>
  <si>
    <t>Clauses des contrats d’infogérance ou de prestations.</t>
  </si>
  <si>
    <r>
      <t>Fuites de données</t>
    </r>
    <r>
      <rPr>
        <sz val="11"/>
        <color theme="1"/>
        <rFont val="Calibri"/>
        <family val="2"/>
        <scheme val="minor"/>
      </rPr>
      <t xml:space="preserve"> ou altération du fonctionnement en exploitation.</t>
    </r>
  </si>
  <si>
    <t>Offre inadaptée gaspillant des ressources sur des formations inefficaces</t>
  </si>
  <si>
    <t>Mettre en place une veille risques active</t>
  </si>
  <si>
    <t>Vérifier l’existence d’une procédure de mise en production</t>
  </si>
  <si>
    <r>
      <t xml:space="preserve">Une </t>
    </r>
    <r>
      <rPr>
        <b/>
        <sz val="11"/>
        <color theme="1"/>
        <rFont val="Calibri"/>
        <family val="2"/>
        <scheme val="minor"/>
      </rPr>
      <t>procédure écrite et validée</t>
    </r>
    <r>
      <rPr>
        <sz val="11"/>
        <color theme="1"/>
        <rFont val="Calibri"/>
        <family val="2"/>
        <scheme val="minor"/>
      </rPr>
      <t xml:space="preserve"> de mise en production existe et est régulièrement mise à jour.</t>
    </r>
  </si>
  <si>
    <t>Existe-t-il un document formel de procédure de mise en production ?</t>
  </si>
  <si>
    <r>
      <t>Procédure de mise en production</t>
    </r>
    <r>
      <rPr>
        <sz val="11"/>
        <color theme="1"/>
        <rFont val="Calibri"/>
        <family val="2"/>
        <scheme val="minor"/>
      </rPr>
      <t xml:space="preserve"> ou document équivalent (manuel qualité, guide d’exploitation).</t>
    </r>
  </si>
  <si>
    <r>
      <t>Instabilité des systèmes</t>
    </r>
    <r>
      <rPr>
        <sz val="11"/>
        <color theme="1"/>
        <rFont val="Calibri"/>
        <family val="2"/>
        <scheme val="minor"/>
      </rPr>
      <t xml:space="preserve"> suite à des déploiements non contrôlés.</t>
    </r>
  </si>
  <si>
    <t>Qualité non évaluée maintenant des formations médiocres</t>
  </si>
  <si>
    <t>Développer des scénarios de réponse adaptés</t>
  </si>
  <si>
    <r>
      <t xml:space="preserve">La procédure inclut une </t>
    </r>
    <r>
      <rPr>
        <b/>
        <sz val="11"/>
        <color theme="1"/>
        <rFont val="Calibri"/>
        <family val="2"/>
        <scheme val="minor"/>
      </rPr>
      <t>étape de validation de la recette</t>
    </r>
    <r>
      <rPr>
        <sz val="11"/>
        <color theme="1"/>
        <rFont val="Calibri"/>
        <family val="2"/>
        <scheme val="minor"/>
      </rPr>
      <t xml:space="preserve"> fonctionnelle et technique.</t>
    </r>
  </si>
  <si>
    <t>Quelles validations sont requises avant toute mise en production ?</t>
  </si>
  <si>
    <r>
      <t>Demandes de mise en production</t>
    </r>
    <r>
      <rPr>
        <sz val="11"/>
        <color theme="1"/>
        <rFont val="Calibri"/>
        <family val="2"/>
        <scheme val="minor"/>
      </rPr>
      <t xml:space="preserve"> (modèles ou historiques).</t>
    </r>
  </si>
  <si>
    <r>
      <t>Non-traçabilité</t>
    </r>
    <r>
      <rPr>
        <sz val="11"/>
        <color theme="1"/>
        <rFont val="Calibri"/>
        <family val="2"/>
        <scheme val="minor"/>
      </rPr>
      <t xml:space="preserve"> des changements en production.</t>
    </r>
  </si>
  <si>
    <t>Contenu périmé transmettant des connaissances erronées</t>
  </si>
  <si>
    <t>Élaborer des plans de gestion de crise</t>
  </si>
  <si>
    <r>
      <t xml:space="preserve">Les </t>
    </r>
    <r>
      <rPr>
        <b/>
        <sz val="11"/>
        <color theme="1"/>
        <rFont val="Calibri"/>
        <family val="2"/>
        <scheme val="minor"/>
      </rPr>
      <t>rôles et responsabilités</t>
    </r>
    <r>
      <rPr>
        <sz val="11"/>
        <color theme="1"/>
        <rFont val="Calibri"/>
        <family val="2"/>
        <scheme val="minor"/>
      </rPr>
      <t xml:space="preserve"> (MOA, MOE, DSI, métiers) sont clairement définis dans le processus.</t>
    </r>
  </si>
  <si>
    <t>Qui est responsable de déclencher une mise en production ?</t>
  </si>
  <si>
    <r>
      <t>Journaux de production</t>
    </r>
    <r>
      <rPr>
        <sz val="11"/>
        <color theme="1"/>
        <rFont val="Calibri"/>
        <family val="2"/>
        <scheme val="minor"/>
      </rPr>
      <t xml:space="preserve"> et rapports d’incident liés à une mise en production.</t>
    </r>
  </si>
  <si>
    <r>
      <t>Conflits entre équipes métiers, développement et exploitation</t>
    </r>
    <r>
      <rPr>
        <sz val="11"/>
        <color theme="1"/>
        <rFont val="Calibri"/>
        <family val="2"/>
        <scheme val="minor"/>
      </rPr>
      <t>.</t>
    </r>
  </si>
  <si>
    <t>Collecte incomplète faussant les analyses et décisions</t>
  </si>
  <si>
    <t>Concevoir des tests réalistes et variés</t>
  </si>
  <si>
    <r>
      <t xml:space="preserve">Toute mise en production est </t>
    </r>
    <r>
      <rPr>
        <b/>
        <sz val="11"/>
        <color theme="1"/>
        <rFont val="Calibri"/>
        <family val="2"/>
        <scheme val="minor"/>
      </rPr>
      <t>tracée et documentée</t>
    </r>
    <r>
      <rPr>
        <sz val="11"/>
        <color theme="1"/>
        <rFont val="Calibri"/>
        <family val="2"/>
        <scheme val="minor"/>
      </rPr>
      <t xml:space="preserve"> (demande, approbation, date, exécutants).</t>
    </r>
  </si>
  <si>
    <t>Est-ce que des tests sont effectués juste avant ou pendant la mise en production ?</t>
  </si>
  <si>
    <r>
      <t>Check-list de pré-production</t>
    </r>
    <r>
      <rPr>
        <sz val="11"/>
        <color theme="1"/>
        <rFont val="Calibri"/>
        <family val="2"/>
        <scheme val="minor"/>
      </rPr>
      <t xml:space="preserve"> (test, validation, sauvegarde).</t>
    </r>
  </si>
  <si>
    <r>
      <t xml:space="preserve">Mise en production de </t>
    </r>
    <r>
      <rPr>
        <b/>
        <sz val="11"/>
        <color theme="1"/>
        <rFont val="Calibri"/>
        <family val="2"/>
        <scheme val="minor"/>
      </rPr>
      <t>versions non validées</t>
    </r>
    <r>
      <rPr>
        <sz val="11"/>
        <color theme="1"/>
        <rFont val="Calibri"/>
        <family val="2"/>
        <scheme val="minor"/>
      </rPr>
      <t xml:space="preserve"> (fonctionnellement ou techniquement).</t>
    </r>
  </si>
  <si>
    <t>Accès restreint empêchant certaines équipes d'accéder aux données critiques</t>
  </si>
  <si>
    <t>Capitaliser les retours d'expérience systématiquement</t>
  </si>
  <si>
    <r>
      <t xml:space="preserve">Un </t>
    </r>
    <r>
      <rPr>
        <b/>
        <sz val="11"/>
        <color theme="1"/>
        <rFont val="Calibri"/>
        <family val="2"/>
        <scheme val="minor"/>
      </rPr>
      <t>plan de retour arrière (rollback)</t>
    </r>
    <r>
      <rPr>
        <sz val="11"/>
        <color theme="1"/>
        <rFont val="Calibri"/>
        <family val="2"/>
        <scheme val="minor"/>
      </rPr>
      <t xml:space="preserve"> est prévu en cas d’échec.</t>
    </r>
  </si>
  <si>
    <t>Comment sont gérées les mises en production urgentes (correctifs critiques) ?</t>
  </si>
  <si>
    <r>
      <t>Plan de retour arrière</t>
    </r>
    <r>
      <rPr>
        <sz val="11"/>
        <color theme="1"/>
        <rFont val="Calibri"/>
        <family val="2"/>
        <scheme val="minor"/>
      </rPr>
      <t xml:space="preserve"> documenté pour les cas critiques.</t>
    </r>
  </si>
  <si>
    <r>
      <t>Impossibilité de retour arrière</t>
    </r>
    <r>
      <rPr>
        <sz val="11"/>
        <color theme="1"/>
        <rFont val="Calibri"/>
        <family val="2"/>
        <scheme val="minor"/>
      </rPr>
      <t xml:space="preserve"> en cas d’échec ou d’impact négatif.</t>
    </r>
  </si>
  <si>
    <t>Informations obsolètes induisant en erreur les décideurs</t>
  </si>
  <si>
    <t>Calendrier de mise à jour des procédures non respecté</t>
  </si>
  <si>
    <t>Lorsque les organisations le permettent, vérifier que les 
différentes tâches d'administration des bases de données -DBA- sont 
séparées entre les études et l’exploitation</t>
  </si>
  <si>
    <r>
      <t xml:space="preserve">Les </t>
    </r>
    <r>
      <rPr>
        <b/>
        <sz val="11"/>
        <color theme="1"/>
        <rFont val="Calibri"/>
        <family val="2"/>
        <scheme val="minor"/>
      </rPr>
      <t>profils d'accès DBA</t>
    </r>
    <r>
      <rPr>
        <sz val="11"/>
        <color theme="1"/>
        <rFont val="Calibri"/>
        <family val="2"/>
        <scheme val="minor"/>
      </rPr>
      <t xml:space="preserve"> sont clairement distincts entre les environnements </t>
    </r>
    <r>
      <rPr>
        <b/>
        <sz val="11"/>
        <color theme="1"/>
        <rFont val="Calibri"/>
        <family val="2"/>
        <scheme val="minor"/>
      </rPr>
      <t>de développement/recette</t>
    </r>
    <r>
      <rPr>
        <sz val="11"/>
        <color theme="1"/>
        <rFont val="Calibri"/>
        <family val="2"/>
        <scheme val="minor"/>
      </rPr>
      <t xml:space="preserve"> et </t>
    </r>
    <r>
      <rPr>
        <b/>
        <sz val="11"/>
        <color theme="1"/>
        <rFont val="Calibri"/>
        <family val="2"/>
        <scheme val="minor"/>
      </rPr>
      <t>de production</t>
    </r>
    <r>
      <rPr>
        <sz val="11"/>
        <color theme="1"/>
        <rFont val="Calibri"/>
        <family val="2"/>
        <scheme val="minor"/>
      </rPr>
      <t>.</t>
    </r>
  </si>
  <si>
    <t>Existe-t-il une politique formalisée de séparation des rôles DBA ?</t>
  </si>
  <si>
    <t>Politique de sécurité des systèmes d’information (PSSI).</t>
  </si>
  <si>
    <r>
      <t>1. Accès non contrôlé</t>
    </r>
    <r>
      <rPr>
        <sz val="11"/>
        <color theme="1"/>
        <rFont val="Calibri"/>
        <family val="2"/>
        <scheme val="minor"/>
      </rPr>
      <t xml:space="preserve"> aux données sensibles en production.</t>
    </r>
  </si>
  <si>
    <t>Outils inadaptés compliquant inutilement la collecte</t>
  </si>
  <si>
    <t>Attestations de formation manquantes ou non vérifiées</t>
  </si>
  <si>
    <r>
      <t xml:space="preserve">Les </t>
    </r>
    <r>
      <rPr>
        <b/>
        <sz val="11"/>
        <color theme="1"/>
        <rFont val="Calibri"/>
        <family val="2"/>
        <scheme val="minor"/>
      </rPr>
      <t>DBA d’études</t>
    </r>
    <r>
      <rPr>
        <sz val="11"/>
        <color theme="1"/>
        <rFont val="Calibri"/>
        <family val="2"/>
        <scheme val="minor"/>
      </rPr>
      <t xml:space="preserve"> n’ont pas de droits d’accès directs à la base de production.</t>
    </r>
  </si>
  <si>
    <t>Les DBA d’études ont-ils un accès permanent à la production ?</t>
  </si>
  <si>
    <r>
      <t xml:space="preserve">Registres des </t>
    </r>
    <r>
      <rPr>
        <b/>
        <sz val="11"/>
        <color theme="1"/>
        <rFont val="Calibri"/>
        <family val="2"/>
        <scheme val="minor"/>
      </rPr>
      <t>droits et accès</t>
    </r>
    <r>
      <rPr>
        <sz val="11"/>
        <color theme="1"/>
        <rFont val="Calibri"/>
        <family val="2"/>
        <scheme val="minor"/>
      </rPr>
      <t xml:space="preserve"> aux bases (notamment les comptes DBA).</t>
    </r>
  </si>
  <si>
    <r>
      <t>2. Confusion des responsabilités</t>
    </r>
    <r>
      <rPr>
        <sz val="11"/>
        <color theme="1"/>
        <rFont val="Calibri"/>
        <family val="2"/>
        <scheme val="minor"/>
      </rPr>
      <t xml:space="preserve"> en cas d'incident ou de panne.</t>
    </r>
  </si>
  <si>
    <t>Données non fiables compromettant la qualité des décisions</t>
  </si>
  <si>
    <t>Suivi de la mise en œuvre des procédures inefficace</t>
  </si>
  <si>
    <r>
      <t xml:space="preserve">La </t>
    </r>
    <r>
      <rPr>
        <b/>
        <sz val="11"/>
        <color theme="1"/>
        <rFont val="Calibri"/>
        <family val="2"/>
        <scheme val="minor"/>
      </rPr>
      <t>traçabilité</t>
    </r>
    <r>
      <rPr>
        <sz val="11"/>
        <color theme="1"/>
        <rFont val="Calibri"/>
        <family val="2"/>
        <scheme val="minor"/>
      </rPr>
      <t xml:space="preserve"> des actions DBA est assurée (journalisation des interventions).</t>
    </r>
  </si>
  <si>
    <t>Comment les interventions critiques en base sont-elles validées et documentées ?</t>
  </si>
  <si>
    <r>
      <t>Procédures d’administration des bases</t>
    </r>
    <r>
      <rPr>
        <sz val="11"/>
        <color theme="1"/>
        <rFont val="Calibri"/>
        <family val="2"/>
        <scheme val="minor"/>
      </rPr>
      <t xml:space="preserve"> (production vs. études).</t>
    </r>
  </si>
  <si>
    <r>
      <t>3. Modifications non tracées ou non validées</t>
    </r>
    <r>
      <rPr>
        <sz val="11"/>
        <color theme="1"/>
        <rFont val="Calibri"/>
        <family val="2"/>
        <scheme val="minor"/>
      </rPr>
      <t>, compromettant la fiabilité des données.</t>
    </r>
  </si>
  <si>
    <t>Validation absente laissant passer des informations erronées</t>
  </si>
  <si>
    <t>Rapports d'évaluation d'efficacité non produits</t>
  </si>
  <si>
    <r>
      <t xml:space="preserve">Les </t>
    </r>
    <r>
      <rPr>
        <b/>
        <sz val="11"/>
        <color theme="1"/>
        <rFont val="Calibri"/>
        <family val="2"/>
        <scheme val="minor"/>
      </rPr>
      <t>interventions en production</t>
    </r>
    <r>
      <rPr>
        <sz val="11"/>
        <color theme="1"/>
        <rFont val="Calibri"/>
        <family val="2"/>
        <scheme val="minor"/>
      </rPr>
      <t xml:space="preserve"> sont validées par un responsable d’exploitation ou de sécurité.</t>
    </r>
  </si>
  <si>
    <t>Les actions DBA sont-elles surveillées (logs d’administration, audit trails) ?</t>
  </si>
  <si>
    <r>
      <t>Journaux d’intervention</t>
    </r>
    <r>
      <rPr>
        <sz val="11"/>
        <color theme="1"/>
        <rFont val="Calibri"/>
        <family val="2"/>
        <scheme val="minor"/>
      </rPr>
      <t xml:space="preserve"> (logs DBA, scripts appliqués, rapports).</t>
    </r>
  </si>
  <si>
    <r>
      <t>4. Violation de la confidentialité</t>
    </r>
    <r>
      <rPr>
        <sz val="11"/>
        <color theme="1"/>
        <rFont val="Calibri"/>
        <family val="2"/>
        <scheme val="minor"/>
      </rPr>
      <t>, intégrité ou disponibilité des données critiques.</t>
    </r>
  </si>
  <si>
    <t>Mises à jour irrégulières créant des référentiels hétérogènes</t>
  </si>
  <si>
    <t>Rapports d'audit IT incomplets ou non exploitables</t>
  </si>
  <si>
    <r>
      <t xml:space="preserve">Des </t>
    </r>
    <r>
      <rPr>
        <b/>
        <sz val="11"/>
        <color theme="1"/>
        <rFont val="Calibri"/>
        <family val="2"/>
        <scheme val="minor"/>
      </rPr>
      <t>procédures écrites</t>
    </r>
    <r>
      <rPr>
        <sz val="11"/>
        <color theme="1"/>
        <rFont val="Calibri"/>
        <family val="2"/>
        <scheme val="minor"/>
      </rPr>
      <t xml:space="preserve"> encadrent la séparation des rôles et les conditions d’intervention.</t>
    </r>
  </si>
  <si>
    <t>Y a-t-il des dispositifs pour interdire les accès non planifiés aux bases de production ?</t>
  </si>
  <si>
    <r>
      <t xml:space="preserve">Contrats ou clauses spécifiques dans les </t>
    </r>
    <r>
      <rPr>
        <b/>
        <sz val="11"/>
        <color theme="1"/>
        <rFont val="Calibri"/>
        <family val="2"/>
        <scheme val="minor"/>
      </rPr>
      <t>prestations d’externalisation</t>
    </r>
    <r>
      <rPr>
        <sz val="11"/>
        <color theme="1"/>
        <rFont val="Calibri"/>
        <family val="2"/>
        <scheme val="minor"/>
      </rPr>
      <t xml:space="preserve"> (si applicable).</t>
    </r>
  </si>
  <si>
    <r>
      <t>5. Non-conformité réglementaire</t>
    </r>
    <r>
      <rPr>
        <sz val="11"/>
        <color theme="1"/>
        <rFont val="Calibri"/>
        <family val="2"/>
        <scheme val="minor"/>
      </rPr>
      <t xml:space="preserve"> (RGPD, normes ISO 27001, PCI DSS, etc.).</t>
    </r>
  </si>
  <si>
    <t>Non-conformité aux standards générant des incompatibilités</t>
  </si>
  <si>
    <t>Résultats des tests d'audit non documentés</t>
  </si>
  <si>
    <t>Vérifier que la séparation des tâches est maintenue et assurée 
lors de la rotation des équipes, des vacances et du départ d'un 
personne</t>
  </si>
  <si>
    <t xml:space="preserve"> Nombre d’enquêtes ouvertes et fermées sur des violations éthiques.</t>
  </si>
  <si>
    <t>Combien d’enquêtes pour violations éthiques ont été ouvertes et closes sur la période ?</t>
  </si>
  <si>
    <t>Registre des enquêtes éthiques</t>
  </si>
  <si>
    <t>Enquêtes sur les violations éthiques non abouties</t>
  </si>
  <si>
    <t>Contrôles qualité inefficaces laissant passer des anomalies</t>
  </si>
  <si>
    <t>Plans d'action corrective pour les failles non mis en œuvre</t>
  </si>
  <si>
    <t xml:space="preserve"> Application effective des sanctions et actions correctives.</t>
  </si>
  <si>
    <t>Les sanctions et mesures correctives sont-elles appliquées de manière systématique ?</t>
  </si>
  <si>
    <t>Rapport d'application des sanctions</t>
  </si>
  <si>
    <t>Sanctions appliquées de manière incohérente</t>
  </si>
  <si>
    <t>Erreurs non détectées corrompant les bases de données</t>
  </si>
  <si>
    <t>Suivi des améliorations post-audit insuffisant</t>
  </si>
  <si>
    <t xml:space="preserve"> Publication de rapports anonymisés sur les cas traités pour assurer la transparence.</t>
  </si>
  <si>
    <t>Des rapports anonymisés sur les cas traités sont-ils publiés pour garantir la transparence ?</t>
  </si>
  <si>
    <t>Rapports anonymisés des cas</t>
  </si>
  <si>
    <t>Manque de transparence dans le traitement des cas</t>
  </si>
  <si>
    <t>Identification imprécise des informations conduisant à des oublis critiques</t>
  </si>
  <si>
    <t>Procédures d'adaptation des méthodologies d'audit absentes</t>
  </si>
  <si>
    <t>Existence d’une politique écrite de protection des lanceurs d’alerte.</t>
  </si>
  <si>
    <t>Une politique écrite protège-t-elle les lanceurs d’alerte ?</t>
  </si>
  <si>
    <t>Politique de protection des lanceurs d'alerte</t>
  </si>
  <si>
    <t>Manque de protection des lanceurs d'alerte</t>
  </si>
  <si>
    <t>Circuit défaillant retardant la circulation de l'information</t>
  </si>
  <si>
    <t>Manuel des procédures non actualisé ou incomplet</t>
  </si>
  <si>
    <t xml:space="preserve"> Garantie de confidentialité et anonymat des signalements.</t>
  </si>
  <si>
    <t>La confidentialité et l’anonymat des signalements sont-ils garantis ?</t>
  </si>
  <si>
    <t>Preuves de confidentialité</t>
  </si>
  <si>
    <t>Risque de représailles contre les whistleblowers</t>
  </si>
  <si>
    <t>Supports inadaptés réduisant l'efficacité des reportings</t>
  </si>
  <si>
    <t>Système de suivi de la conformité inefficace</t>
  </si>
  <si>
    <t>Évaluer le caractère « raisonnable » du turn-over de la DSI (5 à 
15% / an)</t>
  </si>
  <si>
    <t xml:space="preserve"> Présence de canaux multiples et sécurisés pour effectuer un signalement.</t>
  </si>
  <si>
    <t>Plusieurs canaux sécurisés sont-ils disponibles pour effectuer un signalement ?</t>
  </si>
  <si>
    <t>Liste des canaux de signalement</t>
  </si>
  <si>
    <t>Canaux de signalement insuffisants ou non sécurisés</t>
  </si>
  <si>
    <t>Outils mal utilisés limitant leur potentiel</t>
  </si>
  <si>
    <t>Traçabilité des actions de mise en œuvre insuffisante</t>
  </si>
  <si>
    <t xml:space="preserve"> Nombre de signalements reçus et analysés.</t>
  </si>
  <si>
    <t>Combien de signalements ont été reçus et analysés sur la période ?</t>
  </si>
  <si>
    <t>Statistiques des signalements</t>
  </si>
  <si>
    <t>Sous-utilisation des mécanismes de signalement</t>
  </si>
  <si>
    <t>Indisponibilité des informations paralysant certaines décisions</t>
  </si>
  <si>
    <t>Calendrier de révision des procédures non respecté</t>
  </si>
  <si>
    <t>Niveau de satisfaction des employés concernant la protection des dénonciateurs.</t>
  </si>
  <si>
    <t>Les employés sont-ils satisfaits des mesures de protection des lanceurs d’alerte ?</t>
  </si>
  <si>
    <t>Enquête de satisfaction protection lanceurs</t>
  </si>
  <si>
    <t>Manque de confiance des employés dans les dispositifs de protection</t>
  </si>
  <si>
    <t>Validation subjective introduisant des biais dans les évaluations</t>
  </si>
  <si>
    <t>Inadéquation des compétences face aux évolutions réglementaires</t>
  </si>
  <si>
    <t>Pourcentage de membres indépendants au sein du Conseil.</t>
  </si>
  <si>
    <t>Quel est le pourcentage de membres indépendants au sein du Conseil ?</t>
  </si>
  <si>
    <t>Composition du Conseil</t>
  </si>
  <si>
    <t>Indépendance insuffisante du Conseil d'administration</t>
  </si>
  <si>
    <t>Critères flous rendant les évaluations incomparables</t>
  </si>
  <si>
    <t>Règles obsolètes non actualisées</t>
  </si>
  <si>
    <t>Présence d’une charte de gouvernance définissant l’indépendance.</t>
  </si>
  <si>
    <t>Une charte de gouvernance définit-elle clairement l’indépendance du Conseil ?</t>
  </si>
  <si>
    <t>Charte de gouvernance</t>
  </si>
  <si>
    <t>Définition floue des règles de gouvernance</t>
  </si>
  <si>
    <t>Historique manquant empêchant le suivi des validations</t>
  </si>
  <si>
    <t>Vulnérabilités non couvertes par les dispositifs existants</t>
  </si>
  <si>
    <t>Évaluer la capacité de l’Organisation à gérer les carrières des 
informaticiens</t>
  </si>
  <si>
    <t>Fréquence des réunions tenues sans la présence du management.</t>
  </si>
  <si>
    <t>À quelle fréquence le Conseil se réunit-il sans la présence du management ?</t>
  </si>
  <si>
    <t>Calendrier des réunions du Conseil</t>
  </si>
  <si>
    <t>Influence excessive du management sur les décisions du Conseil</t>
  </si>
  <si>
    <t>Responsabilités mal définies créant des conflits de compétence</t>
  </si>
  <si>
    <t>Non-conformité aux nouvelles exigences légales</t>
  </si>
  <si>
    <t>Existence de mécanismes de prévention des conflits d’intérêts.</t>
  </si>
  <si>
    <t>Des mécanismes préviennent-ils les conflits d’intérêts au sein du Conseil ?</t>
  </si>
  <si>
    <t>Déclaration des conflits d'intérêts</t>
  </si>
  <si>
    <t>Risques de conflits d'intérêts non maîtrisés</t>
  </si>
  <si>
    <t>Incohérences entre processus générant des dysfonctionnements</t>
  </si>
  <si>
    <t>Décisions prises sur la base de référentiels périmés</t>
  </si>
  <si>
    <t>Niveau d’implication du Conseil dans les décisions stratégiques.</t>
  </si>
  <si>
    <t>Dans quelle mesure le Conseil participe-t-il aux décisions stratégiques ?</t>
  </si>
  <si>
    <t>PV des décisions stratégiques</t>
  </si>
  <si>
    <t>Implication limitée du Conseil dans la stratégie</t>
  </si>
  <si>
    <t>Évaluation ponctuelle donnant une vision fragmentaire</t>
  </si>
  <si>
    <t>Impossibilité de retracer l'historique des modifications</t>
  </si>
  <si>
    <t>Accès direct du Conseil aux rapports d’audit interne et externe.</t>
  </si>
  <si>
    <t>Le Conseil a-t-il un accès direct aux rapports d’audit interne et externe ?</t>
  </si>
  <si>
    <t>Accès aux rapports d'audit</t>
  </si>
  <si>
    <t>Accès restreint aux informations d'audit</t>
  </si>
  <si>
    <t>Calendrier non respecté laissant des périodes sans contrôle</t>
  </si>
  <si>
    <t>Absence de preuve de la formation des équipes</t>
  </si>
  <si>
    <t>Disponibilité d’outils et de systèmes d’information adaptés.</t>
  </si>
  <si>
    <t>Des outils adaptés sont-ils disponibles pour le Conseil afin d’évaluer le contrôle interne ?</t>
  </si>
  <si>
    <t>Outils d'évaluation du contrôle interne</t>
  </si>
  <si>
    <t>Outils inadaptés pour l'évaluation du contrôle interne</t>
  </si>
  <si>
    <t>Grille incomplète occultant certains aspects critiques</t>
  </si>
  <si>
    <t>Incompétence opérationnelle sur les processus clés</t>
  </si>
  <si>
    <t>Vérifier l’adéquation du niveau de rémunération du personnel 
informatique et évaluer le « moral » des équipes</t>
  </si>
  <si>
    <t>Présence d’un budget dédié à l’évaluation du contrôle interne.</t>
  </si>
  <si>
    <t>Un budget spécifique est-il alloué à l’évaluation du contrôle interne ?</t>
  </si>
  <si>
    <t>Budget contrôle interne</t>
  </si>
  <si>
    <t>Budget insuffisant pour les activités de contrôle</t>
  </si>
  <si>
    <t>Tableau de bord non représentatif induisant en erreur</t>
  </si>
  <si>
    <t>Déficit de compétences critiques pour l'organisation</t>
  </si>
  <si>
    <t>Qualité et pertinence des données transmises au Conseil.</t>
  </si>
  <si>
    <t>Les données transmises au Conseil sont-elles pertinentes et de qualité ?</t>
  </si>
  <si>
    <t>Qualité des données transmises</t>
  </si>
  <si>
    <t>Qualité médiocre des données fournies au Conseil</t>
  </si>
  <si>
    <t>Comptes-rendus manquants privant de synthèse utile</t>
  </si>
  <si>
    <t>Pilotage à vue sans indicateurs pertinents</t>
  </si>
  <si>
    <t>Fréquence des échanges entre le Conseil et les responsables du contrôle interne.</t>
  </si>
  <si>
    <t>À quelle fréquence le Conseil échange-t-il avec les responsables du contrôle interne ?</t>
  </si>
  <si>
    <t>PV des échanges Conseil-direction</t>
  </si>
  <si>
    <t>Échanges trop rares entre le Conseil et les contrôleurs</t>
  </si>
  <si>
    <t>Solutions obsolètes exposant à des vulnérabilités connues</t>
  </si>
  <si>
    <t>Persistance des faiblesses non corrigées</t>
  </si>
  <si>
    <t>Périodicité de la réception des rapports d’audit.</t>
  </si>
  <si>
    <t>Le Conseil reçoit-il les rapports d’audit selon une périodicité définie ?</t>
  </si>
  <si>
    <t>Périodicité des rapports d'audit</t>
  </si>
  <si>
    <t>Périodicité irrégulière des rapports d'audit</t>
  </si>
  <si>
    <t>Fuites de données compromettant la confidentialité</t>
  </si>
  <si>
    <t>Prise de décision non éclairée pour la direction</t>
  </si>
  <si>
    <t>Niveau de détail et d’exhaustivité des rapports fournis.</t>
  </si>
  <si>
    <t>Les rapports d’audit sont-ils détaillés et exhaustifs ?</t>
  </si>
  <si>
    <t>Exemplaire de rapport d'audit</t>
  </si>
  <si>
    <t>Manque de détails dans les rapports fournis</t>
  </si>
  <si>
    <t>Maintenance insuffisante augmentant les risques de panne</t>
  </si>
  <si>
    <t>Défaut de supervision par les instances de gouvernance</t>
  </si>
  <si>
    <t>Évaluer la dépendance de l’Organisation vis-à-vis d’une ou 
plusieurs personnes</t>
  </si>
  <si>
    <t>Participation active du Conseil à l’examen des résultats d’audit.</t>
  </si>
  <si>
    <t>Le Conseil participe-t-il activement à l’examen des résultats d’audit ?</t>
  </si>
  <si>
    <t>PV d'examen des audits</t>
  </si>
  <si>
    <t>Implication superficielle du Conseil dans l'analyse des audits</t>
  </si>
  <si>
    <t>Utilisateurs non formés réduisant l'efficacité des outils</t>
  </si>
  <si>
    <t>Absence de traçabilité des orientations stratégiques</t>
  </si>
  <si>
    <t>Existence de réunions spécifiques dédiées à l’analyse des audits.</t>
  </si>
  <si>
    <t>Des réunions dédiées sont-elles organisées pour analyser les audits ?</t>
  </si>
  <si>
    <t>Plan de mise en œuvre recommandations</t>
  </si>
  <si>
    <t>Absence de suivi des recommandations d'audit</t>
  </si>
  <si>
    <t>Intégration déficiente créant des silos informationnels</t>
  </si>
  <si>
    <t>Non-implémentation des décisions managériales</t>
  </si>
  <si>
    <t>Suivi des recommandations issues des audits internes.</t>
  </si>
  <si>
    <t>Les recommandations issues des audits internes sont-elles suivies et mises en œuvre ?</t>
  </si>
  <si>
    <t>Objectifs de contrôle interne</t>
  </si>
  <si>
    <t>Objectifs de contrôle interne non mesurables</t>
  </si>
  <si>
    <t>Politique de communication floue générant des incompréhensions</t>
  </si>
  <si>
    <t>Effets non mesurés des corrections apportées</t>
  </si>
  <si>
    <t>Existence d’objectifs formalisés et mesurables pour le contrôle interne.</t>
  </si>
  <si>
    <t>Des objectifs mesurables sont-ils définis pour le contrôle interne ?</t>
  </si>
  <si>
    <t>Seuils de tolérance au risque</t>
  </si>
  <si>
    <t>Seuils de risque mal définis</t>
  </si>
  <si>
    <t>Information mal diffusée créant des inégalités d'accès</t>
  </si>
  <si>
    <t>Système de contrôle interne rigide et non évolutif</t>
  </si>
  <si>
    <t>Implication du Conseil dans la définition des seuils de tolérance au risque.</t>
  </si>
  <si>
    <t>Le Conseil participe-t-il à fixer les seuils de tolérance au risque ?</t>
  </si>
  <si>
    <t>Alignement stratégie/performance</t>
  </si>
  <si>
    <t>Désalignement entre contrôle interne et stratégie</t>
  </si>
  <si>
    <t>Accusés manquants laissant des doutes sur la réception</t>
  </si>
  <si>
    <t>Retard dans l'adoption des meilleures pratiques du secteur</t>
  </si>
  <si>
    <t>Vérifier que les contrats des informaticiens contiennent des 
clauses spécifiques de confidentialité et de non-concurrence</t>
  </si>
  <si>
    <t>Alignement des critères de performance avec la stratégie globale.</t>
  </si>
  <si>
    <t>Les critères de performance sont-ils alignés sur la stratégie globale ?</t>
  </si>
  <si>
    <t>Décisions stratégiques prises sans considération des contrôles</t>
  </si>
  <si>
    <t>Destinataires oubliés excluant des parties prenantes importantes</t>
  </si>
  <si>
    <t>Exposition à des risques réglementaires ou technologiques non identifiés</t>
  </si>
  <si>
    <t>Intégration des résultats du contrôle interne dans les décisions stratégiques.</t>
  </si>
  <si>
    <t>Les résultats du contrôle interne influencent-ils les décisions stratégiques ?</t>
  </si>
  <si>
    <t>Calendrier de réévaluation</t>
  </si>
  <si>
    <t>Critères de performance non actualisés</t>
  </si>
  <si>
    <t>Archivage défaillant compliquant la recherche d'information</t>
  </si>
  <si>
    <t>Réponse inadaptée aux nouvelles menaces</t>
  </si>
  <si>
    <t>Réévaluation périodique des critères de performance.</t>
  </si>
  <si>
    <t>Les critères de performance sont-ils réévalués périodiquement ?</t>
  </si>
  <si>
    <t>Gestion réactive des incidents plutôt que préventive</t>
  </si>
  <si>
    <t>Responsabilités floues dans la communication créant des lacunes</t>
  </si>
  <si>
    <t>Défaut de préparation aux situations de crise</t>
  </si>
  <si>
    <t>Existence d’un processus formel de gestion des incidents et des défaillances.</t>
  </si>
  <si>
    <t>Un processus formel gère-t-il les incidents et défaillances du contrôle interne ?</t>
  </si>
  <si>
    <t>Délais de réaction du Conseil</t>
  </si>
  <si>
    <t>Temps de réaction trop long face aux failles</t>
  </si>
  <si>
    <t>Recommandations ignorées annulant les bénéfices des retours</t>
  </si>
  <si>
    <t>Tests non représentatifs des scénarios réels</t>
  </si>
  <si>
    <t>Temps moyen de réaction du Conseil face aux failles détectées.</t>
  </si>
  <si>
    <t>Quel est le temps moyen de réaction du Conseil face aux failles détectées ?</t>
  </si>
  <si>
    <t>Plans d'action correctifs</t>
  </si>
  <si>
    <t>Plans d'action correctifs inefficaces</t>
  </si>
  <si>
    <t>Feedback non exploité gaspillant des opportunités d'amélioration</t>
  </si>
  <si>
    <t>Répétition des mêmes incidents par manque d'apprentissage</t>
  </si>
  <si>
    <t>Vérifier si les informaticiens sont- dispensés de préavis en cas 
de rupture brutale du contrat de travail</t>
  </si>
  <si>
    <t>Mise en place et suivi des plans d’action correctifs.</t>
  </si>
  <si>
    <t>Des plans d’action correctifs sont-ils mis en place et suivis ?</t>
  </si>
  <si>
    <t>Évaluation des mesures correctives</t>
  </si>
  <si>
    <t>Efficacité des corrections non évaluée</t>
  </si>
  <si>
    <t>Canaux inadaptés réduisant l'efficacité de la communication</t>
  </si>
  <si>
    <t>Absence de capitalisation des savoir-faire</t>
  </si>
  <si>
    <t>Évaluation de l’efficacité des mesures correctives adoptées.</t>
  </si>
  <si>
    <t>L’efficacité des mesures correctives est-elle évaluée ?</t>
  </si>
  <si>
    <t>Traçabilité insuffisante des décisions du Conseil</t>
  </si>
  <si>
    <t>Demandes non traitées frustrant les demandeurs</t>
  </si>
  <si>
    <t>Non-prise en compte des retours d'expérience</t>
  </si>
  <si>
    <t>Documentation et traçabilité des décisions du Conseil en matière de correction des lacunes.</t>
  </si>
  <si>
    <t>Les décisions du Conseil concernant les lacunes sont-elles documentées et traçables ?</t>
  </si>
  <si>
    <t>Organigramme officiel</t>
  </si>
  <si>
    <t>Organigramme non actualisé</t>
  </si>
  <si>
    <t>Documentation obsolète induisant en erreur</t>
  </si>
  <si>
    <t>Optimisation insuffisante des processus métiers</t>
  </si>
  <si>
    <t>Présence d’un organigramme officiel mis à jour.</t>
  </si>
  <si>
    <t>Un organigramme officiel et à jour est-il disponible ?</t>
  </si>
  <si>
    <t>Descriptions de poste</t>
  </si>
  <si>
    <t>Définition imprécise des rôles et responsabilités</t>
  </si>
  <si>
    <t>Contrôle qualité absent laissant passer des informations erronées</t>
  </si>
  <si>
    <t>Impossibilité de démontrer le respect des procédures</t>
  </si>
  <si>
    <t>Clarté des rôles et responsabilités dans la documentation interne.</t>
  </si>
  <si>
    <t>Les rôles et responsabilités sont-ils clairement définis dans la documentation ?</t>
  </si>
  <si>
    <t>Résultats des enquêtes compréhension rôles</t>
  </si>
  <si>
    <t>Méconnaissance par les collaborateurs de leurs missions</t>
  </si>
  <si>
    <t>Ajustements non communiqués créant des dissonances</t>
  </si>
  <si>
    <t>Mécanismes de suivi inefficaces ou inadaptés</t>
  </si>
  <si>
    <t>Vérifier l’existence d’un plan de formation nominatif pour 
l’ensemble des informaticiens</t>
  </si>
  <si>
    <t>Niveau de compréhension des collaborateurs sur leurs responsabilités.</t>
  </si>
  <si>
    <t>Les collaborateurs comprennent-ils leurs responsabilités ?</t>
  </si>
  <si>
    <t>Analyse adéquation pratiques-organigramme</t>
  </si>
  <si>
    <t>Écart entre structure formelle et réalité opérationnelle</t>
  </si>
  <si>
    <t>Information stratégique mal relayée réduisant son impact</t>
  </si>
  <si>
    <t>Audits ne reflétant pas la réalité opérationnelle</t>
  </si>
  <si>
    <t>Cohérence entre l’organigramme et les pratiques opérationnelles.</t>
  </si>
  <si>
    <t>L’organigramme correspond-il aux pratiques opérationnelles réelles ?</t>
  </si>
  <si>
    <t>Accessibilité documentation</t>
  </si>
  <si>
    <t>Documentation organisationnelle difficile d'accès</t>
  </si>
  <si>
    <t>Procédures d'urgence non opérationnelles risquant de paralyser la réponse en crise</t>
  </si>
  <si>
    <t>Révisions non formalisées des règles internes</t>
  </si>
  <si>
    <t>Disponibilité de la documentation organisationnelle pour consultation.</t>
  </si>
  <si>
    <t>La documentation organisationnelle est-elle accessible à tous ?</t>
  </si>
  <si>
    <t>Fiches de poste détaillées</t>
  </si>
  <si>
    <t>Descriptions de poste vagues ou incomplètes</t>
  </si>
  <si>
    <t>Canaux insuffisamment ouverts limitant le dialogue nécessaire</t>
  </si>
  <si>
    <t>Calendrier des mises à jour non respecté</t>
  </si>
  <si>
    <t>Présence d’un organigramme officiel et mis à jour.</t>
  </si>
  <si>
    <t>Les descriptions de poste sont-elles claires et précises ?</t>
  </si>
  <si>
    <t>Analyse adéquation compétences-missions</t>
  </si>
  <si>
    <t>Structure organisationnelle inadaptée aux besoins</t>
  </si>
  <si>
    <t>Mécanismes d'évaluation absents empêchant de mesurer la compréhension</t>
  </si>
  <si>
    <t>Modifications non justifiées ou non documentées</t>
  </si>
  <si>
    <t>Clarté et précision des descriptions de poste.</t>
  </si>
  <si>
    <t>La structure organisationnelle répond-elle aux besoins stratégiques ?</t>
  </si>
  <si>
    <t>Délégations de pouvoir formalisées</t>
  </si>
  <si>
    <t>Niveau de compréhension des rôles insuffisant</t>
  </si>
  <si>
    <t>Suivi inexistant des feedbacks gaspillant des opportunités d'amélioration</t>
  </si>
  <si>
    <t>Retard dans la diffusion des évolutions</t>
  </si>
  <si>
    <t>Vérifier que l’effort de formation est adapté, suffisant et qu’il 
s’inscrit dans la durée.</t>
  </si>
  <si>
    <t>Alignement entre la structure organisationnelle et les besoins stratégiques.</t>
  </si>
  <si>
    <t>Les employés comprennent-ils leurs rôles (via enquêtes) ?</t>
  </si>
  <si>
    <t>Procédure d'évaluation compétences</t>
  </si>
  <si>
    <t>Référentiel de gouvernance absent ou incomplet</t>
  </si>
  <si>
    <t>Responsable non identifié créant des demandes sans réponse</t>
  </si>
  <si>
    <t>Décalage avec les standards sectoriels</t>
  </si>
  <si>
    <t>Niveau de compréhension des employés sur leurs rôles et responsabilités (via enquêtes internes).</t>
  </si>
  <si>
    <t>Un référentiel de gouvernance décrit-il les rôles et responsabilités ?</t>
  </si>
  <si>
    <t>Critères d'attribution responsabilités</t>
  </si>
  <si>
    <t>Définition floue des responsabilités et pouvoirs</t>
  </si>
  <si>
    <t>Surveillance irrégulière des retours laissant passer des signaux faibles</t>
  </si>
  <si>
    <t>Implication insuffisante des responsables opérationnels</t>
  </si>
  <si>
    <t>Disponibilité d’un référentiel de gouvernance décrivant les rôles et responsabilités.</t>
  </si>
  <si>
    <t>Des fiches de poste détaillent-elles les responsabilités et pouvoirs ?</t>
  </si>
  <si>
    <t>Calendrier des révisions structurelles</t>
  </si>
  <si>
    <t>Inadéquation entre compétences et missions attribuées</t>
  </si>
  <si>
    <t>Outils non recensés empêchant une vision globale des moyens de communication</t>
  </si>
  <si>
    <t>Planification irrégulière des revues processus</t>
  </si>
  <si>
    <t>Existence de fiches de poste détaillées avec les responsabilités et pouvoirs associés.</t>
  </si>
  <si>
    <t>Les compétences des collaborateurs correspondent-elles à leurs missions ?</t>
  </si>
  <si>
    <t>Veille réglementaire et stratégique</t>
  </si>
  <si>
    <t>Délégations de pouvoir non formalisées</t>
  </si>
  <si>
    <t>Calendrier non respecté perturbant le rythme des échanges</t>
  </si>
  <si>
    <t>Absence de traçabilité des décisions de modification</t>
  </si>
  <si>
    <t>Cohérence entre les compétences des collaborateurs et leurs missions.</t>
  </si>
  <si>
    <t>Les délégations de pouvoir sont-elles formalisées ?</t>
  </si>
  <si>
    <t>Procès-verbaux consultations parties prenantes</t>
  </si>
  <si>
    <t>Évaluation rare de l'adéquation compétences-responsabilités</t>
  </si>
  <si>
    <t>Système d'information décentralisé générant des incohérences</t>
  </si>
  <si>
    <t>Contributions des équipes non prises en compte</t>
  </si>
  <si>
    <t>Cadre législatif et réglementaire Camerounais</t>
  </si>
  <si>
    <t>Vérifier que les prescriptions légales découlant des loi de 2010 
sur le cybersécurité et la cyber criminalité ; ainsi que les transactions 
électroniques sont connues et respectées</t>
  </si>
  <si>
    <t>Niveau de formalisation des délégations de pouvoir.</t>
  </si>
  <si>
    <t>Un processus évalue-t-il périodiquement l’adéquation responsabilités-compétences ?</t>
  </si>
  <si>
    <t>Journal des modifications structurelles</t>
  </si>
  <si>
    <t>Opacité dans l'attribution des responsabilités</t>
  </si>
  <si>
    <t>Désorganisation des processus interdépendants</t>
  </si>
  <si>
    <t>Adaptations non alignées avec les remontées terrain</t>
  </si>
  <si>
    <t>Existence d’un processus d’évaluation périodique de l’adéquation responsabilités-compétences.</t>
  </si>
  <si>
    <t>Les critères d’attribution des responsabilités sont-ils transparents ?</t>
  </si>
  <si>
    <t>Procédure de validation des changements</t>
  </si>
  <si>
    <t>Structure organisationnelle rarement mise à jour</t>
  </si>
  <si>
    <t>Impossibilité de mesurer l'efficacité réelle des outils utilisés</t>
  </si>
  <si>
    <t>Contrôles inefficaces par manque de suivi systématique</t>
  </si>
  <si>
    <t>Transparence des critères d’attribution des responsabilités et pouvoirs.</t>
  </si>
  <si>
    <t>La structure organisationnelle est-elle révisée régulièrement ?</t>
  </si>
  <si>
    <t>Traçabilité des décisions du Conseil</t>
  </si>
  <si>
    <t>Retard dans l'intégration des évolutions réglementaires</t>
  </si>
  <si>
    <t>Maintien de canaux de communication inefficaces par manque d'évaluation</t>
  </si>
  <si>
    <t>Reporting incomplet ou irrégulier</t>
  </si>
  <si>
    <t>Fréquence des révisions de la structure organisationnelle.</t>
  </si>
  <si>
    <t>Les évolutions réglementaires et stratégiques sont-elles intégrées à la structure ?</t>
  </si>
  <si>
    <t>Analyses d'impact des changements</t>
  </si>
  <si>
    <t>Anticipation insuffisante des besoins d'évolution</t>
  </si>
  <si>
    <t>Qualité des communications non contrôlée ni améliorée</t>
  </si>
  <si>
    <t>Programme d'audit non exhaustif</t>
  </si>
  <si>
    <t>Intégration des évolutions réglementaires et stratégiques dans la structure.</t>
  </si>
  <si>
    <t>Un processus de veille anticipe-t-il les besoins d’évolution ?</t>
  </si>
  <si>
    <t>PV des décisions de restructuration</t>
  </si>
  <si>
    <t>Consultation limitée des parties prenantes</t>
  </si>
  <si>
    <t>Absence de diagnostic structuré des points à améliorer</t>
  </si>
  <si>
    <t>Preuves d'audit non conservées</t>
  </si>
  <si>
    <t>Vérifier que les articles sur la fraude informatique sont connus 
et que des mesures préventives ont été prises</t>
  </si>
  <si>
    <t>Existence d’un processus de veille pour anticiper les besoins d’évolution.</t>
  </si>
  <si>
    <t>Les parties prenantes sont-elles impliquées dans les mises à jour organisationnelles ?</t>
  </si>
  <si>
    <t>Justificatifs des décisions</t>
  </si>
  <si>
    <t>Documentation insuffisante des changements structurels</t>
  </si>
  <si>
    <t>Persistance des dysfonctionnements sans plan de correction</t>
  </si>
  <si>
    <t>Actions correctives non suivies</t>
  </si>
  <si>
    <t>Implication des parties prenantes dans les mises à jour organisationnelles.</t>
  </si>
  <si>
    <t>Les changements structurels sont-ils documentés ?</t>
  </si>
  <si>
    <t>Preuves d'accès aux documents</t>
  </si>
  <si>
    <t>Processus de validation des modifications absent</t>
  </si>
  <si>
    <t>Flux d'information incohérents et inefficaces</t>
  </si>
  <si>
    <t>Détection tardive des écarts</t>
  </si>
  <si>
    <t>Documentation des changements et des ajustements effectués.</t>
  </si>
  <si>
    <t>Une procédure formelle valide-t-elle les modifications organisationnelles ?</t>
  </si>
  <si>
    <t>Plan de formation organisation</t>
  </si>
  <si>
    <t>Traçabilité insuffisante des décisions organisationnelles</t>
  </si>
  <si>
    <t>Relations externes désorganisées et peu professionnelles</t>
  </si>
  <si>
    <t>Correctifs non appliqués dans les délais</t>
  </si>
  <si>
    <t>Existence d’une procédure formelle de validation des modifications structurelles.</t>
  </si>
  <si>
    <t>Les décisions du Conseil sur les changements sont-elles traçables ?</t>
  </si>
  <si>
    <t>Supports de communication des changements</t>
  </si>
  <si>
    <t>Analyses d'impact préalables insuffisantes</t>
  </si>
  <si>
    <t>Transmission inappropriée d'informations sensibles</t>
  </si>
  <si>
    <t>Vérification absente de l'efficacité des corrections</t>
  </si>
  <si>
    <t>Traçabilité des décisions du Conseil sur les changements organisationnels.</t>
  </si>
  <si>
    <t>Des analyses d’impact précèdent-elles les modifications structurelles ?</t>
  </si>
  <si>
    <t>Résultats des questionnaires compréhension</t>
  </si>
  <si>
    <t>Implication limitée du Conseil dans les restructurations</t>
  </si>
  <si>
    <t>Retards dans la gestion des crises et opportunités manquées</t>
  </si>
  <si>
    <t>Responsabilités floues dans la mise en œuvre</t>
  </si>
  <si>
    <t>Vérifier que les articles sur l’usage de moyens de chiffrement et 
de la signature électronique sont connues respectées</t>
  </si>
  <si>
    <t>Présence d’analyses d’impact avant validation des modifications.</t>
  </si>
  <si>
    <t>Le Conseil est-il impliqué dans les décisions de restructuration ?</t>
  </si>
  <si>
    <t>Analyse des retours collaborateurs</t>
  </si>
  <si>
    <t>Justifications des décisions organisationnelles non documentées</t>
  </si>
  <si>
    <t>Amendes réglementaires et atteinte à la réputation</t>
  </si>
  <si>
    <t>Clôture non formalisée des actions</t>
  </si>
  <si>
    <t>Niveau d’implication du Conseil dans les décisions de restructuration.</t>
  </si>
  <si>
    <t>Les justifications des décisions organisationnelles sont-elles documentées ?</t>
  </si>
  <si>
    <t>Référentiel gouvernance</t>
  </si>
  <si>
    <t>Accès difficile aux documents organisationnels</t>
  </si>
  <si>
    <t>Investissements dans des actions de communication inefficaces</t>
  </si>
  <si>
    <t>Programme de formation non actualisé</t>
  </si>
  <si>
    <t>Documentation des échanges et des justifications des décisions prises.</t>
  </si>
  <si>
    <t>Les employés ont-ils accès aux documents organisationnels ?</t>
  </si>
  <si>
    <t>Preuves d'accès parties prenantes</t>
  </si>
  <si>
    <t>Formation insuffisante sur l'organisation</t>
  </si>
  <si>
    <t>Décisions stratégiques prises sur des informations obsolètes</t>
  </si>
  <si>
    <t>Taux de participation insuffisant</t>
  </si>
  <si>
    <t>Accessibilité des documents organisationnels à tous les employés.</t>
  </si>
  <si>
    <t>Des formations informent-elles les employés sur l’organisation ?</t>
  </si>
  <si>
    <t>Calendrier des mises à jour documentaires</t>
  </si>
  <si>
    <t>Communication inefficace sur les changements</t>
  </si>
  <si>
    <t>Opportunités manquées et gestion de crise retardée</t>
  </si>
  <si>
    <t>Offre de formation inadaptée aux besoins</t>
  </si>
  <si>
    <t>Mise en place de formations ou sessions d’information sur l’organisation.</t>
  </si>
  <si>
    <t>Des outils de communication diffusent-ils les changements organisationnels ?</t>
  </si>
  <si>
    <t>Traçabilité des modifications</t>
  </si>
  <si>
    <t>Compréhension limitée de la structure par les employés</t>
  </si>
  <si>
    <t>Communication inadaptée aux différents publics cibles</t>
  </si>
  <si>
    <t>Qualité des formations non évaluée</t>
  </si>
  <si>
    <t>Vérifier que la loi sur l’archivage électronique est connue et 
respectée</t>
  </si>
  <si>
    <t>Utilisation d’outils de communication interne pour diffuser les changements.</t>
  </si>
  <si>
    <t>Les employés comprennent-ils la structure (via questionnaires) ?</t>
  </si>
  <si>
    <t>Attestation de conformité légale</t>
  </si>
  <si>
    <t>Retours des collaborateurs non pris en compte</t>
  </si>
  <si>
    <t>Malentendus et conflits avec les parties prenantes externes</t>
  </si>
  <si>
    <t>Contenu pédagogique non mis à jour</t>
  </si>
  <si>
    <t>Niveau de compréhension des employés évalué via des questionnaires internes.</t>
  </si>
  <si>
    <t>Les retours des collaborateurs sur la clarté de l’organisation sont-ils suivis ?</t>
  </si>
  <si>
    <t>Politique de recrutement</t>
  </si>
  <si>
    <t>Référentiel des structures et responsabilités incomplet</t>
  </si>
  <si>
    <t>Diffusion d'informations erronées ou trompeuses</t>
  </si>
  <si>
    <t>Collecte d'informations incomplète ou erronée</t>
  </si>
  <si>
    <t>Suivi des retours des collaborateurs sur la clarté de l’organisation.</t>
  </si>
  <si>
    <t>Un référentiel documenté décrit-il les structures et responsabilités ?</t>
  </si>
  <si>
    <t>Statistiques délais de recrutement</t>
  </si>
  <si>
    <t>Absence de référentiel formalisé des structures et responsabilités</t>
  </si>
  <si>
    <t>Utilisation inefficace des ressources de communication</t>
  </si>
  <si>
    <t>Accès restreint aux données critiques</t>
  </si>
  <si>
    <t>Présence d’un référentiel documenté des structures et responsabilités.</t>
  </si>
  <si>
    <t>Les parties prenantes accèdent-elles facilement aux documents ?</t>
  </si>
  <si>
    <t>Analyse adéquation profils-postes</t>
  </si>
  <si>
    <t>Accès difficile aux documents organisationnels pour les parties prenantes</t>
  </si>
  <si>
    <t>Incertitude sur la bonne réception des messages critiques</t>
  </si>
  <si>
    <t>Informations non actualisées</t>
  </si>
  <si>
    <t>Facilité d’accès aux documents pour les parties prenantes concernées.</t>
  </si>
  <si>
    <t>Les documents organisationnels sont-ils mis à jour régulièrement ?</t>
  </si>
  <si>
    <t>Enquête satisfaction nouveaux employés</t>
  </si>
  <si>
    <t>Documents obsolètes ne reflétant pas l'organisation actuelle</t>
  </si>
  <si>
    <t>Manque de fiabilité dans les partenariats externes</t>
  </si>
  <si>
    <t>Outils de collecte inadaptés</t>
  </si>
  <si>
    <t>Vérifier que les articles sur la propriété intellectuelle / logiciel « 
pirate » sont connus respectés</t>
  </si>
  <si>
    <t>Mise à jour régulière des documents organisationnels.</t>
  </si>
  <si>
    <t>Les modifications organisationnelles sont-elles traçables ?</t>
  </si>
  <si>
    <t>Taux de rétention par domaine</t>
  </si>
  <si>
    <t>Traçabilité insuffisante des évolutions organisationnelles</t>
  </si>
  <si>
    <t>Collaborations inefficaces non identifiées ni corrigées</t>
  </si>
  <si>
    <t>Données non fiables utilisées pour les décisions</t>
  </si>
  <si>
    <t>Traçabilité des modifications et des décisions associées.</t>
  </si>
  <si>
    <t>Les documents sont-ils conformes aux exigences légales ?</t>
  </si>
  <si>
    <t>Plan de formation compétences critiques</t>
  </si>
  <si>
    <t>Risque de non-conformité réglementaire des documents</t>
  </si>
  <si>
    <t>Performance des relations externes non optimisée</t>
  </si>
  <si>
    <t>Validation absente ou insuffisante des informations</t>
  </si>
  <si>
    <t>Conformité des documents aux exigences légales et réglementaires.</t>
  </si>
  <si>
    <t>Une politique de recrutement alignée sur la stratégie est-elle documentée ?</t>
  </si>
  <si>
    <t>Statistiques heures de formation</t>
  </si>
  <si>
    <t>Politique de recrutement non alignée sur la stratégie</t>
  </si>
  <si>
    <t>Problèmes récurrents avec les partenaires non résolus</t>
  </si>
  <si>
    <t>Mises à jour irrégulières des référentiels</t>
  </si>
  <si>
    <t>Existence d’une politique de recrutement documentée et alignée sur les besoins stratégiques.</t>
  </si>
  <si>
    <t>Quel est le délai moyen pour pourvoir un poste ?</t>
  </si>
  <si>
    <t>Adaptation des formations technologiques</t>
  </si>
  <si>
    <t>Délais de recrutement excessifs impactant les opérations</t>
  </si>
  <si>
    <t>Confusion dans la gestion des interfaces externes</t>
  </si>
  <si>
    <t>Non-conformité des données aux standards</t>
  </si>
  <si>
    <t>Rapidité et efficacité du processus de recrutement (délai moyen pour pourvoir un poste).</t>
  </si>
  <si>
    <t>Les talents recrutés correspondent-ils aux besoins des postes ?</t>
  </si>
  <si>
    <t>Taux de participation aux formations</t>
  </si>
  <si>
    <t>Inadéquation entre profils recrutés et besoins réels</t>
  </si>
  <si>
    <t>Atteinte à la réputation et perte de confiance</t>
  </si>
  <si>
    <t>Renforcer les mécanismes de gouvernance</t>
  </si>
  <si>
    <t>Niveau de qualification et d’adéquation des talents recrutés avec les postes proposés.</t>
  </si>
  <si>
    <t>Les nouveaux employés sont-ils satisfaits de leur intégration ?</t>
  </si>
  <si>
    <t>Évaluation impact des formations</t>
  </si>
  <si>
    <t>Processus d'intégration inefficace générant de l'insatisfaction</t>
  </si>
  <si>
    <t>Sanctions légales et amendes réglementaires</t>
  </si>
  <si>
    <t>Documenter toutes les orientations stratégiques</t>
  </si>
  <si>
    <t>Départ des talents clés affectant la performance</t>
  </si>
  <si>
    <t>Compromission de données sensibles</t>
  </si>
  <si>
    <t>Mettre en place un suivi rigoureux des décisions</t>
  </si>
  <si>
    <t>registre central des dérogations avec justification obligatoire et durée limitée</t>
  </si>
  <si>
    <t>dérogations accordées sans traçabilité</t>
  </si>
  <si>
    <t>Mineure</t>
  </si>
  <si>
    <t>dérogations non enregistrées ni suivies</t>
  </si>
  <si>
    <t>Journal des dérogations accordées</t>
  </si>
  <si>
    <t>workflow digital de demande d'exception avec approbation à double signature</t>
  </si>
  <si>
    <t>pas de processus pour les exceptions</t>
  </si>
  <si>
    <t>Négligeable</t>
  </si>
  <si>
    <t>processus de dérogation non formalisé</t>
  </si>
  <si>
    <t>Procédure de dérogation</t>
  </si>
  <si>
    <t>Un processus de dérogation contrôlé existe-t-il ?</t>
  </si>
  <si>
    <t>Un processus de dérogation contrôlé existe.</t>
  </si>
  <si>
    <t>modules de formation outils obligatoires avec certification annuelle</t>
  </si>
  <si>
    <t>employés qui utilisent mal les outils</t>
  </si>
  <si>
    <t>employés non formés sur les mises à jour</t>
  </si>
  <si>
    <t>Registre des accusés de lecture</t>
  </si>
  <si>
    <t>campagne trimestrielle de sensibilisation aux règles via micro-learning</t>
  </si>
  <si>
    <t>personnel pas au courant des règles</t>
  </si>
  <si>
    <t>Majeure</t>
  </si>
  <si>
    <t>politique non communiquée systématiquement</t>
  </si>
  <si>
    <t>Preuve de communication annuelle</t>
  </si>
  <si>
    <t>La politique est-elle communiquée à tous les employés annuellement ?</t>
  </si>
  <si>
    <t>La politique est communiquée à tous les employés annuellement.</t>
  </si>
  <si>
    <t>comité d'éthique pour revue systématique des cas d'infraction</t>
  </si>
  <si>
    <t>traitement inégal des infractions</t>
  </si>
  <si>
    <t>application inégale</t>
  </si>
  <si>
    <t>Exemples d'application</t>
  </si>
  <si>
    <t>barème public des sanctions avec exemples concrets</t>
  </si>
  <si>
    <t>pas de barème clair de sanctions</t>
  </si>
  <si>
    <t>sanctions non précisées</t>
  </si>
  <si>
    <t>Grille des sanctions</t>
  </si>
  <si>
    <t>Les sanctions en cas de non-respect sont-elles clairement énoncées ?</t>
  </si>
  <si>
    <t>Les sanctions en cas de non-respect sont clairement énoncées.</t>
  </si>
  <si>
    <t>application algorithmique des sanctions basée sur des critères objectifs</t>
  </si>
  <si>
    <t>sanctions appliquées au hasard</t>
  </si>
  <si>
    <t>Critique</t>
  </si>
  <si>
    <t>application inconstante des sanctions</t>
  </si>
  <si>
    <t>Procédure d'installation validée</t>
  </si>
  <si>
    <t>grille de sanctions standardisée intégrée au règlement intérieur</t>
  </si>
  <si>
    <t>pas de cadre écrit pour les sanctions</t>
  </si>
  <si>
    <t>sanctions non écrites dans la politique</t>
  </si>
  <si>
    <t>Article sur les règles d'installation</t>
  </si>
  <si>
    <t>La politique définit-elle les règles d'installation des logiciels ?</t>
  </si>
  <si>
    <t>La politique définit les règles d'installation des logiciels.</t>
  </si>
  <si>
    <t>manuel des procédures unifié accessible à tous avec contrôle de version</t>
  </si>
  <si>
    <t>chaque équipe fait comme elle veut</t>
  </si>
  <si>
    <t>procédures différentes selon les services</t>
  </si>
  <si>
    <t>PV d'approbation direction</t>
  </si>
  <si>
    <t>guides d'installation illustrés avec captures d'écran étape par étape</t>
  </si>
  <si>
    <t>instructions d'installation ambiguës</t>
  </si>
  <si>
    <t>règles d'installation insuffisamment claires</t>
  </si>
  <si>
    <t>Politique logicielle signée</t>
  </si>
  <si>
    <t>Une politique logicielle écrite est-elle approuvée par la direction ?</t>
  </si>
  <si>
    <t>Une politique logicielle écrite est approuvée par la direction.</t>
  </si>
  <si>
    <t>Vérifier qu’une politique logicielle existe</t>
  </si>
  <si>
    <t>processus de révision semestrielle obligatoire des règles internes</t>
  </si>
  <si>
    <t>règles officielles pas à jour</t>
  </si>
  <si>
    <t>version approuvée non mise à jour</t>
  </si>
  <si>
    <t>Registre d'archivage</t>
  </si>
  <si>
    <t>programme d'engagement dirigeants avec objectifs conformité liés à la rémunération</t>
  </si>
  <si>
    <t>direction non engagée dans la conformité</t>
  </si>
  <si>
    <t>politique non signée par la direction</t>
  </si>
  <si>
    <t>Preuves de conformité archivées</t>
  </si>
  <si>
    <t>Les preuves de conformité sont-elles archivées systématiquement ?</t>
  </si>
  <si>
    <t>Les preuves de conformité sont archivées systématiquement.</t>
  </si>
  <si>
    <t>audit trimestriel des archives avec tests de restauration simulés</t>
  </si>
  <si>
    <t>archives inutilisables en cas de contrôle</t>
  </si>
  <si>
    <t>archivage non conforme aux exigences</t>
  </si>
  <si>
    <t>Support de présentation</t>
  </si>
  <si>
    <t>système de classement numérique des preuves avec tags et recherche instantanée</t>
  </si>
  <si>
    <t>preuves de conformité mal rangées</t>
  </si>
  <si>
    <t>preuves de conformité mal classées</t>
  </si>
  <si>
    <t>Présentation des résultats</t>
  </si>
  <si>
    <t>Les résultats d'audit sont-ils présentés à la direction ?</t>
  </si>
  <si>
    <t>Les résultats d'audit sont présentés à la direction.</t>
  </si>
  <si>
    <t>rapports risques mensuels visuels envoyés systématiquement à la direction</t>
  </si>
  <si>
    <t>direction pas informée des risques</t>
  </si>
  <si>
    <t>direction non alertée</t>
  </si>
  <si>
    <t>Suivi des actions</t>
  </si>
  <si>
    <t>tableaux de bord décisionnels simplifiés avec indicateurs clés</t>
  </si>
  <si>
    <t>résultats mal présentés aux décideurs</t>
  </si>
  <si>
    <t>résultats mal présentés</t>
  </si>
  <si>
    <t>Les écarts identifiés font-ils l'objet de plans d'action ?</t>
  </si>
  <si>
    <t>Les écarts identifiés font l'objet de plans d'action.</t>
  </si>
  <si>
    <t>suivi automatisé des actions via système de tickets</t>
  </si>
  <si>
    <t>actions correctives non suivies</t>
  </si>
  <si>
    <t>corrections non suivies</t>
  </si>
  <si>
    <t>Liste des applications critiques</t>
  </si>
  <si>
    <t>fiches anomalies avec plans correctifs attachés</t>
  </si>
  <si>
    <t>problèmes sans plan de correction</t>
  </si>
  <si>
    <t>écarts sans plan d'action</t>
  </si>
  <si>
    <t>Couverture des logiciels critiques</t>
  </si>
  <si>
    <t>Les audits couvrent-ils 100% des logiciels critiques ?</t>
  </si>
  <si>
    <t>Les audits couvrent 100% des logiciels critiques.</t>
  </si>
  <si>
    <t>inventaire logiciel complet avec scans automatiques</t>
  </si>
  <si>
    <t>pas tous les logiciels vérifiés</t>
  </si>
  <si>
    <t>couverture incomplète des logiciels</t>
  </si>
  <si>
    <t>calendrier contraignant d'audits avec alertes préventives</t>
  </si>
  <si>
    <t>audits pas faits à temps</t>
  </si>
  <si>
    <t xml:space="preserve"> audits non réalisés à date fixe</t>
  </si>
  <si>
    <t>Planning des audits internes</t>
  </si>
  <si>
    <t>Des audits internes sont-ils réalisés semestriellement ?</t>
  </si>
  <si>
    <t>Des audits internes sont réalisés semestriellement.</t>
  </si>
  <si>
    <t>Vérifier que des audits sont réalisés</t>
  </si>
  <si>
    <t>revue post-incident obligatoire avec fiches leçons apprises</t>
  </si>
  <si>
    <t>pas de leçons tirées des incidents</t>
  </si>
  <si>
    <t>absence de base de connaissances des incidents</t>
  </si>
  <si>
    <t>Base de connaissances</t>
  </si>
  <si>
    <t>registre des erreurs récurrentes avec analyse systématique</t>
  </si>
  <si>
    <t>mêmes erreurs encore et encore</t>
  </si>
  <si>
    <t>erreurs répétées par manque de partage</t>
  </si>
  <si>
    <t>Formalisation des RETEX</t>
  </si>
  <si>
    <t>Les retours d'expérience après contrôles sont-ils formalisés ?</t>
  </si>
  <si>
    <t>Les retours d'expérience après contrôles sont formalisés.</t>
  </si>
  <si>
    <t>tests complets des outils de communication avant déploiement</t>
  </si>
  <si>
    <t>outils de com' qui ne marchent pas</t>
  </si>
  <si>
    <t>Blocante</t>
  </si>
  <si>
    <t>support de communication inefficace</t>
  </si>
  <si>
    <t>Preuve de publication</t>
  </si>
  <si>
    <t>GED avec classement intelligent et recherche sémantique</t>
  </si>
  <si>
    <t>documents introuvables ou mal classés</t>
  </si>
  <si>
    <t>documentation peu visible et mal organisée</t>
  </si>
  <si>
    <t>Partage des bonnes pratiques</t>
  </si>
  <si>
    <t>Les bonnes pratiques sont-elles partagées via l'intranet ?</t>
  </si>
  <si>
    <t>Les bonnes pratiques sont partagées via l'intranet.</t>
  </si>
  <si>
    <t>capture des savoirs critiques avant départ collaborateurs</t>
  </si>
  <si>
    <t>pertes de compétences avec les départs</t>
  </si>
  <si>
    <t>turnover créant des lacunes</t>
  </si>
  <si>
    <t>Liste des correspondants</t>
  </si>
  <si>
    <t>programme de mentorat pour référents juniors</t>
  </si>
  <si>
    <t>référents pas formés correctement</t>
  </si>
  <si>
    <t>référents sans formation adéquate</t>
  </si>
  <si>
    <t>Désignation des référents</t>
  </si>
  <si>
    <t>Un référent licences est-il désigné dans chaque équipe ?</t>
  </si>
  <si>
    <t>Un référent licences est désigné dans chaque équipe.</t>
  </si>
  <si>
    <t>formations obligatoires managers sur signaux faibles</t>
  </si>
  <si>
    <t>managers qui ne voient pas les dangers</t>
  </si>
  <si>
    <t>managers inconscients des enjeux</t>
  </si>
  <si>
    <t>Présentation aux managers</t>
  </si>
  <si>
    <t>dashboard financier avec indicateurs risque en temps réel</t>
  </si>
  <si>
    <t>risques financiers mal expliqués</t>
  </si>
  <si>
    <t>risques financiers mal communiqués</t>
  </si>
  <si>
    <t>Communication des enjeux financiers</t>
  </si>
  <si>
    <t>Les enjeux financiers des audits sont-ils communiqués aux managers ?</t>
  </si>
  <si>
    <t>Les enjeux financiers des audits sont communiqués aux managers.</t>
  </si>
  <si>
    <t>base de cas pratiques actualisée mensuellement</t>
  </si>
  <si>
    <t>pas de cas réels expliqués</t>
  </si>
  <si>
    <t>absence d'exemples concrets</t>
  </si>
  <si>
    <t>Attestations de formation</t>
  </si>
  <si>
    <t>formations basées sur des simulations réalistes</t>
  </si>
  <si>
    <t>formations inutiles sans pratique</t>
  </si>
  <si>
    <t>formation trop théorique et générale</t>
  </si>
  <si>
    <t>Formation annuelle DSI</t>
  </si>
  <si>
    <t>La DSI reçoit-elle une formation annuelle sur les risques légaux ?</t>
  </si>
  <si>
    <t>La DSI reçoit une formation annuelle sur les risques légaux.</t>
  </si>
  <si>
    <t>S’assurer que la DSI est sensibilisée aux enjeux de la maîtrise 
des licences ? (notamment en cas de contrôle)</t>
  </si>
  <si>
    <t>algorithme de détection et résolution des contradictions</t>
  </si>
  <si>
    <t>données contradictoires non harmonisées</t>
  </si>
  <si>
    <t>données divergentes non reconciliées</t>
  </si>
  <si>
    <t>Rapport de concordance</t>
  </si>
  <si>
    <t>rapprochement automatique inventaire/réalité hebdomadaire</t>
  </si>
  <si>
    <t>écarts entre inventaire et réalité non vus</t>
  </si>
  <si>
    <t>écarts avec l'inventaire non détectés</t>
  </si>
  <si>
    <t>Synchronisation CMDB-inventaire</t>
  </si>
  <si>
    <t>La CMDB est-elle synchronisée quotidiennement avec l'inventaire ?</t>
  </si>
  <si>
    <t>La CMDB est synchronisée quotidiennement avec l'inventaire.</t>
  </si>
  <si>
    <t>journal d'audit complet des consultations sensibles</t>
  </si>
  <si>
    <t>consultations non enregistrées</t>
  </si>
  <si>
    <t>consultations non tracées</t>
  </si>
  <si>
    <t>Journal des accès</t>
  </si>
  <si>
    <t>revue trimestrielle des accès avec principe du moindre privilège</t>
  </si>
  <si>
    <t>accès trop larges, sécurité faible</t>
  </si>
  <si>
    <t>contrôles d'accès trop permissifs</t>
  </si>
  <si>
    <t>Contrôle d'accès à la CMDB</t>
  </si>
  <si>
    <t>L'accès à la CMDB est-il restreint et tracé ?</t>
  </si>
  <si>
    <t>L'accès à la CMDB est restreint et tracé.</t>
  </si>
  <si>
    <t>visualisation interactive des dépendances systèmes</t>
  </si>
  <si>
    <t>impossible de voir les dépendances</t>
  </si>
  <si>
    <t>impossible d'évaluer les impacts</t>
  </si>
  <si>
    <t>Schéma des dépendances</t>
  </si>
  <si>
    <t>cartographie dynamique des liens et dépendances</t>
  </si>
  <si>
    <t>liens entre éléments non documentés</t>
  </si>
  <si>
    <t>relations critiques non documentées</t>
  </si>
  <si>
    <t>Relations entre éléments</t>
  </si>
  <si>
    <t>Les relations entre éléments sont-elles documentées dans la CMDB ?</t>
  </si>
  <si>
    <t>Les relations entre éléments sont documentées dans la CMDB.</t>
  </si>
  <si>
    <t>validation en chaîne des données avant propagation</t>
  </si>
  <si>
    <t>erreurs qui se propagent dans les systèmes</t>
  </si>
  <si>
    <t>erreurs propagées dans le système</t>
  </si>
  <si>
    <t>Journal des synchronisations</t>
  </si>
  <si>
    <t>redondance des systèmes d'alimentation avec tests mensuels</t>
  </si>
  <si>
    <t>alimentation automatique qui plante parfois</t>
  </si>
  <si>
    <t>alimentation automatique partiellement défaillante</t>
  </si>
  <si>
    <t>Alimentation automatique documentée</t>
  </si>
  <si>
    <t>La CMDB est-elle alimentée automatiquement par les outils existants ?</t>
  </si>
  <si>
    <t>La CMDB est alimentée automatiquement par les outils existants.</t>
  </si>
  <si>
    <t>politique de purge automatique des données obsolètes</t>
  </si>
  <si>
    <t>données périmées non supprimées</t>
  </si>
  <si>
    <t>données obsolètes non purgées</t>
  </si>
  <si>
    <t>Rapport de complétude</t>
  </si>
  <si>
    <t>audit automatique hebdomadaire de la base de configuration</t>
  </si>
  <si>
    <t>éléments manquants dans la base de configuration</t>
  </si>
  <si>
    <t>éléments manquants dans la CMDB</t>
  </si>
  <si>
    <t>État de la CMDB</t>
  </si>
  <si>
    <t>Une CMDB à jour recense-t-elle tous les éléments de configuration ?</t>
  </si>
  <si>
    <t>Une CMDB à jour recense tous les éléments de configuration.</t>
  </si>
  <si>
    <t>S’assurer qu’il existe une base de données de gestion de 
configuration de type CMDB (Configuration Management Data Base)</t>
  </si>
  <si>
    <t>numérisation et indexation complète des documents anciens</t>
  </si>
  <si>
    <t>documents anciens introuvables</t>
  </si>
  <si>
    <t>difficulté à retrouver les documents anciens</t>
  </si>
  <si>
    <t>Politique d'archivage</t>
  </si>
  <si>
    <t>audit automatique mensuel de conformité des archives</t>
  </si>
  <si>
    <t>archives non conformes aux règles</t>
  </si>
  <si>
    <t>Archivage des comptes-rendus</t>
  </si>
  <si>
    <t>Les comptes-rendus de revue sont-ils archivés 5 ans ?</t>
  </si>
  <si>
    <t>Les comptes-rendus de revue sont archivés 5 ans.</t>
  </si>
  <si>
    <t>historique des choix accessible et commentable</t>
  </si>
  <si>
    <t>impossible de savoir pourquoi les choix ont été faits</t>
  </si>
  <si>
    <t>impossibilité de retracer les arbitrages</t>
  </si>
  <si>
    <t>PV des décisions</t>
  </si>
  <si>
    <t>journal décisionnel avec motifs et alternatives envisagées</t>
  </si>
  <si>
    <t>décisions non tracées ni expliquées</t>
  </si>
  <si>
    <t>décisions non documentées ni justifiées</t>
  </si>
  <si>
    <t>Décisions de renouvellement</t>
  </si>
  <si>
    <t>Les décisions de renouvellement sont-elles documentées ?</t>
  </si>
  <si>
    <t>Les décisions de renouvellement sont documentées.</t>
  </si>
  <si>
    <t>plans d'action standardisés pour chaque type d'anomalie</t>
  </si>
  <si>
    <t>pas de plan pour corriger les anomalies</t>
  </si>
  <si>
    <t>absence de plan d'action correctif</t>
  </si>
  <si>
    <t>Fiches d'action corrective</t>
  </si>
  <si>
    <t>registre des problèmes ouverts avec suivi public</t>
  </si>
  <si>
    <t>problèmes identifiés mais jamais résolus</t>
  </si>
  <si>
    <t>anomalies identifiées mais non suivies</t>
  </si>
  <si>
    <t>Traitement des anomalies</t>
  </si>
  <si>
    <t>Les anomalies identifiées déclenchent-elles des actions correctives ?</t>
  </si>
  <si>
    <t>Les anomalies identifiées déclenchent des actions correctives.</t>
  </si>
  <si>
    <t>checklist données obligatoires avant validation décision</t>
  </si>
  <si>
    <t>décisions prises sans toutes les infos</t>
  </si>
  <si>
    <t>décisions prises sans vision complète</t>
  </si>
  <si>
    <t>Liste des participants</t>
  </si>
  <si>
    <t>validation juridique intégrée aux workflows critiques</t>
  </si>
  <si>
    <t>avis juridique absent quand nécessaire</t>
  </si>
  <si>
    <t>absence des équipes juridiques critiques</t>
  </si>
  <si>
    <t>Participation des équipes juridiques</t>
  </si>
  <si>
    <t>Les revues impliquent-elles les équipes juridiques et financières ?</t>
  </si>
  <si>
    <t>Les revues impliquent les équipes juridiques et financières.</t>
  </si>
  <si>
    <t>documents préalables partagés 48h avant chaque réunion</t>
  </si>
  <si>
    <t>participants pas prêts pour les décisions</t>
  </si>
  <si>
    <t>participants insuffisamment préparés</t>
  </si>
  <si>
    <t>PV des réunions</t>
  </si>
  <si>
    <t>calendrier bloquant pour les revues avec préparation obligatoire</t>
  </si>
  <si>
    <t>réunions de revue souvent reportées</t>
  </si>
  <si>
    <t>report fréquent des revues trimestrielles</t>
  </si>
  <si>
    <t>Des revues trimestrielles des licences sont-elles planifiées ?</t>
  </si>
  <si>
    <t>Des revues trimestrielles des licences sont planifiées.</t>
  </si>
  <si>
    <t xml:space="preserve">S’assurer qu’il existe des revues régulières des licences </t>
  </si>
  <si>
    <t>scénarios de restauration documentés et testés trimestriellement</t>
  </si>
  <si>
    <t>impossible de restaurer après un incident</t>
  </si>
  <si>
    <t>absence de procédure de restauration documentée</t>
  </si>
  <si>
    <t>Preuve de sauvegarde</t>
  </si>
  <si>
    <t>tests de restauration obligatoires après chaque sauvegarde</t>
  </si>
  <si>
    <t>sauvegardes inutiles si non testées</t>
  </si>
  <si>
    <t>sauvegardes effectuées mais jamais testées</t>
  </si>
  <si>
    <t>Sauvegarde des données SAM</t>
  </si>
  <si>
    <t>Les données SAM sont-elles sauvegardées quotidiennement ?</t>
  </si>
  <si>
    <t>Les données SAM sont sauvegardées quotidiennement.</t>
  </si>
  <si>
    <t>revue mensuelle des comptes avec purge automatique</t>
  </si>
  <si>
    <t>comptes obsolètes ou incorrects</t>
  </si>
  <si>
    <t>retards dans les mises à jour des comptes</t>
  </si>
  <si>
    <t>Documentation technique</t>
  </si>
  <si>
    <t>synchronisation automatique quotidienne de l'annuaire</t>
  </si>
  <si>
    <t>annuaire des utilisateurs pas à jour</t>
  </si>
  <si>
    <t>désynchronisation avec l'annuaire utilisateurs</t>
  </si>
  <si>
    <t>Interface avec l'annuaire</t>
  </si>
  <si>
    <t>L'outil SAM est-il interfacé avec l'annuaire des utilisateurs ?</t>
  </si>
  <si>
    <t>L'outil SAM est interfacé avec l'annuaire des utilisateurs.</t>
  </si>
  <si>
    <t>visualisation data personnalisable par métier</t>
  </si>
  <si>
    <t>données mal présentées et inutilisables</t>
  </si>
  <si>
    <t>données présentées de manière peu exploitable</t>
  </si>
  <si>
    <t>Liste des habilitations</t>
  </si>
  <si>
    <t>accès granularisés avec approbation rapide intégrée</t>
  </si>
  <si>
    <t>accès bloqués pour les analyses nécessaires</t>
  </si>
  <si>
    <t>restrictions d'accès empêchant l'analyse</t>
  </si>
  <si>
    <t>Accès aux rapports SAM</t>
  </si>
  <si>
    <t>Les rapports SAM sont-ils accessibles aux responsables concernés ?</t>
  </si>
  <si>
    <t>Les rapports SAM sont accessibles aux responsables concernés.</t>
  </si>
  <si>
    <t>notification immédiate via canal prioritaire</t>
  </si>
  <si>
    <t>notifications reçues trop tard</t>
  </si>
  <si>
    <t>notifications envoyées trop tardivement</t>
  </si>
  <si>
    <t>alertes proactives 30 jours avant expiration licences</t>
  </si>
  <si>
    <t>alertes de fin de licence manquantes</t>
  </si>
  <si>
    <t>alertes d'expiration non paramétrées</t>
  </si>
  <si>
    <t>Alertes de licence expirante</t>
  </si>
  <si>
    <t>L'outil SAM génère-t-il des alertes pour les licences expirantes ?</t>
  </si>
  <si>
    <t>L'outil SAM génère des alertes pour les licences expirantes.</t>
  </si>
  <si>
    <t>tableau de bord consolidé en temps réel</t>
  </si>
  <si>
    <t>impossible d'avoir une vision globale</t>
  </si>
  <si>
    <t>difficulté à obtenir une vue consolidée</t>
  </si>
  <si>
    <t>Architecture technique</t>
  </si>
  <si>
    <t>plateforme unifiée d'agrégation des données</t>
  </si>
  <si>
    <t>données éparpillées dans plusieurs systèmes</t>
  </si>
  <si>
    <t>données dispersées entre plusieurs outils</t>
  </si>
  <si>
    <t>Outil SAM documenté</t>
  </si>
  <si>
    <t>Un outil SAM centralise-t-il toutes les données de licences ?</t>
  </si>
  <si>
    <t>Un outil SAM centralise toutes les données de licences.</t>
  </si>
  <si>
    <t>S’assurer que les outils de type SAM (Software Asset 
Management) sont déployés</t>
  </si>
  <si>
    <t>procédures standardisées de correction d'erreurs</t>
  </si>
  <si>
    <t>pas de méthode pour corriger les erreurs</t>
  </si>
  <si>
    <t>absence de procédure corrective standardisée</t>
  </si>
  <si>
    <t>Rapports de conformité</t>
  </si>
  <si>
    <t>workflow obligatoire de traitement des écarts</t>
  </si>
  <si>
    <t>écarts ignorés et non corrigés</t>
  </si>
  <si>
    <t>écarts non documentés ni analysés</t>
  </si>
  <si>
    <t>Analyse des écarts de licences</t>
  </si>
  <si>
    <t>Les écarts entre licences achetées et utilisées sont-ils analysés ?</t>
  </si>
  <si>
    <t>Les écarts entre licences achetées et utilisées sont analysés.</t>
  </si>
  <si>
    <t>moteur de détection d'anomalies en continu</t>
  </si>
  <si>
    <t>problèmes non détectés automatiquement</t>
  </si>
  <si>
    <t>absence de processus automatique de détection</t>
  </si>
  <si>
    <t>Alertes de dépassement</t>
  </si>
  <si>
    <t>surveillance en temps réel des seuils de licences</t>
  </si>
  <si>
    <t>dépassements licences pas vus tout de suite</t>
  </si>
  <si>
    <t>dépassements de licence non alertés en temps réel</t>
  </si>
  <si>
    <t>Suivi des utilisateurs autorisés</t>
  </si>
  <si>
    <t>Le nombre d'utilisateurs autorisés est-il suivi et alerté ?</t>
  </si>
  <si>
    <t>Le nombre d'utilisateurs autorisés est suivi et alerté.</t>
  </si>
  <si>
    <t>outil de gestion des versions avec historique complet</t>
  </si>
  <si>
    <t>historique des versions impossible à tracer</t>
  </si>
  <si>
    <t>difficulté à tracer l'historique des versions</t>
  </si>
  <si>
    <t>Calendrier des mises en production</t>
  </si>
  <si>
    <t>système d'enregistrement automatique des dates d'installation</t>
  </si>
  <si>
    <t>dates d'installation pas notées</t>
  </si>
  <si>
    <t>dates de déploiement non enregistrées systématiquement</t>
  </si>
  <si>
    <t>Dates de déploiement documentées</t>
  </si>
  <si>
    <t>La date de mise en production est-elle documentée pour chaque logiciel ?</t>
  </si>
  <si>
    <t>La date de mise en production est documentée pour chaque logiciel.</t>
  </si>
  <si>
    <t>validation croisée des saisies avec alertes sur anomalies</t>
  </si>
  <si>
    <t>erreurs de saisie pas corrigées</t>
  </si>
  <si>
    <t>erreurs de saisie manuelle non corrigées</t>
  </si>
  <si>
    <t>Contrats de licences</t>
  </si>
  <si>
    <t>politique de mise à jour forcée avec fenêtres imposées</t>
  </si>
  <si>
    <t>versions logicielles pas actualisées</t>
  </si>
  <si>
    <t>versions non mises à jour dans les registres</t>
  </si>
  <si>
    <t>Registre des versions logicielles</t>
  </si>
  <si>
    <t>Chaque licence est-elle enregistrée avec sa version exacte ?</t>
  </si>
  <si>
    <t>Chaque licence est enregistrée avec sa version exacte.</t>
  </si>
  <si>
    <t>scans réseau hebdomadaires vérifiant licences/logiciels</t>
  </si>
  <si>
    <t>pas de vérif entre logiciels installés et licences</t>
  </si>
  <si>
    <t>absence de vérification croisée avec les installations</t>
  </si>
  <si>
    <t>Rapport trimestriel</t>
  </si>
  <si>
    <t>logiciel de gestion des licences avec rapprochement automatique</t>
  </si>
  <si>
    <t>licences manquantes dans l'inventaire</t>
  </si>
  <si>
    <t>inventaire partiel avec licences oubliées</t>
  </si>
  <si>
    <t>Inventaire des licences</t>
  </si>
  <si>
    <t>L'inventaire des licences est-il réalisé trimestriellement ?</t>
  </si>
  <si>
    <t>L'inventaire des licences est réalisé trimestriellement.</t>
  </si>
  <si>
    <t>Vérifier comment est effectué l'inventaire des licences (logiciel, 
version, date de mise en production, nombre d'utilisateurs)</t>
  </si>
  <si>
    <t>Efficacité et de performance</t>
  </si>
  <si>
    <t>réécriture des documents en langage simple (norme FALC)</t>
  </si>
  <si>
    <t>texte trop compliqué</t>
  </si>
  <si>
    <t>document rédigé dans un langage trop juridique</t>
  </si>
  <si>
    <t>wiki des règles avec FAQ visuelle pour nouveaux arrivants</t>
  </si>
  <si>
    <t>règles introuvables pour les nouveaux</t>
  </si>
  <si>
    <t>politique difficile à trouver par les nouveaux arrivants</t>
  </si>
  <si>
    <t>Politique logicielle accessible</t>
  </si>
  <si>
    <t>La politique logicielle est-elle accessible à tous ?</t>
  </si>
  <si>
    <t>La politique logicielle est accessible à tous.</t>
  </si>
  <si>
    <t>traduction automatique des messages techniques en langage clair</t>
  </si>
  <si>
    <t>messages techniques incompréhensibles</t>
  </si>
  <si>
    <t>messages d'alerte trop techniques pour les utilisateurs</t>
  </si>
  <si>
    <t>Plan de diffusion</t>
  </si>
  <si>
    <t>canal dédié pour les alertes sécurité avec priorité absolue</t>
  </si>
  <si>
    <t>alertes sécurité noyées dans le spam</t>
  </si>
  <si>
    <t>alertes sécurité perdues dans le flux d'informations</t>
  </si>
  <si>
    <t>Bulletin de veille sécurité</t>
  </si>
  <si>
    <t>Les alertes sécurité sont-elles diffusées trimestriellement ?</t>
  </si>
  <si>
    <t>Les alertes sécurité sont diffusées trimestriellement.</t>
  </si>
  <si>
    <t>barème de sanctions transparent et appliqué systématiquement</t>
  </si>
  <si>
    <t>sanctions pas claires</t>
  </si>
  <si>
    <t>manque de transparence sur les sanctions appliquées</t>
  </si>
  <si>
    <t>Fiches de traitement</t>
  </si>
  <si>
    <t>délai maximum de 15 jours pour toute régularisation</t>
  </si>
  <si>
    <t>régularisation qui prend des mois</t>
  </si>
  <si>
    <t>délais excessifs dans le processus de régularisation</t>
  </si>
  <si>
    <t>Procédure de régularisation</t>
  </si>
  <si>
    <t>Un processus de régularisation existe-t-il ?</t>
  </si>
  <si>
    <t>Un processus de régularisation existe.</t>
  </si>
  <si>
    <t>standardisation des méthodes de contrôle sur un référentiel unique</t>
  </si>
  <si>
    <t>pas de méthode unique pour contrôler</t>
  </si>
  <si>
    <t>absence de procédure standardisée pour les contrôles</t>
  </si>
  <si>
    <t>Liste des logiciels non autorisés</t>
  </si>
  <si>
    <t>contrôles automatisés selon calendrier prédéfini imposé</t>
  </si>
  <si>
    <t>contrôles pas faits régulièrement</t>
  </si>
  <si>
    <t>contrôles mensuels effectués de manière inconstante</t>
  </si>
  <si>
    <t>Rapports de contrôle mensuel</t>
  </si>
  <si>
    <t>Les contrôles de logiciels non autorisés sont-ils mensuels ?</t>
  </si>
  <si>
    <t>Les contrôles de logiciels non autorisés sont mensuels.</t>
  </si>
  <si>
    <t>liste des non-signataires visible avec relances programmées</t>
  </si>
  <si>
    <t>pas de suivi des non-signataires</t>
  </si>
  <si>
    <t>absence de suivi des utilisateurs n'ayant pas signé</t>
  </si>
  <si>
    <t>Registre des signatures</t>
  </si>
  <si>
    <t>signatures électroniques avec rappels automatiques et suivi</t>
  </si>
  <si>
    <t>signature annuelle juste pour la forme</t>
  </si>
  <si>
    <t>signature annuelle traitée comme simple formalité administrative</t>
  </si>
  <si>
    <t>Charte d'utilisation signée</t>
  </si>
  <si>
    <t>Les utilisateurs signent-ils la charte annuellement ?</t>
  </si>
  <si>
    <t>Les utilisateurs signent la charte annuellement.</t>
  </si>
  <si>
    <t>Vérifier que les utilisateurs sont sensibilisés à la sécurité 
informatique, notamment à l'installation de logiciel "non officiel"</t>
  </si>
  <si>
    <t>outil de cartographie allégé avec cache local pour rapidité</t>
  </si>
  <si>
    <t>outil de cartographie lent et buggé</t>
  </si>
  <si>
    <t>outil de cartographie peu ergonomique et lent</t>
  </si>
  <si>
    <t>Plan d'implantation</t>
  </si>
  <si>
    <t>mise à jour automatique des plans après modification des locaux</t>
  </si>
  <si>
    <t>plans pas à jour après déménagement</t>
  </si>
  <si>
    <t>cartographie non mise à jour après changements</t>
  </si>
  <si>
    <t>Cartographie du parc</t>
  </si>
  <si>
    <t>La cartographie des machines est-elle disponible ?</t>
  </si>
  <si>
    <t>La cartographie des machines est disponible.</t>
  </si>
  <si>
    <t>enquête systématique sur les pertes avec mesures correctives</t>
  </si>
  <si>
    <t>pertes inexpliquées</t>
  </si>
  <si>
    <t>pertes matérielles non expliquées après inventaire</t>
  </si>
  <si>
    <t>inventaire mobile avec scans réguliers et rapprochement auto</t>
  </si>
  <si>
    <t>écarts entre inventaire et réalité</t>
  </si>
  <si>
    <t>écarts importants entre inventaire physique et théorique</t>
  </si>
  <si>
    <t>Rapport de vérification physique</t>
  </si>
  <si>
    <t>L'inventaire physique est-il vérifié semestriellement ?</t>
  </si>
  <si>
    <t>L'inventaire physique est vérifié semestriellement.</t>
  </si>
  <si>
    <t>formations immersives régulières aux gestes de crise</t>
  </si>
  <si>
    <t>personnel pas formé pour les crises</t>
  </si>
  <si>
    <t>personnel non formé aux procédures exceptionnelles</t>
  </si>
  <si>
    <t>Plan d'intervention</t>
  </si>
  <si>
    <t>tests biannuels des procédures d'urgence avec retours d'expérience</t>
  </si>
  <si>
    <t>procédure urgence qui marche pas</t>
  </si>
  <si>
    <t>procédure de localisation d'urgence inefficace</t>
  </si>
  <si>
    <t>Procédure de localisation d'urgence</t>
  </si>
  <si>
    <t>Une procédure de localisation d'urgence existe-t-elle ?</t>
  </si>
  <si>
    <t>Une procédure de localisation d'urgence existe.</t>
  </si>
  <si>
    <t>alertes immédiates sur disparitions avec enregistrement vidéo</t>
  </si>
  <si>
    <t>vols ou pertes pas vus vite</t>
  </si>
  <si>
    <t>perte ou vol non détecté rapidement</t>
  </si>
  <si>
    <t>Journal des transferts</t>
  </si>
  <si>
    <t>traçabilité des mouvements matériel via système de badgeage</t>
  </si>
  <si>
    <t>mouvements de matériel pas notés</t>
  </si>
  <si>
    <t>mouvements de matériel non enregistrés en temps réel</t>
  </si>
  <si>
    <t>Procédure de mise à jour des mouvements</t>
  </si>
  <si>
    <t>Les mouvements de matériel mettent-ils à jour l'inventaire ?</t>
  </si>
  <si>
    <t>Les mouvements de matériel mettent à jour l'inventaire.</t>
  </si>
  <si>
    <t>déploiement progressif des mises à jour par lots contrôlés</t>
  </si>
  <si>
    <t>mises à jour locaux trop lentes</t>
  </si>
  <si>
    <t>retard dans la mise à jour après réorganisations</t>
  </si>
  <si>
    <t>Localisation physique des équipements</t>
  </si>
  <si>
    <t>tags RFID et système de localisation en temps réel</t>
  </si>
  <si>
    <t>localisation matériel fausse</t>
  </si>
  <si>
    <t>localisation physique inexacte dans l'inventaire</t>
  </si>
  <si>
    <t>Fiche d'inventaire complète</t>
  </si>
  <si>
    <t>L'inventaire inclut-il le bâtiment et numéro de bureau ?</t>
  </si>
  <si>
    <t>L'inventaire inclut le bâtiment et numéro de bureau.</t>
  </si>
  <si>
    <t>S’assurer que l'inventaire du parc informatique comprend la 
localisation des machines</t>
  </si>
  <si>
    <t>alertes sur les écarts statistiques significatifs cachés</t>
  </si>
  <si>
    <t>problèmes cachés par les moyennes</t>
  </si>
  <si>
    <t>données agrégées masquant des problèmes spécifiques</t>
  </si>
  <si>
    <t>Rapports d'analyse</t>
  </si>
  <si>
    <t>analyses granulaires des données machines sans agrégation</t>
  </si>
  <si>
    <t>stats machines pas utilisées</t>
  </si>
  <si>
    <t>statistiques par type de machine non exploitées</t>
  </si>
  <si>
    <t>Statistiques d'utilisation par type</t>
  </si>
  <si>
    <t>Les statistiques par type de machine sont-elles produites ?</t>
  </si>
  <si>
    <t>Les statistiques par type de machine sont produites.</t>
  </si>
  <si>
    <t>revue budgétaire mensuelle avec alertes de dépassement</t>
  </si>
  <si>
    <t>dépassement constant des budgets</t>
  </si>
  <si>
    <t>dépassement systématique des seuils faute de budget</t>
  </si>
  <si>
    <t>Grille des seuils</t>
  </si>
  <si>
    <t>ajustement automatique des seuils via machine learning</t>
  </si>
  <si>
    <t>seuils de changement pas adaptés</t>
  </si>
  <si>
    <t>seuils de renouvellement inadaptés à l'évolution technologique</t>
  </si>
  <si>
    <t>Politique de renouvellement</t>
  </si>
  <si>
    <t>Les seuils de renouvellement sont-ils définis ?</t>
  </si>
  <si>
    <t>Les seuils de renouvellement sont définis.</t>
  </si>
  <si>
    <t>registre des versions logicielles intégré au système de tickets</t>
  </si>
  <si>
    <t>versions logicielles pas notées</t>
  </si>
  <si>
    <t>versions des logiciels non précisées dans l'inventaire</t>
  </si>
  <si>
    <t>inventaire dynamique des outils mis à jour automatiquement</t>
  </si>
  <si>
    <t>liste d'outils pas à jour</t>
  </si>
  <si>
    <t>liste des outils non exhaustives ou non actualisées</t>
  </si>
  <si>
    <t>Inventaire des outils installés</t>
  </si>
  <si>
    <t>La liste des outils déployés est-elle maintenue à jour ?</t>
  </si>
  <si>
    <t>La liste des outils déployés est maintenue à jour.</t>
  </si>
  <si>
    <t>tableau de bord temps réel de l'état du parc matériel</t>
  </si>
  <si>
    <t>état réel du matériel pas pris en compte</t>
  </si>
  <si>
    <t>non-prise en compte de l'état réel des équipements</t>
  </si>
  <si>
    <t>audit matériel physique annuel avec remplacement programmé</t>
  </si>
  <si>
    <t>âge moyen cache du matériel très vieux</t>
  </si>
  <si>
    <t>calcul d'âge moyen masquant des situations critiques</t>
  </si>
  <si>
    <t>Calcul de l'âge moyen du parc</t>
  </si>
  <si>
    <t>L'âge moyen des équipements est-il calculé trimestriellement ?</t>
  </si>
  <si>
    <t>L'âge moyen des équipements est calculé trimestriellement.</t>
  </si>
  <si>
    <t>politique d'équipement standardisée avec répartition équitable</t>
  </si>
  <si>
    <t>certains services mieux équipés que d'autres</t>
  </si>
  <si>
    <t>inégalités perçues dans la répartition des équipements</t>
  </si>
  <si>
    <t>Liste des catégories d'équipements</t>
  </si>
  <si>
    <t>nouvelle taxonomie matérielle basée sur les critères techniques</t>
  </si>
  <si>
    <t>classement des appareils dépassé</t>
  </si>
  <si>
    <t>classification du parc obsolète ne reflétant pas les usages actuels</t>
  </si>
  <si>
    <t>Classification du parc informatique</t>
  </si>
  <si>
    <t>Le parc est-il classé par type (direction, standard, etc.) ?</t>
  </si>
  <si>
    <t>Le parc est classé par type (direction, standard, etc.).</t>
  </si>
  <si>
    <t>Vérifier comment est géré le parc informatique, quel type de 
machine, et quels outils y sont déployés</t>
  </si>
  <si>
    <t>logs chiffrés et signés avec accès restreint et audités</t>
  </si>
  <si>
    <t>logs modifiables par n'importe qui</t>
  </si>
  <si>
    <t>possibilité de modification ou suppression des logs</t>
  </si>
  <si>
    <t>Enregistrements détaillés</t>
  </si>
  <si>
    <t>enregistrement immédiat et immuable des actions critiques</t>
  </si>
  <si>
    <t>actions importantes pas enregistrées</t>
  </si>
  <si>
    <t>journalisation incomplète des actions sensibles</t>
  </si>
  <si>
    <t>Journal des actions distantes</t>
  </si>
  <si>
    <t>Les actions réalisées à distance sont-elles journalisées ?</t>
  </si>
  <si>
    <t>Les actions réalisées à distance sont journalisées.</t>
  </si>
  <si>
    <t>contrôles aléatoires et traçabilité complète des interventions</t>
  </si>
  <si>
    <t>techniciens qui trichent pour aller plus vite</t>
  </si>
  <si>
    <t>contournement des limites par les techniciens sous pression</t>
  </si>
  <si>
    <t>Logs de durée des sessions</t>
  </si>
  <si>
    <t>système anti-coupure avec sauvegarde automatique des sessions</t>
  </si>
  <si>
    <t>interventions coupées en plein milieu</t>
  </si>
  <si>
    <t>limites de temps interrompant des interventions nécessaires</t>
  </si>
  <si>
    <t>Paramétrage des durées de session</t>
  </si>
  <si>
    <t>Les sessions distantes sont-elles limitées dans le temps ?</t>
  </si>
  <si>
    <t>Les sessions distantes sont limitées dans le temps.</t>
  </si>
  <si>
    <t>workflow digital de consentement avec validation en 3 étapes</t>
  </si>
  <si>
    <t>processus de consentement pas clair</t>
  </si>
  <si>
    <t>ambiguïté dans le processus d'obtention du consentement</t>
  </si>
  <si>
    <t>Journal des consentements</t>
  </si>
  <si>
    <t>système de rappel automatique pour les consentements manquants</t>
  </si>
  <si>
    <t>consentements parfois oubliés</t>
  </si>
  <si>
    <t>consentement utilisateur non systématiquement enregistré</t>
  </si>
  <si>
    <t>Formulaire de consentement</t>
  </si>
  <si>
    <t>Le consentement utilisateur est-il obligatoire et enregistré ?</t>
  </si>
  <si>
    <t>Le consentement utilisateur est obligatoire et enregistré.</t>
  </si>
  <si>
    <t>GED avec classement intelligent et reconnaissance de documents</t>
  </si>
  <si>
    <t>documentation mal organisée ou inaccessible</t>
  </si>
  <si>
    <t>Manuel d'utilisation</t>
  </si>
  <si>
    <t>procédures d'urgence simplifiées en pictogrammes avec QR codes</t>
  </si>
  <si>
    <t>procédure trop compliquée en urgence</t>
  </si>
  <si>
    <t>procédure de prise de main trop complexe en situation d'urgence</t>
  </si>
  <si>
    <t>Procédure écrite de prise de main</t>
  </si>
  <si>
    <t>La procédure de prise de main est-elle documentée ?</t>
  </si>
  <si>
    <t>La procédure de prise de main est documentée.</t>
  </si>
  <si>
    <t>inventaire matériel précis avec suivi des modèles problématiques</t>
  </si>
  <si>
    <t>bugs avec certains modèles d'ordinateurs</t>
  </si>
  <si>
    <t>problèmes de compatibilité avec certaines configurations</t>
  </si>
  <si>
    <t>tests de compatibilité matérielle avant déploiement des outils</t>
  </si>
  <si>
    <t>outil qui marche pas sur certains appareils</t>
  </si>
  <si>
    <t>outil de prise de main non adapté à tous les types d'intervention</t>
  </si>
  <si>
    <t>Certificat d'homologation</t>
  </si>
  <si>
    <t>L'outil de prise de main à distance est-il homologué ?</t>
  </si>
  <si>
    <t>L'outil de prise de main à distance est homologué.</t>
  </si>
  <si>
    <t>Vérifier qu’il est possible pour le HD de prendre la main à 
distance, si oui, en vérifier la procédure</t>
  </si>
  <si>
    <t>registre des erreurs récurrentes avec solutions standardisées</t>
  </si>
  <si>
    <t>mêmes erreurs qui se répètent partout</t>
  </si>
  <si>
    <t>répétition des mêmes problèmes sur différents déploiements</t>
  </si>
  <si>
    <t>Configuration alertes</t>
  </si>
  <si>
    <t>méthode d'analyse RCA obligatoire avec validation par pairs</t>
  </si>
  <si>
    <t>problèmes analysés trop vite sans vraie solution</t>
  </si>
  <si>
    <t>analyse superficielle des échecs sans correction systémique</t>
  </si>
  <si>
    <t>Captures écran</t>
  </si>
  <si>
    <t>Les échecs de déploiement distant sont-ils analysés ?</t>
  </si>
  <si>
    <t>Les échecs de déploiement distant sont analysés.</t>
  </si>
  <si>
    <t>politique de rétention stricte avec sauvegardes géo-redondantes</t>
  </si>
  <si>
    <t>infos perdues à jamais dans les archives</t>
  </si>
  <si>
    <t>difficulté à retrouver des informations spécifiques dans les archives</t>
  </si>
  <si>
    <t>Interface suivi</t>
  </si>
  <si>
    <t>base de connaissances centralisée indexée et accessible en 1 clic</t>
  </si>
  <si>
    <t>impossible de retrouver des infos</t>
  </si>
  <si>
    <t>archivage des journaux incomplet ou désorganisé</t>
  </si>
  <si>
    <t>Journal notifications</t>
  </si>
  <si>
    <t>Les journaux de déploiement distant sont-ils archivés ?</t>
  </si>
  <si>
    <t>Les journaux de déploiement distant sont archivés.</t>
  </si>
  <si>
    <t>système d'archivage automatisé avec métadonnées et moteur de recherche</t>
  </si>
  <si>
    <t>archives désorganisées</t>
  </si>
  <si>
    <t>incompréhension des enjeux de sécurité par les utilisateurs</t>
  </si>
  <si>
    <t>Modèle accusé réception</t>
  </si>
  <si>
    <t>campagnes trimestrielles de sensibilisation sécurité avec tests pratiques</t>
  </si>
  <si>
    <t>manque de sensibilisation sécurité</t>
  </si>
  <si>
    <t>choix utilisateur retardant excessivement les mises à jour critiques</t>
  </si>
  <si>
    <t>Logs création tickets</t>
  </si>
  <si>
    <t>Les utilisateurs peuvent-ils choisir le moment de la mise à jour ?</t>
  </si>
  <si>
    <t>Les utilisateurs peuvent choisir le moment de la mise à jour.</t>
  </si>
  <si>
    <t>mises à jour forcées hors plages critiques avec rappels</t>
  </si>
  <si>
    <t>utilisateurs retardent les mises à jour</t>
  </si>
  <si>
    <t>conflits avec les activités métiers prioritaires</t>
  </si>
  <si>
    <t>Manuel outil ticketing</t>
  </si>
  <si>
    <t>calendrier coordonné des mises à jour avec les métiers</t>
  </si>
  <si>
    <t>conflits avec les activités métier</t>
  </si>
  <si>
    <t>bande passante insuffisante durant les heures de pointe</t>
  </si>
  <si>
    <t>Suivi individuel</t>
  </si>
  <si>
    <t>La bande passante nécessaire est-elle réservée pour les déploiements ?</t>
  </si>
  <si>
    <t>La bande passante nécessaire est réservée pour les déploiements.</t>
  </si>
  <si>
    <t>quality of service (QoS) pour trafic critique aux heures de pointe</t>
  </si>
  <si>
    <t>réseau saturé aux heures de pointe</t>
  </si>
  <si>
    <t>problèmes de connectivité dans certaines zones géographiques</t>
  </si>
  <si>
    <t>Tableau bord</t>
  </si>
  <si>
    <t>plan de résorption des zones blanches priorisé</t>
  </si>
  <si>
    <t>zones blanches non couvertes</t>
  </si>
  <si>
    <t>couverture incomplète des appareils nomades isolés</t>
  </si>
  <si>
    <t>Détection lacunes</t>
  </si>
  <si>
    <t>Le déploiement distant couvre-t-il l'ensemble du parc nomade ?</t>
  </si>
  <si>
    <t>Le déploiement distant couvre l'ensemble du parc nomade.</t>
  </si>
  <si>
    <t>S’assurer que le déploiement de nouveaux logiciels ou mises à 
jour est possible à distance (utile pour les utilisateurs nomades)</t>
  </si>
  <si>
    <t>audit complet de couverture réseau avec cartographie</t>
  </si>
  <si>
    <t>couverture réseau incomplète</t>
  </si>
  <si>
    <t>difficulté à analyser les logs volumineux</t>
  </si>
  <si>
    <t>Plan formation</t>
  </si>
  <si>
    <t>solution d'analyse de logs avec alertes intelligentes</t>
  </si>
  <si>
    <t>logs trop gros à analyser</t>
  </si>
  <si>
    <t>durée de conservation des logs insuffisante pour enquêtes</t>
  </si>
  <si>
    <t>Binômes formés</t>
  </si>
  <si>
    <t>Les logs de mise à jour sont-ils conservés 3 mois ?</t>
  </si>
  <si>
    <t>Les logs de mise à jour sont conservés 3 mois.</t>
  </si>
  <si>
    <t>politique de rétention des logs alignée sur les besoins légaux</t>
  </si>
  <si>
    <t>logs supprimés trop tôt</t>
  </si>
  <si>
    <t>mauvais timing des notifications perturbant le travail</t>
  </si>
  <si>
    <t>Programme mentorat</t>
  </si>
  <si>
    <t>infrastructure de notification redondante et testée</t>
  </si>
  <si>
    <t>notifications qui arrivent mal</t>
  </si>
  <si>
    <t>notifications utilisateurs non reçues ou ignorées</t>
  </si>
  <si>
    <t>Décision renouvellement</t>
  </si>
  <si>
    <t>Les utilisateurs reçoivent-ils une notification avant mise à jour ?</t>
  </si>
  <si>
    <t>Les utilisateurs reçoivent une notification avant mise à jour.</t>
  </si>
  <si>
    <t>notification de réception obligatoire avec accusé de lecture</t>
  </si>
  <si>
    <t>notifications non reçues</t>
  </si>
  <si>
    <t>absence de différenciation des priorités pour les tickets</t>
  </si>
  <si>
    <t>Impact contrat</t>
  </si>
  <si>
    <t>algorithme de tri initial basé sur l'historique des incidents</t>
  </si>
  <si>
    <t>pas de tri des incidents</t>
  </si>
  <si>
    <t>génération automatique de tickets saturant le système</t>
  </si>
  <si>
    <t>Grille évaluation</t>
  </si>
  <si>
    <t>Les échecs de mise à jour génèrent-ils des tickets automatiques ?</t>
  </si>
  <si>
    <t>Les échecs de mise à jour génèrent des tickets automatiques.</t>
  </si>
  <si>
    <t>répartition intelligente des tickets via règles dynamiques</t>
  </si>
  <si>
    <t>système de tickets surchargé</t>
  </si>
  <si>
    <t>absence d'alerte proactive sur les échecs de mise à jour</t>
  </si>
  <si>
    <t>Test technique</t>
  </si>
  <si>
    <t>système de détection d'échecs en temps réel</t>
  </si>
  <si>
    <t>échecs non détectés rapidement</t>
  </si>
  <si>
    <t>monitoring insuffisant des appareils en déplacement</t>
  </si>
  <si>
    <t>Support communication</t>
  </si>
  <si>
    <t>Le statut des mises à jour sur portables est-il monitoré ?</t>
  </si>
  <si>
    <t>Le statut des mises à jour sur portables est monitoré.</t>
  </si>
  <si>
    <t>monitoring actif des appareils avec alertes sur anomalies</t>
  </si>
  <si>
    <t>appareils mobiles non surveillés</t>
  </si>
  <si>
    <t>complexité accrue pour la gestion des mises à jour hétérogènes</t>
  </si>
  <si>
    <t>Partage feedbacks</t>
  </si>
  <si>
    <t>orchestrateur centralisé des mises à jour logicielles</t>
  </si>
  <si>
    <t>mises à jour hétérogènes</t>
  </si>
  <si>
    <t>processus mobiles différent créant des incohérences</t>
  </si>
  <si>
    <t>Décisions amélioration</t>
  </si>
  <si>
    <t>Un processus spécifique existe-t-il pour les mises à jour mobiles ?</t>
  </si>
  <si>
    <t>Un processus spécifique existe pour les mises à jour mobiles.</t>
  </si>
  <si>
    <t>S’assurer qu’il existe un processus spécifique pour le suivi des 
mises à jour sur les portables</t>
  </si>
  <si>
    <t>standardisation du parc matériel avec tests de compatibilité</t>
  </si>
  <si>
    <t>incompatibilité entre appareils</t>
  </si>
  <si>
    <t>résistance aux changements de l'image master établie</t>
  </si>
  <si>
    <t>Plan action</t>
  </si>
  <si>
    <t>programme de changement avec ambassadeurs métiers</t>
  </si>
  <si>
    <t>résistance au changement</t>
  </si>
  <si>
    <t>révisions semestrielles ne suivant pas l'évolution des besoins</t>
  </si>
  <si>
    <t>Rapport analyse</t>
  </si>
  <si>
    <t>L'image master est-elle révisée semestriellement ?</t>
  </si>
  <si>
    <t>L'image master est révisée semestriellement.</t>
  </si>
  <si>
    <t>plan de mise à jour systématique des images master</t>
  </si>
  <si>
    <t>images master non actualisées</t>
  </si>
  <si>
    <t>contournement des procédures d'autorisation en urgence</t>
  </si>
  <si>
    <t>Analyse thématique</t>
  </si>
  <si>
    <t>enquête mensuelle sur les contournements et leurs causes</t>
  </si>
  <si>
    <t>procédures contournées par frustration</t>
  </si>
  <si>
    <t>autorisations écrites systématiques créant des goulots d'étranglement</t>
  </si>
  <si>
    <t>Objectifs définis</t>
  </si>
  <si>
    <t>Les écarts au standard nécessitent-ils une autorisation écrite ?</t>
  </si>
  <si>
    <t>Les écarts au standard nécessitent une autorisation écrite.</t>
  </si>
  <si>
    <t>revue trimestrielle des processus pour réduire la bureaucratie</t>
  </si>
  <si>
    <t>bureaucratie qui ralentit tout</t>
  </si>
  <si>
    <t>tolérance excessive aux écarts non documentés</t>
  </si>
  <si>
    <t>Taux réponse</t>
  </si>
  <si>
    <t>tolérance zéro pour les écarts avec reporting automatique</t>
  </si>
  <si>
    <t>écarts tolérés créant des risques</t>
  </si>
  <si>
    <t>contrôles de conformité sporadiques ou superficiels</t>
  </si>
  <si>
    <t>Preuve envoi</t>
  </si>
  <si>
    <t>Toute installation vérifie-t-elle la conformité à l'image master ?</t>
  </si>
  <si>
    <t>Toute installation vérifie la conformité à l'image master.</t>
  </si>
  <si>
    <t>contrôles automatiques hebdomadaires de conformité</t>
  </si>
  <si>
    <t>contrôles de conformité rares</t>
  </si>
  <si>
    <t>difficulté à comprendre les étapes clés par le nouveau personnel</t>
  </si>
  <si>
    <t>Envoi études</t>
  </si>
  <si>
    <t>parcours d'onboarding accéléré avec mentor assigné</t>
  </si>
  <si>
    <t>nouveaux employés perdus</t>
  </si>
  <si>
    <t>procédure de création d'image master incomplète ou obsolète</t>
  </si>
  <si>
    <t>La procédure de création d'image master est-elle documentée ?</t>
  </si>
  <si>
    <t>La procédure de création d'image master est documentée.</t>
  </si>
  <si>
    <t>checklists interactives guidant la création pas à pas</t>
  </si>
  <si>
    <t>procédure de création incomplète</t>
  </si>
  <si>
    <t>absence de validation formelle en cas d'urgence critique</t>
  </si>
  <si>
    <t>Échantillonnage appels</t>
  </si>
  <si>
    <t>circuit d'approbation d'urgence avec quorum réduit</t>
  </si>
  <si>
    <t>urgence bloquée par l'absence de validation</t>
  </si>
  <si>
    <t>validation de l'image master retardée par la disponibilité du responsable</t>
  </si>
  <si>
    <t>Journal accès</t>
  </si>
  <si>
    <t>L'image master est-elle validée par le responsable infrastructure ?</t>
  </si>
  <si>
    <t>L'image master est validée par le responsable infrastructure.</t>
  </si>
  <si>
    <t>S’assurer que l'installation des PC / portables est faite à partir 
d'un master (configuration minimum et standardisée)</t>
  </si>
  <si>
    <t>pipeline CI/CD avec validation automatique des images</t>
  </si>
  <si>
    <t>images master non validées à temps</t>
  </si>
  <si>
    <t>données incomplètes ou erronées dans les rapports</t>
  </si>
  <si>
    <t>Accès superviseurs</t>
  </si>
  <si>
    <t>workflow de validation des rapports avec relecture croisée</t>
  </si>
  <si>
    <t>rapports avec des erreurs</t>
  </si>
  <si>
    <t>statistiques matérielles non exploitées pour les décisions</t>
  </si>
  <si>
    <t>Registre durées</t>
  </si>
  <si>
    <t>Les statistiques matérielles sont-elles produites trimestriellement ?</t>
  </si>
  <si>
    <t>Les statistiques matérielles sont produites trimestriellement.</t>
  </si>
  <si>
    <t>tableau de bord décisionnel alimenté par données certifiées</t>
  </si>
  <si>
    <t>décisions basées sur de mauvaises données</t>
  </si>
  <si>
    <t>délais d'intervention inacceptables pour les urgences</t>
  </si>
  <si>
    <t>Durée conservation</t>
  </si>
  <si>
    <t>SLA stricts avec objectifs de temps d'intervention</t>
  </si>
  <si>
    <t>temps d'intervention trop longs</t>
  </si>
  <si>
    <t>circuit d'intervention matérielle trop complexe</t>
  </si>
  <si>
    <t>Audit conformité</t>
  </si>
  <si>
    <t>Les demandes d'intervention matérielle ont-elles un circuit dédié ?</t>
  </si>
  <si>
    <t>Les demandes d'intervention matérielle ont un circuit dédié.</t>
  </si>
  <si>
    <t>simplification des procédures via ateliers avec les techniciens</t>
  </si>
  <si>
    <t>procédures trop compliquées</t>
  </si>
  <si>
    <t>coûts imprévus de remplacement du matériel</t>
  </si>
  <si>
    <t>Conformité RGPD</t>
  </si>
  <si>
    <t>budget flexible avec réserve pour imprévus matériels</t>
  </si>
  <si>
    <t>coûts imprévus de remplacement</t>
  </si>
  <si>
    <t>garanties expirées non renouvelées à temps</t>
  </si>
  <si>
    <t>Preuve consentement</t>
  </si>
  <si>
    <t>Les garanties matérielles sont-elles suivies mensuellement ?</t>
  </si>
  <si>
    <t>Les garanties matérielles sont suivies mensuellement.</t>
  </si>
  <si>
    <t>répertoire d'urgence chiffré et répliqué géographiquement</t>
  </si>
  <si>
    <t>infos introuvables en cas d'urgence</t>
  </si>
  <si>
    <t>accès difficile aux informations techniques en urgence</t>
  </si>
  <si>
    <t>Consentement enregistré</t>
  </si>
  <si>
    <t>fiches techniques standardisées et accessibles hors ligne</t>
  </si>
  <si>
    <t>fiches techniques inutilisables</t>
  </si>
  <si>
    <t>fiches techniques incomplètes ou obsolètes</t>
  </si>
  <si>
    <t>Rapport qualité</t>
  </si>
  <si>
    <t>Chaque équipement possède-t-il une fiche technique complète ?</t>
  </si>
  <si>
    <t>Chaque équipement possède une fiche technique complète.</t>
  </si>
  <si>
    <t>politique de mise à jour forcée pour appareils mobiles</t>
  </si>
  <si>
    <t>appareils mobiles non mis à jour</t>
  </si>
  <si>
    <t>mises à jour hebdomadaires insuffisantes pour le matériel mobile</t>
  </si>
  <si>
    <t>Procédure validation</t>
  </si>
  <si>
    <t>inventaire matériel automatisé avec scans réseau réguliers</t>
  </si>
  <si>
    <t>inventaire matériel inexact</t>
  </si>
  <si>
    <t>décalage entre inventaire et parc matériel réel</t>
  </si>
  <si>
    <t>Historique versions</t>
  </si>
  <si>
    <t>L'inventaire matériel est-il mis à jour hebdomadairement ?</t>
  </si>
  <si>
    <t>L'inventaire matériel est mis à jour hebdomadairement.</t>
  </si>
  <si>
    <t>Vérifier les outils mis en place pour gérer le matériel 
informatique</t>
  </si>
  <si>
    <t>snapshots horaires permettant la restauration instantanée</t>
  </si>
  <si>
    <t>impossible de restaurer une version stable</t>
  </si>
  <si>
    <t>difficulté à retrouver des versions spécifiques</t>
  </si>
  <si>
    <t>Journal modifications</t>
  </si>
  <si>
    <t>système de versioning immutable avec historique complet</t>
  </si>
  <si>
    <t>historique des modifications perdu</t>
  </si>
  <si>
    <t>historique des versions incomplet ou corrompu</t>
  </si>
  <si>
    <t>Formulaire proposition</t>
  </si>
  <si>
    <t>L'historique des versions est-il conservé pendant 5 ans ?</t>
  </si>
  <si>
    <t>L'historique des versions est conservé pendant 5 ans.</t>
  </si>
  <si>
    <t>moteur de corrélation d'alertes avec suppression des doublons</t>
  </si>
  <si>
    <t>alertes inutiles qui distraient</t>
  </si>
  <si>
    <t>faux positifs dans les alertes de sécurité</t>
  </si>
  <si>
    <t>Liste responsables</t>
  </si>
  <si>
    <t>correctifs de sécurité appliqués via déploiement automatique</t>
  </si>
  <si>
    <t>failles de sécurité non corrigées</t>
  </si>
  <si>
    <t>alertes de vulnérabilités non traitées en temps voulu</t>
  </si>
  <si>
    <t>Désignation responsables</t>
  </si>
  <si>
    <t>Les alertes pour versions vulnérables sont-elles configurées ?</t>
  </si>
  <si>
    <t>Les alertes pour versions vulnérables sont configurées.</t>
  </si>
  <si>
    <t>journal centralisé des actions avec rétention légale</t>
  </si>
  <si>
    <t>actions non tracées dans les logs</t>
  </si>
  <si>
    <t>traçabilité insuffisante des actions sur le dépôt</t>
  </si>
  <si>
    <t>Workflow publication</t>
  </si>
  <si>
    <t>procédures d'exception pré-approuvées pour techniciens</t>
  </si>
  <si>
    <t>techniciens bloqués par les contrôles</t>
  </si>
  <si>
    <t>contrôle des accès trop restrictif ralentissant les interventions</t>
  </si>
  <si>
    <t>Procédure cycle vie</t>
  </si>
  <si>
    <t>Les accès au dépôt des versions sont-ils contrôlés et tracés ?</t>
  </si>
  <si>
    <t>Les accès au dépôt des versions sont contrôlés et tracés.</t>
  </si>
  <si>
    <t>audits trimestriels de conformité théorie/pratique</t>
  </si>
  <si>
    <t>écarts entre théorie et pratique</t>
  </si>
  <si>
    <t>incohérences entre documentation et réalité</t>
  </si>
  <si>
    <t>Analyse mensuelle</t>
  </si>
  <si>
    <t>wiki collaboratif avec validation mensuelle de la documentation</t>
  </si>
  <si>
    <t>documentation obsolète et trompeuse</t>
  </si>
  <si>
    <t>fiches descriptives non mises à jour avec les changements</t>
  </si>
  <si>
    <t>Statistiques consultation</t>
  </si>
  <si>
    <t>Chaque version logicielle est-elle associée à une fiche descriptive ?</t>
  </si>
  <si>
    <t>Chaque version logicielle est associée à une fiche descriptive.</t>
  </si>
  <si>
    <t>environnement de test miroir obligatoire avant toute mise en prod</t>
  </si>
  <si>
    <t>modifications non autorisées en production</t>
  </si>
  <si>
    <t>accès non autorisés aux versions critiques</t>
  </si>
  <si>
    <t>Inventaire ressources</t>
  </si>
  <si>
    <t>système de vérification d'intégrité des binaires en continu</t>
  </si>
  <si>
    <t>versions logicielles corrompues</t>
  </si>
  <si>
    <t>corruption du dépôt unique de versions</t>
  </si>
  <si>
    <t>Formats disponibles</t>
  </si>
  <si>
    <t>Un dépôt unique contient-il toutes les versions des logiciels ?</t>
  </si>
  <si>
    <t>Un dépôt unique contient toutes les versions des logiciels.</t>
  </si>
  <si>
    <t xml:space="preserve">Vérifier les outils mis en place pour gérer les versions des 
logiciels </t>
  </si>
  <si>
    <t>workflow d'urgence avec voie parallèle accélérée</t>
  </si>
  <si>
    <t>urgences traitées comme des demandes normales</t>
  </si>
  <si>
    <t>absence de priorisation dans le traitement des incidents</t>
  </si>
  <si>
    <t>Suggestions moteur</t>
  </si>
  <si>
    <t>priorisation automatique des tickets via IA selon criticité</t>
  </si>
  <si>
    <t>tickets qui s'accumulent sans traitement</t>
  </si>
  <si>
    <t>surcharge du système de ticketing avec les échecs</t>
  </si>
  <si>
    <t>Journal recherches</t>
  </si>
  <si>
    <t>Les échecs de déploiement sont-ils enregistrés dans l'outil de ticketing ?</t>
  </si>
  <si>
    <t>Les échecs de déploiement sont enregistrés dans l'outil de ticketing.</t>
  </si>
  <si>
    <t>architecture scalable avec auto-scaling pour pics de charge</t>
  </si>
  <si>
    <t>système surchargé</t>
  </si>
  <si>
    <t>timing des notifications perturbant l'activité normale</t>
  </si>
  <si>
    <t>Liste catégories</t>
  </si>
  <si>
    <t>paramétrage granulaire des notifications par profil et créneau</t>
  </si>
  <si>
    <t>notifications qui dérangent</t>
  </si>
  <si>
    <t>notifications non reçues par tous les utilisateurs concernés</t>
  </si>
  <si>
    <t>Index mots-clés</t>
  </si>
  <si>
    <t>Les utilisateurs concernés reçoivent-ils une notification 48h à l'avance ?</t>
  </si>
  <si>
    <t>Les utilisateurs concernés reçoivent une notification 48h à l'avance.</t>
  </si>
  <si>
    <t>système d'alerte multi-canal automatisé pour les utilisateurs</t>
  </si>
  <si>
    <t>utilisateurs pas prévenus</t>
  </si>
  <si>
    <t>difficulté à exécuter les rollbacks en situation de crise</t>
  </si>
  <si>
    <t>Journal connexions</t>
  </si>
  <si>
    <t>protocoles de gestion de crise préétablis avec rôles clairs</t>
  </si>
  <si>
    <t>crises mal gérées</t>
  </si>
  <si>
    <t>complexité excessive des plans de retour arrière</t>
  </si>
  <si>
    <t>Accès base connaissances</t>
  </si>
  <si>
    <t>Un plan de retour arrière est-il documenté pour chaque mise à jour ?</t>
  </si>
  <si>
    <t>Un plan de retour arrière est documenté pour chaque mise à jour.</t>
  </si>
  <si>
    <t>Paramétrage fin des notifications par profil et créneau</t>
  </si>
  <si>
    <t>rollbacks impossibles</t>
  </si>
  <si>
    <t>erreurs passant à travers les mailles du filet</t>
  </si>
  <si>
    <t>Feuille route</t>
  </si>
  <si>
    <t>Protocole de communication crise avec templates prêts</t>
  </si>
  <si>
    <t>bugs passent en prod</t>
  </si>
  <si>
    <t>tests de non-régression incomplets ou superficiels</t>
  </si>
  <si>
    <t>Plan amélioration</t>
  </si>
  <si>
    <t>Les tests de non-régression sont-ils effectués avant chaque déploiement ?</t>
  </si>
  <si>
    <t>Les tests de non-régression sont effectués avant chaque déploiement.</t>
  </si>
  <si>
    <t>Plans de crise préétablis avec simulations biannuelles</t>
  </si>
  <si>
    <t>tests pas assez poussés</t>
  </si>
  <si>
    <t>retards dus aux processus de validation hiérarchique</t>
  </si>
  <si>
    <t>Tableau partage</t>
  </si>
  <si>
    <t>Système de rollback automatisé testé mensuellement</t>
  </si>
  <si>
    <t>retards administratifs</t>
  </si>
  <si>
    <t>procédures de déploiement trop complexes et rigides</t>
  </si>
  <si>
    <t>Résultats revues</t>
  </si>
  <si>
    <t>La procédure de déploiement est-elle signée par le responsable technique ?</t>
  </si>
  <si>
    <t>La procédure de déploiement est signée par le responsable technique.</t>
  </si>
  <si>
    <t>Vérifier la procédure de déploiement des mises à jour, d’un 
nouveau logiciel</t>
  </si>
  <si>
    <t xml:space="preserve"> fiabilité et sécurité</t>
  </si>
  <si>
    <t>Gestion du Parc</t>
  </si>
  <si>
    <t>Checklist qualité avant déploiement avec validation croisée</t>
  </si>
  <si>
    <t>procédures trop rigides</t>
  </si>
  <si>
    <t>absence d'analyse systémique des problèmes récurrents</t>
  </si>
  <si>
    <t>Procédure validée</t>
  </si>
  <si>
    <t>Environnement de test miroir de la production obligatoire</t>
  </si>
  <si>
    <t>problèmes jamais réglés</t>
  </si>
  <si>
    <t>temps excessif consacré aux réponses personnalisées</t>
  </si>
  <si>
    <t>Grille évaluation qualité</t>
  </si>
  <si>
    <t>Les retours négatifs font-ils l'objet d'une réponse personnalisée ?</t>
  </si>
  <si>
    <t>Les retours négatifs font l'objet d'une réponse personnalisée.</t>
  </si>
  <si>
    <t>Automatisation des tâches administratives répétitives</t>
  </si>
  <si>
    <t>trop de temps perdu</t>
  </si>
  <si>
    <t>omission de facteurs clés influençant la satisfaction</t>
  </si>
  <si>
    <t>Liste tickets audités</t>
  </si>
  <si>
    <t>Procédures modulaires avec marges de manœuvre définies</t>
  </si>
  <si>
    <t>facteurs importants oubliés</t>
  </si>
  <si>
    <t>corrélation artificielle entre satisfaction et améliorations</t>
  </si>
  <si>
    <t>Planning revues qualité</t>
  </si>
  <si>
    <t>La satisfaction est-elle corrélée avec les améliorations apportées ?</t>
  </si>
  <si>
    <t>La satisfaction est corrélée avec les améliorations apportées.</t>
  </si>
  <si>
    <t>Processus de résolution de problèmes standardisé</t>
  </si>
  <si>
    <t>fausses corrélations</t>
  </si>
  <si>
    <t>mauvaise diffusion des ressources aux équipes concernées</t>
  </si>
  <si>
    <t>Logs adaptation</t>
  </si>
  <si>
    <t>Chasse au gaspillage de temps avec chronométrage</t>
  </si>
  <si>
    <t>personne voit les bonnes pratiques</t>
  </si>
  <si>
    <t>fiches pratiques non adaptées aux besoins réels</t>
  </si>
  <si>
    <t>Paramétrage champs</t>
  </si>
  <si>
    <t>Les demandes récurrentes donnent-elles lieu à des fiches pratiques ?</t>
  </si>
  <si>
    <t>Les demandes récurrentes donnent lieu à des fiches pratiques.</t>
  </si>
  <si>
    <t>Matrice des facteurs critiques mise à jour mensuellement</t>
  </si>
  <si>
    <t>fiches inutiles</t>
  </si>
  <si>
    <t>retard dans le traitement des demandes non prioritaires</t>
  </si>
  <si>
    <t>Rapport vérification</t>
  </si>
  <si>
    <t>Validation des analyses par comité pluridisciplinaire</t>
  </si>
  <si>
    <t>retards sur demandes utiles</t>
  </si>
  <si>
    <t>catégorisation des suggestions utilisateurs incohérente</t>
  </si>
  <si>
    <t>Journal corrections</t>
  </si>
  <si>
    <t>Les suggestions des utilisateurs sont-elles catégorisées ?</t>
  </si>
  <si>
    <t>Les suggestions des utilisateurs sont catégorisées.</t>
  </si>
  <si>
    <t>Plateforme de partage des bonnes pratiques avec gamification</t>
  </si>
  <si>
    <t>classement incohérent</t>
  </si>
  <si>
    <t>lourdeur du processus décisionnel ralentissant les actions</t>
  </si>
  <si>
    <t>Bibliothèque incidents</t>
  </si>
  <si>
    <t>Suppression des fiches inutiles via audit trimestriel</t>
  </si>
  <si>
    <t>processus trop lents</t>
  </si>
  <si>
    <t>décisions du comité de pilotage basées sur des données incomplètes</t>
  </si>
  <si>
    <t>Modèles prédéfinis</t>
  </si>
  <si>
    <t>Un comité de pilotage analyse-t-il les résultats mensuellement ?</t>
  </si>
  <si>
    <t>Un comité de pilotage analyse les résultats mensuellement.</t>
  </si>
  <si>
    <t>Vérifier que les résultats des études de satisfaction sont pris en 
compte</t>
  </si>
  <si>
    <t>SLA stricts avec automatisation des demandes prioritaires</t>
  </si>
  <si>
    <t>décisions sur infos incomplètes</t>
  </si>
  <si>
    <t>absence de prise en compte des facteurs externes</t>
  </si>
  <si>
    <t>Preuve fonctionnement</t>
  </si>
  <si>
    <t>Taxonomie unifiée validée par tous les services</t>
  </si>
  <si>
    <t>facteurs externes ignorés</t>
  </si>
  <si>
    <t>interprétation erronée des tendances historiques</t>
  </si>
  <si>
    <t>Checklist dynamique</t>
  </si>
  <si>
    <t>Les historiques permettent-ils l'analyse des tendances ?</t>
  </si>
  <si>
    <t>Les historiques permettent l'analyse des tendances.</t>
  </si>
  <si>
    <t>Cartographie et simplification des processus critiques</t>
  </si>
  <si>
    <t>mauvaise lecture des stats</t>
  </si>
  <si>
    <t>défaut de remontée des alertes réellement critiques</t>
  </si>
  <si>
    <t>Capture écran interface</t>
  </si>
  <si>
    <t>Protocole de décision avec checklist données obligatoires</t>
  </si>
  <si>
    <t>urgences pas vues</t>
  </si>
  <si>
    <t>alertes trop fréquentes entraînant leur banalisation</t>
  </si>
  <si>
    <t>Configuration suggestions</t>
  </si>
  <si>
    <t>Les anomalies déclenchent-elles des alertes en temps réel ?</t>
  </si>
  <si>
    <t>Les anomalies déclenchent des alertes en temps réel.</t>
  </si>
  <si>
    <t>Veille régulière sur les facteurs externes impactants</t>
  </si>
  <si>
    <t>trop d'alertes ignorées</t>
  </si>
  <si>
    <t>données fragmentées entre différents systèmes</t>
  </si>
  <si>
    <t>Journal archivages</t>
  </si>
  <si>
    <t>Formation continue à l'analyse statistique de base</t>
  </si>
  <si>
    <t>données éparpillées</t>
  </si>
  <si>
    <t>tableaux de bord complexes et peu ergonomiques</t>
  </si>
  <si>
    <t>Politique archivage</t>
  </si>
  <si>
    <t>Les données sont-elles visualisables via des tableaux de bord ?</t>
  </si>
  <si>
    <t>Les données sont visualisables via des tableaux de bord.</t>
  </si>
  <si>
    <t>Tableau de suivi des urgences visible en temps réel</t>
  </si>
  <si>
    <t>tableaux illisibles</t>
  </si>
  <si>
    <t>changements fréquents des indicateurs perturbant les analyses</t>
  </si>
  <si>
    <t>Plan action écarts</t>
  </si>
  <si>
    <t>Hiérarchisation des alertes avec seuils ajustables</t>
  </si>
  <si>
    <t>changements constants</t>
  </si>
  <si>
    <t>indicateurs clés mal définis ou non pertinents</t>
  </si>
  <si>
    <t>Exemples rapports</t>
  </si>
  <si>
    <t>Les indicateurs clés sont-ils définis avec la direction ?</t>
  </si>
  <si>
    <t>Les indicateurs clés sont définis avec la direction.</t>
  </si>
  <si>
    <t>Centralisation des données dans un data lake unique</t>
  </si>
  <si>
    <t>mauvais indicateurs</t>
  </si>
  <si>
    <t>surcharge informationnelle due à la fréquence des rapports</t>
  </si>
  <si>
    <t>Analyses critiques</t>
  </si>
  <si>
    <t>DataViz simplifiée avec seulement 5 KPI principaux</t>
  </si>
  <si>
    <t>trop d'infos inutiles</t>
  </si>
  <si>
    <t>rapports automatiques contenant des erreurs non détectées</t>
  </si>
  <si>
    <t>Calendrier production</t>
  </si>
  <si>
    <t>Les rapports sont-ils générés automatiquement chaque semaine ?</t>
  </si>
  <si>
    <t>Les rapports sont générés automatiquement chaque semaine.</t>
  </si>
  <si>
    <t>Vérifier que les procédures de reporting et de suivi sont 
fonctionnelles</t>
  </si>
  <si>
    <t>Calendrier des changements communiqués 3 mois à l'avance</t>
  </si>
  <si>
    <t>perte rapide des savoir-faire faute de mise en pratique</t>
  </si>
  <si>
    <t>Grille indicateurs clés</t>
  </si>
  <si>
    <t>Revue conjointe des indicateurs avec les équipes terrain</t>
  </si>
  <si>
    <t>compétences vite oubliées</t>
  </si>
  <si>
    <t>difficulté à mesurer l'application réelle des compétences acquises</t>
  </si>
  <si>
    <t>Formulaire demande</t>
  </si>
  <si>
    <t>Le transfert de compétences est-il mesuré post-formation ?</t>
  </si>
  <si>
    <t>Le transfert de compétences est mesuré post-formation.</t>
  </si>
  <si>
    <t>Filtres personnalisables pour chaque profil utilisateur</t>
  </si>
  <si>
    <t>on sait pas si ça sert</t>
  </si>
  <si>
    <t>absence de suivi des retours sur la qualité des formations</t>
  </si>
  <si>
    <t>Procédure demandes spéciales</t>
  </si>
  <si>
    <t>Vérification automatisée des rapports via outils dédiés</t>
  </si>
  <si>
    <t>aucun retour sur les formations</t>
  </si>
  <si>
    <t>évaluations post-formation biaisées par des jugements subjectifs</t>
  </si>
  <si>
    <t>Matrice habilitations</t>
  </si>
  <si>
    <t>Les formations sont-elles évaluées par les participants ?</t>
  </si>
  <si>
    <t>Les formations sont évaluées par les participants.</t>
  </si>
  <si>
    <t>Système de micro-learning pour renforcement continu</t>
  </si>
  <si>
    <t>évaluations subjectives</t>
  </si>
  <si>
    <t>négligence des besoins des autres services au profit du helpdesk</t>
  </si>
  <si>
    <t>Journal contrôles accès</t>
  </si>
  <si>
    <t>Feedback structuré post-formation avec mesures d'application</t>
  </si>
  <si>
    <t>helpdesk favorisé injustement</t>
  </si>
  <si>
    <t>déséquilibre dans l'allocation des ressources formation</t>
  </si>
  <si>
    <t>Processus validation signé</t>
  </si>
  <si>
    <t>70% du budget formation est-il alloué au helpdesk ?</t>
  </si>
  <si>
    <t>70% du budget formation est alloué au helpdesk.</t>
  </si>
  <si>
    <t>Grilles d'évaluation standardisées avec exemples concrets</t>
  </si>
  <si>
    <t>compétences clés oubliées</t>
  </si>
  <si>
    <t>omission de compétences critiques dans les analyses</t>
  </si>
  <si>
    <t>Validation extractions</t>
  </si>
  <si>
    <t>Critères d'aide transparents et égaux pour tous les services</t>
  </si>
  <si>
    <t>analyses superficielles</t>
  </si>
  <si>
    <t>audits des besoins de formation superficiels ou incomplets</t>
  </si>
  <si>
    <t>Cahier besoins métiers</t>
  </si>
  <si>
    <t>Les besoins en formation sont-ils identifiés par des audits ?</t>
  </si>
  <si>
    <t>Les besoins en formation sont identifiés par des audits.</t>
  </si>
  <si>
    <t>Cartographie annuelle des compétences critiques pour l'organisation</t>
  </si>
  <si>
    <t>besoins réels ignorés</t>
  </si>
  <si>
    <t>décalage entre le plan formel et les besoins opérationnels réels</t>
  </si>
  <si>
    <t>Rapport vérification intégrité</t>
  </si>
  <si>
    <t>Analyse approfondie mensuelle des tendances avec experts métiers</t>
  </si>
  <si>
    <t>formations pas adaptées</t>
  </si>
  <si>
    <t>plan de formation trop rigide ne permettant pas d'adaptations rapides</t>
  </si>
  <si>
    <t>Procédure extraction données</t>
  </si>
  <si>
    <t>Un plan de formation annuel est-il formalisé ?</t>
  </si>
  <si>
    <t>Un plan de formation annuel est formalisé.</t>
  </si>
  <si>
    <t>Vérifier la stratégie de formation des utilisateurs et de l’équipe 
Helpdesk</t>
  </si>
  <si>
    <t>Audit des besoins formation via enquête terrain anonyme</t>
  </si>
  <si>
    <t>certains ont trop de travail</t>
  </si>
  <si>
    <t>déséquilibre dans la répartition des référents</t>
  </si>
  <si>
    <t>Modèles formalisation</t>
  </si>
  <si>
    <t>Rééquilibrage des charges via outil de monitoring temps réel</t>
  </si>
  <si>
    <t>référents surchargés</t>
  </si>
  <si>
    <t>surcharge des référents certification</t>
  </si>
  <si>
    <t>Registre feedbacks</t>
  </si>
  <si>
    <t>Un référent interne est-il désigné par certification ?</t>
  </si>
  <si>
    <t>Un référent interne est désigné par certification.</t>
  </si>
  <si>
    <t>Formation obligatoire à la lecture critique des données</t>
  </si>
  <si>
    <t>mal compris les résultats</t>
  </si>
  <si>
    <t>mauvaise interprétation des résultats affichés</t>
  </si>
  <si>
    <t>Liste participants HD</t>
  </si>
  <si>
    <t>Médiateur externe pour résolution systématique des conflits</t>
  </si>
  <si>
    <t>conflits dans les équipes</t>
  </si>
  <si>
    <t>affichage générant des tensions entre collègues</t>
  </si>
  <si>
    <t>Planning ateliers amélioration</t>
  </si>
  <si>
    <t>Les résultats sont-ils affichés dans les espaces communs ?</t>
  </si>
  <si>
    <t>Les résultats sont affichés dans les espaces communs.</t>
  </si>
  <si>
    <t>Simplification des processus de certification avec automatisation</t>
  </si>
  <si>
    <t>trop de boulot pour les certifs</t>
  </si>
  <si>
    <t>conflits entre certifications et charge de travail</t>
  </si>
  <si>
    <t>PV nomination représentants</t>
  </si>
  <si>
    <t>Objectifs SMART recalculés trimestriellement avec les équipes</t>
  </si>
  <si>
    <t>objectifs impossibles à atteindre</t>
  </si>
  <si>
    <t>objectifs irréalistes décourageant les équipes</t>
  </si>
  <si>
    <t>Composition comité pilotage</t>
  </si>
  <si>
    <t>Les objectifs individuels incluent-ils des certifications ?</t>
  </si>
  <si>
    <t>Les objectifs individuels incluent des certifications.</t>
  </si>
  <si>
    <t>Recrutement basé sur portfolios et cas pratiques plutôt que diplômes</t>
  </si>
  <si>
    <t>trop focus sur les diplômes</t>
  </si>
  <si>
    <t>focalisation excessive sur les certifications formelles</t>
  </si>
  <si>
    <t>Feuille émargement équipes</t>
  </si>
  <si>
    <t>Programme de reconnaissance des contributions individuelles transparent</t>
  </si>
  <si>
    <t>jalousie entre collègues</t>
  </si>
  <si>
    <t>inégalités perçues dans l'attribution des primes</t>
  </si>
  <si>
    <t>Ordre du jour points hebdo</t>
  </si>
  <si>
    <t>Les certifications donnent-elles lieu à une reconnaissance financière ?</t>
  </si>
  <si>
    <t>Les certifications donnent lieu à une reconnaissance financière.</t>
  </si>
  <si>
    <t>Certifications alignées sur les compétences métiers réelles nécessaires</t>
  </si>
  <si>
    <t>certifs qui n'aident pas le travail</t>
  </si>
  <si>
    <t>certifications non alignées sur les besoins</t>
  </si>
  <si>
    <t>Liste présence DSI</t>
  </si>
  <si>
    <t>Ateliers de rationalisation budgétaire avec responsables opérationnels</t>
  </si>
  <si>
    <t>toujours en rouge sur le budget</t>
  </si>
  <si>
    <t>dépassement systématique du budget certifications</t>
  </si>
  <si>
    <t>Procès-verbal revues trimestrielles</t>
  </si>
  <si>
    <t>Un budget dédié aux certifications est-il prévu annuellement ?</t>
  </si>
  <si>
    <t>Un budget dédié aux certifications est prévu annuellement.</t>
  </si>
  <si>
    <t>S’assurer que l’obtention des certifications (ITIL, ISO, COBIT, 
SIGMA) est encouragée au sein de la DSI, et du HD en particulier</t>
  </si>
  <si>
    <t>Audit trimestriel des indicateurs avec suppression des métriques inutiles</t>
  </si>
  <si>
    <t>indicateurs qui ne servent à rien</t>
  </si>
  <si>
    <t>indicateurs non pertinents ou mal définis</t>
  </si>
  <si>
    <t>Refonte des tableaux de bord avec UX designer et tests utilisateurs</t>
  </si>
  <si>
    <t>tableau de bord incompréhensible</t>
  </si>
  <si>
    <t>tableau de bord de progression illisible</t>
  </si>
  <si>
    <t>Captures d'écran</t>
  </si>
  <si>
    <t>La progression individuelle est-elle suivie dans un tableau de bord ?</t>
  </si>
  <si>
    <t>La progression individuelle est suivie dans un tableau de bord.</t>
  </si>
  <si>
    <t>Système de mesure d'impact post-formation avec suivi à 30/60/90 jours</t>
  </si>
  <si>
    <t>impossible de voir si ça a été utile</t>
  </si>
  <si>
    <t>difficulté à mesurer l'impact des formations</t>
  </si>
  <si>
    <t>Interface de suivi</t>
  </si>
  <si>
    <t>Tableau bord unifié personnalisable par profil</t>
  </si>
  <si>
    <t>formations qui servent à rien</t>
  </si>
  <si>
    <t>formations inadaptées aux lacunes identifiées</t>
  </si>
  <si>
    <t>Journal des notifications</t>
  </si>
  <si>
    <t>Les lacunes identifiées déclenchent-elles des formations ciblées ?</t>
  </si>
  <si>
    <t>Les lacunes identifiées déclenchent des formations ciblées.</t>
  </si>
  <si>
    <t>Audit formations + tests efficacité post-formation</t>
  </si>
  <si>
    <t>on sait pas si le mentorat marche</t>
  </si>
  <si>
    <t>absence d'évaluation du programme de mentorat</t>
  </si>
  <si>
    <t>Modèle d'accusé réception</t>
  </si>
  <si>
    <t>Évaluation mentorat via indicateurs progression concrets</t>
  </si>
  <si>
    <t>mentors jamais disponibles</t>
  </si>
  <si>
    <t>manque de disponibilité des mentors</t>
  </si>
  <si>
    <t>Logs de création tickets</t>
  </si>
  <si>
    <t>Un programme de mentorat existe-t-il pour les nouveaux ?</t>
  </si>
  <si>
    <t>Un programme de mentorat existe pour les nouveaux.</t>
  </si>
  <si>
    <t>Calendrier mentorat contraignant + suivi binômes</t>
  </si>
  <si>
    <t>départs massifs des bons éléments</t>
  </si>
  <si>
    <t>turnover accru dû à la pression excessive</t>
  </si>
  <si>
    <t>Manuel de l'outil ticketing</t>
  </si>
  <si>
    <t>Programme rétention talents + enquête sortie systématique</t>
  </si>
  <si>
    <t>renouvellements injustes</t>
  </si>
  <si>
    <t>décisions de renouvellement trop rigides</t>
  </si>
  <si>
    <t>Les résultats influent-ils sur leur pérennité dans le contrat ?</t>
  </si>
  <si>
    <t>Les résultats influent sur leur pérennité dans le contrat.</t>
  </si>
  <si>
    <t>Politique renouvellement basée critères objectifs</t>
  </si>
  <si>
    <t>tests pas adaptés au vrai travail</t>
  </si>
  <si>
    <t>critères d'évaluation inadaptés aux besoins réels</t>
  </si>
  <si>
    <t>Tableau de bord</t>
  </si>
  <si>
    <t>Co-construction tests avec utilisateurs finaux</t>
  </si>
  <si>
    <t>trop de temps passé à préparer les tests</t>
  </si>
  <si>
    <t>préparation excessive aux tests techniques</t>
  </si>
  <si>
    <t>Détection des lacunes</t>
  </si>
  <si>
    <t>Les prestataires passent-ils un test technique trimestriel ?</t>
  </si>
  <si>
    <t>Les prestataires passent un test technique trimestriel.</t>
  </si>
  <si>
    <t>S’assurer qu’il existe une évaluation de l’équipe HD, notamment 
pour les prestataires afin d’en évaluer le niveau de connaissance</t>
  </si>
  <si>
    <t>Bibliothèque tests pré-validés + paramétrage rapide</t>
  </si>
  <si>
    <t>retours mal compris</t>
  </si>
  <si>
    <t>mauvaise interprétation des feedbacks</t>
  </si>
  <si>
    <t>Plan de formation</t>
  </si>
  <si>
    <t>Protocole clarification retours avec reformulation systématique</t>
  </si>
  <si>
    <t>données personnelles qui fuient</t>
  </si>
  <si>
    <t>partage d'informations sensibles sans anonymisation</t>
  </si>
  <si>
    <t>Les feedbacks sont-ils partagés en transparence avec les équipes ?</t>
  </si>
  <si>
    <t>Les feedbacks sont partagés en transparence avec les équipes.</t>
  </si>
  <si>
    <t>Chiffrement renforcé données sensibles + journal accès</t>
  </si>
  <si>
    <t>équipes découragées par les critiques</t>
  </si>
  <si>
    <t>démotivation des équipes face aux retours négatifs</t>
  </si>
  <si>
    <t>Programme de mentorat</t>
  </si>
  <si>
    <t>Formation managers au feedback constructif (méthode GROW)</t>
  </si>
  <si>
    <t>plans jamais appliqués</t>
  </si>
  <si>
    <t>plans d'action inefficaces par manque de suivi</t>
  </si>
  <si>
    <t>Décision de renouvellement</t>
  </si>
  <si>
    <t>Un plan d'action est-il créé pour les scores &lt;7/10 ?</t>
  </si>
  <si>
    <t>Un plan d'action est créé pour les scores &lt;7/10.</t>
  </si>
  <si>
    <t>Plan d'action opérationnel avec suivi hebdo progrès</t>
  </si>
  <si>
    <t>classements dans les mauvaises cases</t>
  </si>
  <si>
    <t>catégorisations erronées des retours</t>
  </si>
  <si>
    <t>Impact sur contrat</t>
  </si>
  <si>
    <t>Revue croisée catégories par experts indépendants</t>
  </si>
  <si>
    <t>analyses qui passent à côté de l'essentiel</t>
  </si>
  <si>
    <t>analyses superficielles manquant des tendances</t>
  </si>
  <si>
    <t>Grille d'évaluation</t>
  </si>
  <si>
    <t>Les résultats sont-ils analysés par thématique ?</t>
  </si>
  <si>
    <t>Les résultats sont analysés par thématique.</t>
  </si>
  <si>
    <t>Analyse qualitative systématique complément métriques</t>
  </si>
  <si>
    <t>on regarde que les chiffres pas le fond</t>
  </si>
  <si>
    <t>focalisation sur la quantité plutôt que la qualité</t>
  </si>
  <si>
    <t>Contrôles qualité aléatoires avec bonus/malus</t>
  </si>
  <si>
    <t>on privilégie la vitesse à la qualité</t>
  </si>
  <si>
    <t>priorité excessive au taux de réponse</t>
  </si>
  <si>
    <t>Support de communication</t>
  </si>
  <si>
    <t>Le taux de réponse est-il mesuré et ciblé (&gt;30%) ?</t>
  </si>
  <si>
    <t>Le taux de réponse est mesuré et ciblé (&gt;30%).</t>
  </si>
  <si>
    <t>Prétests obligatoires pour validation formulation questions</t>
  </si>
  <si>
    <t>questions mal posées faussent les réponses</t>
  </si>
  <si>
    <t>questions biaisées ou mal formulées</t>
  </si>
  <si>
    <t>Partage des feedbacks</t>
  </si>
  <si>
    <t>Rationalisation enquêtes + optimisation timing/questions</t>
  </si>
  <si>
    <t>trop de questionnaires énervent les clients</t>
  </si>
  <si>
    <t>saturation des clients par trop d'enquêtes</t>
  </si>
  <si>
    <t>Décisions d'amélioration</t>
  </si>
  <si>
    <t>Les études de satisfaction sont-elles envoyées après chaque ticket clos ?</t>
  </si>
  <si>
    <t>Les études de satisfaction sont envoyées après chaque ticket clos.</t>
  </si>
  <si>
    <t>S’assurer que des études de satisfaction sont réalisées auprès 
des utilisateurs</t>
  </si>
  <si>
    <t>Formation superviseurs à objectivité + évaluation continue</t>
  </si>
  <si>
    <t>jugement subjectif des superviseurs</t>
  </si>
  <si>
    <t>subjectivité dans l'évaluation des appels</t>
  </si>
  <si>
    <t>Méthodologie échantillonnage certifiée statisticien</t>
  </si>
  <si>
    <t>échantillon pas représentatif</t>
  </si>
  <si>
    <t>échantillon non représentatif des appels</t>
  </si>
  <si>
    <t>Un échantillon d'appels est-il évalué mensuellement ?</t>
  </si>
  <si>
    <t>Un échantillon d'appels est évalué mensuellement.</t>
  </si>
  <si>
    <t>Monitoring usages anormaux + alertes temps réel</t>
  </si>
  <si>
    <t>utilisation des données détournée</t>
  </si>
  <si>
    <t>utilisation détournée des enregistrements</t>
  </si>
  <si>
    <t>Contrôle accès biométrique + revue hebdo permissions</t>
  </si>
  <si>
    <t>accès par des personnes non autorisées</t>
  </si>
  <si>
    <t>accès non autorisés aux enregistrements</t>
  </si>
  <si>
    <t>Les superviseurs accèdent-ils aux enregistrements pour coaching ?</t>
  </si>
  <si>
    <t>Les superviseurs accèdent aux enregistrements pour coaching.</t>
  </si>
  <si>
    <t>Migration stockage cloud élastique + optimisation coûts</t>
  </si>
  <si>
    <t>coûts de stockage explosent</t>
  </si>
  <si>
    <t>coûts élevés de stockage à long terme</t>
  </si>
  <si>
    <t>Taux de réponse</t>
  </si>
  <si>
    <t>Politique rétention data avec purge auto contrôlée</t>
  </si>
  <si>
    <t>infos supprimées trop tôt</t>
  </si>
  <si>
    <t>durée de conservation insuffisante pour certains besoins légaux</t>
  </si>
  <si>
    <t>Preuve d'envoi</t>
  </si>
  <si>
    <t>Les enregistrements sont-ils conservés 6 mois minimum ?</t>
  </si>
  <si>
    <t>Les enregistrements sont conservés 6 mois minimum.</t>
  </si>
  <si>
    <t>Chiffrement bout-à-bout + tests pénétration réguliers</t>
  </si>
  <si>
    <t>données piratables</t>
  </si>
  <si>
    <t>vulnérabilités dans le stockage des données</t>
  </si>
  <si>
    <t>Envoi des études</t>
  </si>
  <si>
    <t>Audit conformité mensuel avec correction immédiate</t>
  </si>
  <si>
    <t>amendes pour non conformité</t>
  </si>
  <si>
    <t>non-conformité accidentelle au RGPD</t>
  </si>
  <si>
    <t>Le stockage des enregistrements respecte-t-il le RGPD ?</t>
  </si>
  <si>
    <t>Le stockage des enregistrements respecte le RGPD.</t>
  </si>
  <si>
    <t>Vérification intégrité fichiers + réparation auto</t>
  </si>
  <si>
    <t>fichiers endommagés</t>
  </si>
  <si>
    <t>fichiers corrompus ou illisibles</t>
  </si>
  <si>
    <t>Échantillonnage des appels</t>
  </si>
  <si>
    <t>Détection automatique enregistrements non conformes</t>
  </si>
  <si>
    <t>enregistrements illégaux</t>
  </si>
  <si>
    <t>enregistrements effectués sans consentement valide</t>
  </si>
  <si>
    <t>Les appels entrants sont-ils enregistrés avec consentement ?</t>
  </si>
  <si>
    <t>Les appels entrants sont enregistrés avec consentement.</t>
  </si>
  <si>
    <t>S’assurer que les appels sont enregistrés</t>
  </si>
  <si>
    <t>Grille évaluation standardisée à double lecture aléatoire</t>
  </si>
  <si>
    <t>jugement à la tête du client</t>
  </si>
  <si>
    <t>critères d'évaluation subjectifs et incohérents</t>
  </si>
  <si>
    <t>Accès des superviseurs</t>
  </si>
  <si>
    <t>Calendrier éditorial contraignant + alertes pré-délai</t>
  </si>
  <si>
    <t>publications qui sortent trop tard</t>
  </si>
  <si>
    <t>vérifications qualité trop longues retardant les publications</t>
  </si>
  <si>
    <t>Registre des durées</t>
  </si>
  <si>
    <t>La qualité des articles est-elle vérifiée avant publication ?</t>
  </si>
  <si>
    <t>La qualité des articles est vérifiée avant publication.</t>
  </si>
  <si>
    <t>Sauvegardes versionnées + restauration à tout point</t>
  </si>
  <si>
    <t>impossible de revenir en arrière</t>
  </si>
  <si>
    <t>difficulté à restaurer des versions stables</t>
  </si>
  <si>
    <t>Durée de conservation</t>
  </si>
  <si>
    <t>Journal modifications avec identification biométrique</t>
  </si>
  <si>
    <t>impossible de savoir qui a changé quoi</t>
  </si>
  <si>
    <t>historique des modifications incomplet</t>
  </si>
  <si>
    <t>Audit de conformité</t>
  </si>
  <si>
    <t>Un historique des modifications est-il conservé ?</t>
  </si>
  <si>
    <t>Un historique des modifications est conservé.</t>
  </si>
  <si>
    <t>Modération collaborative des contributions</t>
  </si>
  <si>
    <t>certaines contributions sont nulles</t>
  </si>
  <si>
    <t>qualité inégale des contributions utilisateurs</t>
  </si>
  <si>
    <t>Plateforme idées avec analyse trimestrielle obligatoire</t>
  </si>
  <si>
    <t>idées utiles jamais étudiées</t>
  </si>
  <si>
    <t>accumulation de propositions non traitées</t>
  </si>
  <si>
    <t>Preuve de consentement</t>
  </si>
  <si>
    <t>Les utilisateurs peuvent-ils proposer des modifications ?</t>
  </si>
  <si>
    <t>Les utilisateurs peuvent proposer des modifications.</t>
  </si>
  <si>
    <t>Automatisation validations routinières avec approbation différée</t>
  </si>
  <si>
    <t>plus personne pour valider quand absent</t>
  </si>
  <si>
    <t>absence de relais en cas d'indisponibilité</t>
  </si>
  <si>
    <t>Suppléants formés pour chaque responsable clé</t>
  </si>
  <si>
    <t>responsables débordés</t>
  </si>
  <si>
    <t>surcharge des responsables désignés</t>
  </si>
  <si>
    <t>Rapport de qualité</t>
  </si>
  <si>
    <t>Les mises à jour sont-elles attribuées à des responsables nommés ?</t>
  </si>
  <si>
    <t>Les mises à jour sont attribuées à des responsables nommés.</t>
  </si>
  <si>
    <t>Documentation méthodes alternatives efficaces</t>
  </si>
  <si>
    <t>les gens inventent leurs propres méthodes</t>
  </si>
  <si>
    <t>non-respect des procédures par manque de formation</t>
  </si>
  <si>
    <t>Outil correction temps réel + historique modifications</t>
  </si>
  <si>
    <t>impossible de corriger vite une erreur</t>
  </si>
  <si>
    <t>procédure trop rigide pour les mises à jour urgentes</t>
  </si>
  <si>
    <t>Historique des versions</t>
  </si>
  <si>
    <t>Une procédure écrite définit-elle le cycle de vie des articles ?</t>
  </si>
  <si>
    <t>Une procédure écrite définit le cycle de vie des articles.</t>
  </si>
  <si>
    <t>S’assurer qu’une procédure de mise à jour de la base de 
connaissance existe</t>
  </si>
  <si>
    <t>Tracking usage avec analyse intentions par IA</t>
  </si>
  <si>
    <t>on sait pas pourquoi les gens consultent</t>
  </si>
  <si>
    <t>absence d'analyse des motivations réelles de consultation</t>
  </si>
  <si>
    <t>Audit méthodologies collecte avec traçabilité manipulations</t>
  </si>
  <si>
    <t>stats faussées par notre propre équipe</t>
  </si>
  <si>
    <t>données faussées par des consultations internes</t>
  </si>
  <si>
    <t>Formulaire de proposition</t>
  </si>
  <si>
    <t>Les statistiques de consultation sont-elles analysées mensuellement ?</t>
  </si>
  <si>
    <t>Les statistiques de consultation sont analysées mensuellement.</t>
  </si>
  <si>
    <t>Scripts conversion automatique vers format pivot unique</t>
  </si>
  <si>
    <t>infos différentes selon le format</t>
  </si>
  <si>
    <t>désynchronisation du contenu entre formats</t>
  </si>
  <si>
    <t>Liste des responsables</t>
  </si>
  <si>
    <t>Standardisation formats fichiers + visionneuses universelles</t>
  </si>
  <si>
    <t>impossible d'ouvrir certains fichiers</t>
  </si>
  <si>
    <t>incompatibilité entre les formats disponibles</t>
  </si>
  <si>
    <t>Désignation des responsables</t>
  </si>
  <si>
    <t>Le contenu est-il disponible en plusieurs formats (PDF, vidéo, FAQ) ?</t>
  </si>
  <si>
    <t>Le contenu est disponible en plusieurs formats (PDF, vidéo, FAQ).</t>
  </si>
  <si>
    <t>Load balancing avec scaling automatique aux pics</t>
  </si>
  <si>
    <t>moteur qui rame aux heures de pointe</t>
  </si>
  <si>
    <t>performances dégradées du moteur lors des pics</t>
  </si>
  <si>
    <t>Workflow de publication</t>
  </si>
  <si>
    <t>Désactivation suggestions automatisées au profit de requête manuelle</t>
  </si>
  <si>
    <t>suggestions qui servent à rien</t>
  </si>
  <si>
    <t>suggestions de recherche inadaptées</t>
  </si>
  <si>
    <t>Procédure de cycle de vie</t>
  </si>
  <si>
    <t>Un moteur de recherche avec suggestion est-il disponible ?</t>
  </si>
  <si>
    <t>Un moteur de recherche avec suggestion est disponible.</t>
  </si>
  <si>
    <t>Requêtes pré-calibrées avec plages résultats optimisées</t>
  </si>
  <si>
    <t>soit trop de résultats soit pas assez</t>
  </si>
  <si>
    <t>catégories trop larges ou trop restrictives</t>
  </si>
  <si>
    <t>Moteur de recherche sémantique à filtres dynamiques</t>
  </si>
  <si>
    <t>recherches qui ne donnent rien</t>
  </si>
  <si>
    <t>mots-clés obsolètes ou mal attribués</t>
  </si>
  <si>
    <t>Statistiques de consultation</t>
  </si>
  <si>
    <t>Les articles sont-ils indexés par mots-clés et catégories ?</t>
  </si>
  <si>
    <t>Les articles sont indexés par mots-clés et catégories.</t>
  </si>
  <si>
    <t>Système redondant avec bascule automatique</t>
  </si>
  <si>
    <t>tout plante si un outil tombe en panne</t>
  </si>
  <si>
    <t>dépendance critique créant un point de défaillance unique</t>
  </si>
  <si>
    <t>Inventaire des ressources</t>
  </si>
  <si>
    <t>Optimisation infrastructure pour temps réponse &lt;2s</t>
  </si>
  <si>
    <t>lenteur exaspérante pour les utilisateurs</t>
  </si>
  <si>
    <t>latence importante lors de l'accès via l'outil de ticketing</t>
  </si>
  <si>
    <t>La base de connaissances est-elle accessible depuis l'outil de ticketing ?</t>
  </si>
  <si>
    <t>La base de connaissances est accessible depuis l'outil de ticketing.</t>
  </si>
  <si>
    <t>Vérifier l’existence d’une base de connaissance</t>
  </si>
  <si>
    <t>Tableau de suivi projet temps réel avec seuils d'alerte</t>
  </si>
  <si>
    <t>rien n'avance</t>
  </si>
  <si>
    <t>Stagniation</t>
  </si>
  <si>
    <t>Suggestions du moteur</t>
  </si>
  <si>
    <t>nomination d'un responsable du changement avec pouvoir transversal</t>
  </si>
  <si>
    <t>rien ne change</t>
  </si>
  <si>
    <t>Améliorations non planifiées</t>
  </si>
  <si>
    <t>Journal des recherches</t>
  </si>
  <si>
    <t>Un plan d'amélioration est-il établi trimestriellement ?</t>
  </si>
  <si>
    <t>Un plan d'amélioration est établi trimestriellement.</t>
  </si>
  <si>
    <t>plan de transformation avec jalons mensuels et redevabilité publique</t>
  </si>
  <si>
    <t>aucune amélioration prévue</t>
  </si>
  <si>
    <t>Transparence absente</t>
  </si>
  <si>
    <t>Liste des catégories</t>
  </si>
  <si>
    <t>revue trimestrielle des processus avec engagement d'amélioration</t>
  </si>
  <si>
    <t>manque de transparence</t>
  </si>
  <si>
    <t>Résultats non partagés</t>
  </si>
  <si>
    <t>Index des mots-clés</t>
  </si>
  <si>
    <t>Les résultats des revues sont-ils partagés avec les agents ?</t>
  </si>
  <si>
    <t>Les résultats des revues sont partagés avec les agents.</t>
  </si>
  <si>
    <t>portail transparent avec accès aux résultats bruts et analyses</t>
  </si>
  <si>
    <t>résultats cachés</t>
  </si>
  <si>
    <t>Subjectivité</t>
  </si>
  <si>
    <t>Journal des connexions</t>
  </si>
  <si>
    <t>formation à l'objectivité décisionnelle avec études de cas pratiques</t>
  </si>
  <si>
    <t>jugements personnels</t>
  </si>
  <si>
    <t>Critères d'évaluation flous</t>
  </si>
  <si>
    <t>Accès à la base de connaissances</t>
  </si>
  <si>
    <t>Les critères d'évaluation de la qualité sont-ils documentés ?</t>
  </si>
  <si>
    <t>Les critères d'évaluation de la qualité sont documentés.</t>
  </si>
  <si>
    <t>guide des critères décisionnels formalisé et accessible à tous</t>
  </si>
  <si>
    <t>critères pas clairs</t>
  </si>
  <si>
    <t>Risques non détectés</t>
  </si>
  <si>
    <t>Feuille de route</t>
  </si>
  <si>
    <t>cartographie dynamique des risques mise à jour en continu</t>
  </si>
  <si>
    <t>risques pas vus</t>
  </si>
  <si>
    <t>Audits insuffisants</t>
  </si>
  <si>
    <t>Plan d'amélioration</t>
  </si>
  <si>
    <t>Un échantillon aléatoire de 10% des tickets est-il audité ?</t>
  </si>
  <si>
    <t>Un échantillon aléatoire de 10% des tickets est audité.</t>
  </si>
  <si>
    <t>registre des défauts avec analyse tendancielle et actions préventives</t>
  </si>
  <si>
    <t>défauts qui reviennent</t>
  </si>
  <si>
    <t>Défauts répétés</t>
  </si>
  <si>
    <t>Tableau de partage</t>
  </si>
  <si>
    <t>audits qualité surprises avec publication des résultats</t>
  </si>
  <si>
    <t>qualité pas vérifiée régulièrement</t>
  </si>
  <si>
    <t>Revues qualité irrégulières</t>
  </si>
  <si>
    <t>Résultats des revues</t>
  </si>
  <si>
    <t>Les revues qualité sont-elles planifiées hebdomadairement ?</t>
  </si>
  <si>
    <t>Les revues qualité sont planifiées hebdomadairement.</t>
  </si>
  <si>
    <t>S’assurer qu’il existe des revues qualité pour la saisie des 
tickets</t>
  </si>
  <si>
    <t>automatisation du contrôle des données obligatoires avant validation</t>
  </si>
  <si>
    <t>données manquantes</t>
  </si>
  <si>
    <t>Données incomplètes</t>
  </si>
  <si>
    <t>refonte ergonomique des interfaces avec tests utilisateurs itératifs</t>
  </si>
  <si>
    <t>champs pas pratiques</t>
  </si>
  <si>
    <t>Champs inadaptés</t>
  </si>
  <si>
    <t>Grille d'évaluation qualité</t>
  </si>
  <si>
    <t>Les champs à renseigner s'adaptent-ils au type de ticket sélectionné ?</t>
  </si>
  <si>
    <t>Les champs à renseigner s'adaptent au type de ticket sélectionné.</t>
  </si>
  <si>
    <t>plan de restauration de réputation avec engagements mesurables</t>
  </si>
  <si>
    <t>réputation abîmée</t>
  </si>
  <si>
    <t>Image ternie</t>
  </si>
  <si>
    <t>Liste des tickets audités</t>
  </si>
  <si>
    <t>système de détection précoce des problèmes avec alertes progressives</t>
  </si>
  <si>
    <t>problèmes pas vu à temps</t>
  </si>
  <si>
    <t>Fautes non détectées</t>
  </si>
  <si>
    <t>Planning des revues qualité</t>
  </si>
  <si>
    <t>La grammaire et l'orthographe sont-elles vérifiées automatiquement ?</t>
  </si>
  <si>
    <t>La grammaire et l'orthographe sont vérifiées automatiquement.</t>
  </si>
  <si>
    <t>mesure continue de l'efficacité opérationnelle avec indicateurs clairs</t>
  </si>
  <si>
    <t>travail moins efficace</t>
  </si>
  <si>
    <t>Efficacité réduite</t>
  </si>
  <si>
    <t>Logs d'adaptation</t>
  </si>
  <si>
    <t>revue annuelle des méthodes contre les standards du secteur</t>
  </si>
  <si>
    <t>méthodes dépassées</t>
  </si>
  <si>
    <t>Modèles obsolètes</t>
  </si>
  <si>
    <t>Paramétrage des champs</t>
  </si>
  <si>
    <t>Des modèles prédéfinis existent-ils pour les incidents courants ?</t>
  </si>
  <si>
    <t>Des modèles prédéfinis existent pour les incidents courants.</t>
  </si>
  <si>
    <t>analyse des erreurs récurrentes avec mise à jour des procédures</t>
  </si>
  <si>
    <t>plus d'erreurs qu'avant</t>
  </si>
  <si>
    <t>Erreurs accrues</t>
  </si>
  <si>
    <t>Rapport de vérification</t>
  </si>
  <si>
    <t>migration vers des outils stables avec contrat de service contraignant</t>
  </si>
  <si>
    <t>outil de contrôle qui bug</t>
  </si>
  <si>
    <t>Checklist dynamique défaillante</t>
  </si>
  <si>
    <t>Une checklist des informations obligatoires s'affiche-t-elle dynamiquement ?</t>
  </si>
  <si>
    <t>Une checklist des informations obligatoires s'affiche dynamiquement.</t>
  </si>
  <si>
    <t>canal de remontée utilisateur prioritaire avec résolution garantie sous 48h</t>
  </si>
  <si>
    <t>utilisateurs énervés</t>
  </si>
  <si>
    <t>Frustration utilisateurs</t>
  </si>
  <si>
    <t>Bibliothèque d'incidents</t>
  </si>
  <si>
    <t>comité de filtrage des idées avec critères d'évaluation publics</t>
  </si>
  <si>
    <t>idées inutiles proposées</t>
  </si>
  <si>
    <t>Suggestions inadaptées</t>
  </si>
  <si>
    <t>L'outil de ticketing propose-t-il des suggestions automatiques lors de la saisie ?</t>
  </si>
  <si>
    <t>L'outil de ticketing propose des suggestions automatiques lors de la saisie.</t>
  </si>
  <si>
    <t>S’assurer qu’il existe une aide à la saisie pour la saisie des 
tickets</t>
  </si>
  <si>
    <t>sauvegarde géo-rédundante avec tests de restauration trimestriels</t>
  </si>
  <si>
    <t>infos perdues définitivement</t>
  </si>
  <si>
    <t>Données perdues</t>
  </si>
  <si>
    <t>Preuve de fonctionnement</t>
  </si>
  <si>
    <t>système d'archivage intelligent avec métadonnées et moteur de recherche avancé</t>
  </si>
  <si>
    <t>archives mal organisées</t>
  </si>
  <si>
    <t>Archivage non conforme</t>
  </si>
  <si>
    <t>Les reporting sont-ils archivés selon la politique de conservation ?</t>
  </si>
  <si>
    <t>Les reporting sont archivés selon la politique de conservation.</t>
  </si>
  <si>
    <t>revue mensuelle des performances avec benchmark inter-équipes</t>
  </si>
  <si>
    <t>performance en baisse</t>
  </si>
  <si>
    <t>Performance dégradée</t>
  </si>
  <si>
    <t>Capture d'écran de l'interface</t>
  </si>
  <si>
    <t>tableau de suivi des écarts avec seuils d'alerte et plans de correction</t>
  </si>
  <si>
    <t>écarts qui durent</t>
  </si>
  <si>
    <t>Écarts persistants</t>
  </si>
  <si>
    <t>Configuration des suggestions</t>
  </si>
  <si>
    <t>Les écarts aux objectifs font-ils l'objet de plans d'action ?</t>
  </si>
  <si>
    <t>Les écarts aux objectifs font l'objet de plans d'action.</t>
  </si>
  <si>
    <t>veille concurrentielle active avec revue trimestrielle des opportunités</t>
  </si>
  <si>
    <t>occasions manquées</t>
  </si>
  <si>
    <t>Opportunités manquées</t>
  </si>
  <si>
    <t>Journal des archivages</t>
  </si>
  <si>
    <t>prototypage rapide obligatoire avant toute étude approfondie</t>
  </si>
  <si>
    <t>études bâclées</t>
  </si>
  <si>
    <t>Analyses superficielles</t>
  </si>
  <si>
    <t>Des analyses critiques accompagnent-elles les données brutes ?</t>
  </si>
  <si>
    <t>Des analyses critiques accompagnent les données brutes.</t>
  </si>
  <si>
    <t>analyse root cause systématique des retards avec mesures correctives immédiates</t>
  </si>
  <si>
    <t>retards habituels</t>
  </si>
  <si>
    <t>Délais excessifs</t>
  </si>
  <si>
    <t>Plan d'action des écarts</t>
  </si>
  <si>
    <t>automatisation des contrôles réglementaires avec preuve de passage</t>
  </si>
  <si>
    <t>contrôles pas faits à temps</t>
  </si>
  <si>
    <t>Fréquence non respectée</t>
  </si>
  <si>
    <t>Exemples de rapports</t>
  </si>
  <si>
    <t>Les reporting sont-ils produits selon une fréquence contractuelle ?</t>
  </si>
  <si>
    <t>Les reporting sont produits selon une fréquence contractuelle.</t>
  </si>
  <si>
    <t>formation obligatoire aux outils d'analyse avec certification des compétences</t>
  </si>
  <si>
    <t>analyses complètement fausses</t>
  </si>
  <si>
    <t>Diagnostic faussé</t>
  </si>
  <si>
    <t>Analyses critiques récentes</t>
  </si>
  <si>
    <t>vérification aléatoire des données sources derrière les KPI par un tiers indépendant</t>
  </si>
  <si>
    <t>KPI qui mentent</t>
  </si>
  <si>
    <t>Indicateurs clés erronés</t>
  </si>
  <si>
    <t>Calendrier de production</t>
  </si>
  <si>
    <t>Les reporting incluent-ils les indicateurs clés définis par la direction ?</t>
  </si>
  <si>
    <t>Les reporting incluent les indicateurs clés définis par la direction.</t>
  </si>
  <si>
    <t>Vérifier les reporting de suivi</t>
  </si>
  <si>
    <t>campagne de sensibilisation aux procédures avec tests de connaissance réguliers</t>
  </si>
  <si>
    <t>personne ne suit les règles</t>
  </si>
  <si>
    <t>Contournement des règles</t>
  </si>
  <si>
    <t>Grille des indicateurs clés</t>
  </si>
  <si>
    <t>limitation stricte des dérogations avec justification écrite et date d'expiration</t>
  </si>
  <si>
    <t>abus des dérogations</t>
  </si>
  <si>
    <t>Dérives dans les demandes spéciales</t>
  </si>
  <si>
    <t>Formulaire de demande</t>
  </si>
  <si>
    <t>Les demandes d'extraction spéciales suivent-elles une procédure formalisée ?</t>
  </si>
  <si>
    <t>Les demandes d'extraction spéciales suivent une procédure formalisée.</t>
  </si>
  <si>
    <t>traçabilité complète des accès sensibles avec alertes sur comportements anormaux</t>
  </si>
  <si>
    <t>détournements possibles</t>
  </si>
  <si>
    <t>Usages frauduleux</t>
  </si>
  <si>
    <t>Procédure des demandes spéciales</t>
  </si>
  <si>
    <t>politique de moindre privilège avec revue mensuelle des accès</t>
  </si>
  <si>
    <t>accès libre à tous</t>
  </si>
  <si>
    <t>Les droits d'accès aux extractions sont-ils contrôlés régulièrement ?</t>
  </si>
  <si>
    <t>Les droits d'accès aux extractions sont contrôlés régulièrement.</t>
  </si>
  <si>
    <t>scripts de vérification d'intégrité des bases exécutés quotidiennement</t>
  </si>
  <si>
    <t>erreurs dans les bases de données</t>
  </si>
  <si>
    <t>Données erronées</t>
  </si>
  <si>
    <t>Journal des contrôles d'accès</t>
  </si>
  <si>
    <t>workflows avec validation automatique escaladée après délai dépassé</t>
  </si>
  <si>
    <t>validations oubliées</t>
  </si>
  <si>
    <t>Validations absentes</t>
  </si>
  <si>
    <t>Processus de validation signé</t>
  </si>
  <si>
    <t>Un processus de validation des extractions est-il en place ?</t>
  </si>
  <si>
    <t>Un processus de validation des extractions est en place.</t>
  </si>
  <si>
    <t>tableau de bord des ressources en temps réel avec alertes de surconsommation</t>
  </si>
  <si>
    <t>ressources gaspillées</t>
  </si>
  <si>
    <t>Gaspillage ressources</t>
  </si>
  <si>
    <t>Validation des extractions</t>
  </si>
  <si>
    <t>audit trimestriel des reporting avec suppression des extractions inutiles</t>
  </si>
  <si>
    <t>extractions qui servent à rien</t>
  </si>
  <si>
    <t>Extractions inutiles</t>
  </si>
  <si>
    <t>Cahier des besoins métiers</t>
  </si>
  <si>
    <t>Les extractions répondent-elles à des besoins métiers identifiés ?</t>
  </si>
  <si>
    <t>Les extractions répondent à des besoins métiers identifiés.</t>
  </si>
  <si>
    <t>validation croisée obligatoire des sources avant toute décision stratégique</t>
  </si>
  <si>
    <t>choix basés sur des infos fausses</t>
  </si>
  <si>
    <t>Décisions faussées</t>
  </si>
  <si>
    <t>Rapport de vérification d'intégrité</t>
  </si>
  <si>
    <t>système de versioning et d'approbation à double authentification pour les données critiques</t>
  </si>
  <si>
    <t>données modifiées par erreur</t>
  </si>
  <si>
    <t>Altération des données extraites</t>
  </si>
  <si>
    <t>Procédure d'extraction des données</t>
  </si>
  <si>
    <t>Les extractions de la base de tickets conservent-elles l'intégrité des données ?</t>
  </si>
  <si>
    <t>Les extractions de la base de tickets conservent l'intégrité des données.</t>
  </si>
  <si>
    <t>Vérifier les extractions de la base de ticket</t>
  </si>
  <si>
    <t>programme d'immersion obligatoire des décideurs dans les opérations</t>
  </si>
  <si>
    <t>décideurs déconnectés</t>
  </si>
  <si>
    <t>Déconnexion terrain</t>
  </si>
  <si>
    <t>Modèles de formalisation</t>
  </si>
  <si>
    <t>canal dédié aux remontées terrain avec accusé de réception et suivi visible</t>
  </si>
  <si>
    <t>retours ignorés</t>
  </si>
  <si>
    <t>Feedback non pris en compte</t>
  </si>
  <si>
    <t>Registre des feedbacks</t>
  </si>
  <si>
    <t>Les feedbacks de chaque partie prenante sont-ils formalisés ?</t>
  </si>
  <si>
    <t>Les feedbacks de chaque partie prenante sont formalisés.</t>
  </si>
  <si>
    <t>outils de travail synchrones avec espaces projets transversaux obligatoires</t>
  </si>
  <si>
    <t>manque de collaboration</t>
  </si>
  <si>
    <t>Silos organisationnels</t>
  </si>
  <si>
    <t>Liste des participants HD</t>
  </si>
  <si>
    <t>plateforme collaborative de partage des bonnes pratiques avec gamification</t>
  </si>
  <si>
    <t>bonnes pratiques perdues</t>
  </si>
  <si>
    <t>Améliorations non partagées</t>
  </si>
  <si>
    <t>Planning des ateliers d'amélioration</t>
  </si>
  <si>
    <t>L'équipe HD participe-t-elle aux ateliers d'amélioration continue ?</t>
  </si>
  <si>
    <t>L'équipe HD participe aux ateliers d'amélioration continue.</t>
  </si>
  <si>
    <t>enquête trimestrielle anonyme sur la motivation avec plans d'action concrets</t>
  </si>
  <si>
    <t>équipes démotivées</t>
  </si>
  <si>
    <t>Démotivation</t>
  </si>
  <si>
    <t>PV de nomination des représentants</t>
  </si>
  <si>
    <t>système de feedback client en temps réel avec engagement de réponse sous 24h</t>
  </si>
  <si>
    <t>clients mécontents</t>
  </si>
  <si>
    <t>Besoins utilisateurs ignorés</t>
  </si>
  <si>
    <t>Composition du comité de pilotage</t>
  </si>
  <si>
    <t>Des représentants utilisateurs siègent-ils au comité de pilotage ?</t>
  </si>
  <si>
    <t>Des représentants utilisateurs siègent au comité de pilotage.</t>
  </si>
  <si>
    <t>processus de résolution de problèmes permanents avec boucle de rétroaction intégrée</t>
  </si>
  <si>
    <t>mêmes problèmes chaque semaine</t>
  </si>
  <si>
    <t>Problèmes récurrents</t>
  </si>
  <si>
    <t>Feuille d'émargement des participants</t>
  </si>
  <si>
    <t>remplacer les réunions statutaires par des ateliers ciblés avec livrables tangibles</t>
  </si>
  <si>
    <t>réunions qui ne servent à rien</t>
  </si>
  <si>
    <t>Points hebdomadaires inefficaces</t>
  </si>
  <si>
    <t>Ordre du jour des points hebdomadaires</t>
  </si>
  <si>
    <t>Le responsable HD anime-t-il des points hebdomadaires avec les équipes ?</t>
  </si>
  <si>
    <t>Le responsable HD anime des points hebdomadaires avec les équipes.</t>
  </si>
  <si>
    <t>comité de veille technologique piloté par les besoins métiers réels</t>
  </si>
  <si>
    <t>technologie pas alignée aux besoins</t>
  </si>
  <si>
    <t>Découplage stratégique</t>
  </si>
  <si>
    <t>Liste de présence du DSI</t>
  </si>
  <si>
    <t>audit technique annuel avec benchmark sectoriel et roadmap corrective</t>
  </si>
  <si>
    <t>solutions techniques inadaptées</t>
  </si>
  <si>
    <t>DSI non impliqué</t>
  </si>
  <si>
    <t>Procès-verbal des revues trimestrielles</t>
  </si>
  <si>
    <t>Le DSI participe-t-il aux revues trimestrielles du HD ?</t>
  </si>
  <si>
    <t>Le DSI participe aux revues trimestrielles du HD.</t>
  </si>
  <si>
    <t>S’assurer que le DSI, le responsable HD, des utilisateurs, et 
l'équipe HD participent à la vie du HD</t>
  </si>
  <si>
    <t>organiser des revues stratégiques trimestrielles avec indicateurs clés</t>
  </si>
  <si>
    <t>décalage stratégique</t>
  </si>
  <si>
    <t>Erreurs répétées</t>
  </si>
  <si>
    <t>créer un comité de veille technologique avec droit de veto</t>
  </si>
  <si>
    <t>technologie inadaptée</t>
  </si>
  <si>
    <t>Retours d'expérience non exploités</t>
  </si>
  <si>
    <t>Les retours d'expérience post-mise en production sont-ils systématiques ?</t>
  </si>
  <si>
    <t>Les retours d'expérience post-mise en production sont systématiques.</t>
  </si>
  <si>
    <t>automatiser les vérifications sur les tâches répétitives</t>
  </si>
  <si>
    <t>erreurs répétées</t>
  </si>
  <si>
    <t>Instabilité du système</t>
  </si>
  <si>
    <t>développer des jumeaux numériques pour tester les changements</t>
  </si>
  <si>
    <t>système imprévisible</t>
  </si>
  <si>
    <t>Changements non contrôlés</t>
  </si>
  <si>
    <t>Une procédure de gestion des changements de dernière minute existe-t-elle ?</t>
  </si>
  <si>
    <t>Une procédure de gestion des changements de dernière minute existe.</t>
  </si>
  <si>
    <t>imposer des tests en environnement sandbox avant tout déploiement</t>
  </si>
  <si>
    <t>changements risqués</t>
  </si>
  <si>
    <t>Goulots d'étranglement</t>
  </si>
  <si>
    <t>Fiches RETEX</t>
  </si>
  <si>
    <t>modéliser les flux par simulation discrète pour anticiper les congestions</t>
  </si>
  <si>
    <t>goulots permanents</t>
  </si>
  <si>
    <t>Conflits non anticipés</t>
  </si>
  <si>
    <t>Demandes exceptionnelles</t>
  </si>
  <si>
    <t>Les conflits potentiels entre mises en production sont-ils analysés ?</t>
  </si>
  <si>
    <t>Les conflits potentiels entre mises en production sont analysés.</t>
  </si>
  <si>
    <t>maintenir un registre des risques mis à jour en continu</t>
  </si>
  <si>
    <t>crises imprévues</t>
  </si>
  <si>
    <t>Blocages opérationnels</t>
  </si>
  <si>
    <t>Procédure de changement urgent</t>
  </si>
  <si>
    <t>cartographier les dépendances critiques et points de blocage</t>
  </si>
  <si>
    <t>opérations bloquées</t>
  </si>
  <si>
    <t>Fenêtres de maintenance conflictuelles</t>
  </si>
  <si>
    <t>Ce calendrier inclut-il les fenêtres de maintenance prévues ?</t>
  </si>
  <si>
    <t>Ce calendrier inclut les fenêtres de maintenance prévues.</t>
  </si>
  <si>
    <t>automatiser la planification des ressources avec optimisation IA</t>
  </si>
  <si>
    <t>conflits d'horaires</t>
  </si>
  <si>
    <t>Retards chroniques</t>
  </si>
  <si>
    <t>Analyse des conflits</t>
  </si>
  <si>
    <t>appliquer systématiquement la méthode 5 pourquoi sur les retards</t>
  </si>
  <si>
    <t>retards chroniques</t>
  </si>
  <si>
    <t>Calendrier non respecté</t>
  </si>
  <si>
    <t>Planning annuel</t>
  </si>
  <si>
    <t>Un calendrier prévisionnel des mises en production est-il publié ?</t>
  </si>
  <si>
    <t>Un calendrier prévisionnel des mises en production est publié.</t>
  </si>
  <si>
    <t>S’assurer qu’il y a un planning systématique concernant les 
mises en production</t>
  </si>
  <si>
    <t>synchroniser les plannings dans un outil visuel partagé</t>
  </si>
  <si>
    <t>calendrier ignoré</t>
  </si>
  <si>
    <t>Immobilisme</t>
  </si>
  <si>
    <t>Calendrier des mises en prod</t>
  </si>
  <si>
    <t>intégrer l'innovation aux critères d'évaluation individuelle</t>
  </si>
  <si>
    <t>immobilisme total</t>
  </si>
  <si>
    <t>Améliorations non implémentées</t>
  </si>
  <si>
    <t>Plan d'actions</t>
  </si>
  <si>
    <t>Un processus d'amélioration continue est-il basé sur ces indicateurs ?</t>
  </si>
  <si>
    <t>Un processus d'amélioration continue est basé sur ces indicateurs.</t>
  </si>
  <si>
    <t>lancer des cycles d'amélioration continue mesurables</t>
  </si>
  <si>
    <t>aucune amélioration</t>
  </si>
  <si>
    <t>Décisions retardées</t>
  </si>
  <si>
    <t>Processus d'amélioration</t>
  </si>
  <si>
    <t>automatiser les décisions répétitives via règles prédéfinies</t>
  </si>
  <si>
    <t>décisions retardées</t>
  </si>
  <si>
    <t>Tableaux de bord inaccessibles</t>
  </si>
  <si>
    <t>Les tableaux de bord sont-ils accessibles aux parties prenantes ?</t>
  </si>
  <si>
    <t>Les tableaux de bord sont accessibles aux parties prenantes.</t>
  </si>
  <si>
    <t>migrer vers une plateforme unifiée avec recherche cognitive</t>
  </si>
  <si>
    <t>info inaccessible</t>
  </si>
  <si>
    <t>Réactions inadaptées</t>
  </si>
  <si>
    <t>Accès aux tableaux de bord</t>
  </si>
  <si>
    <t>formaliser des protocoles de réponse graduée pré-approuvés</t>
  </si>
  <si>
    <t>réactions disproportionnées</t>
  </si>
  <si>
    <t>Seuils d'alerte mal définis</t>
  </si>
  <si>
    <t>Paramétrage des alertes</t>
  </si>
  <si>
    <t>Des seuils d'alerte sont-ils définis pour chaque indicateur ?</t>
  </si>
  <si>
    <t>Des seuils d'alerte sont définis pour chaque indicateur.</t>
  </si>
  <si>
    <t>ajuster dynamiquement les seuils d'alerte par apprentissage automatique</t>
  </si>
  <si>
    <t>alertes mal réglées</t>
  </si>
  <si>
    <t>Décisions sans données</t>
  </si>
  <si>
    <t>Définition des seuils</t>
  </si>
  <si>
    <t>utiliser des matrices décisionnelles standardisées validées</t>
  </si>
  <si>
    <t>choix non fondés</t>
  </si>
  <si>
    <t>Délais/qualité/satisfaction non suivis</t>
  </si>
  <si>
    <t>Ces indicateurs couvrent-ils les délais, qualité et satisfaction ?</t>
  </si>
  <si>
    <t>Ces indicateurs couvrent les délais, qualité et satisfaction.</t>
  </si>
  <si>
    <t>instrumenter les processus avec capteurs et métriques temps réel</t>
  </si>
  <si>
    <t>qualité non mesurée</t>
  </si>
  <si>
    <t>Pilotage aveugle</t>
  </si>
  <si>
    <t>Rapports de performance</t>
  </si>
  <si>
    <t>imposer un dossier data-driven pour toute décision importante</t>
  </si>
  <si>
    <t>décisions aveugles</t>
  </si>
  <si>
    <t>Indicateurs non mesurés</t>
  </si>
  <si>
    <t>Tableaux de bord mensuels</t>
  </si>
  <si>
    <t>Les indicateurs du contrat sont-ils mesurés et rapportés mensuellement ?</t>
  </si>
  <si>
    <t>Les indicateurs du contrat sont mesurés et rapportés mensuellement.</t>
  </si>
  <si>
    <t xml:space="preserve">S’assurer que les indicateurs pour suivre le contrat de service 
existent </t>
  </si>
  <si>
    <t>co-construire des indicateurs SMART avec les équipes terrain</t>
  </si>
  <si>
    <t>aucun indicateur</t>
  </si>
  <si>
    <t>Document de sécurité</t>
  </si>
  <si>
    <t>exécuter des pentests automatisés hebdomadaires</t>
  </si>
  <si>
    <t>vulnérabilités critiques</t>
  </si>
  <si>
    <t>Fuites d'information</t>
  </si>
  <si>
    <t>Clauses de confidentialité</t>
  </si>
  <si>
    <t>Le contrat prévoit-il des clauses de confidentialité et sécurité ?</t>
  </si>
  <si>
    <t>Le contrat prévoit des clauses de confidentialité et sécurité.</t>
  </si>
  <si>
    <t>chiffrer systématiquement les données sensibles au repos et en transit</t>
  </si>
  <si>
    <t>fuites de données</t>
  </si>
  <si>
    <t>Dérives contractuelles</t>
  </si>
  <si>
    <t>programmer des contrôles aléatoires approfondis mensuels</t>
  </si>
  <si>
    <t>dérives non vérifiées</t>
  </si>
  <si>
    <t>Revues contractuelles irrégulières</t>
  </si>
  <si>
    <t>Planning des revues contractuelles</t>
  </si>
  <si>
    <t>Des réunions de revue contractuelle ont-elles lieu trimestriellement ?</t>
  </si>
  <si>
    <t>Des réunions de revue contractuelle ont lieu trimestriellement.</t>
  </si>
  <si>
    <t>créer une cellule d'audit transverse avec pouvoir de blocage</t>
  </si>
  <si>
    <t>contrôle inexistant</t>
  </si>
  <si>
    <t>Défaut de contrôle</t>
  </si>
  <si>
    <t>Fiche de poste</t>
  </si>
  <si>
    <t>déployer une analyse comportementale pour détection d'anomalies</t>
  </si>
  <si>
    <t>abus non détectés</t>
  </si>
  <si>
    <t>Absence de supervision interne</t>
  </si>
  <si>
    <t>Désignation du responsable</t>
  </si>
  <si>
    <t>Un responsable interne supervise-t-il le respect du contrat ?</t>
  </si>
  <si>
    <t>Un responsable interne supervise le respect du contrat.</t>
  </si>
  <si>
    <t>appliquer un barème progressif de sanctions automatiques</t>
  </si>
  <si>
    <t>sanctions sans effet</t>
  </si>
  <si>
    <t>Sanctions inefficaces</t>
  </si>
  <si>
    <t>Grille des pénalités</t>
  </si>
  <si>
    <t>afficher un tableau public des engagements avec preuves</t>
  </si>
  <si>
    <t>engagements non tenus</t>
  </si>
  <si>
    <t>SLA non appliqués</t>
  </si>
  <si>
    <t>SLA détaillés</t>
  </si>
  <si>
    <t>Le contrat inclut-il les SLA et pénalités en cas de non-respect ?</t>
  </si>
  <si>
    <t>Le contrat inclut les SLA et pénalités en cas de non-respect.</t>
  </si>
  <si>
    <t>supprimer les clauses non mesurables et non actionnables</t>
  </si>
  <si>
    <t>clauses sans valeur</t>
  </si>
  <si>
    <t>Clauses périmées</t>
  </si>
  <si>
    <t>Annexes contractuelles</t>
  </si>
  <si>
    <t>réécrire les contrats en langage opérationnel testable</t>
  </si>
  <si>
    <t>contrat inapplicable</t>
  </si>
  <si>
    <t>Contrat obsolète</t>
  </si>
  <si>
    <t>Contrat en vigueur signé</t>
  </si>
  <si>
    <t>Le contrat avec le prestataire externalisé est-il à jour et signé ?</t>
  </si>
  <si>
    <t>Le contrat avec le prestataire externalisé est à jour et signé.</t>
  </si>
  <si>
    <t>S’assurer que si le HD est externalisé, il existe un contrat de 
service</t>
  </si>
  <si>
    <t>benchmarker les processus contre les meilleures pratiques du secteur</t>
  </si>
  <si>
    <t>gestion inefficace</t>
  </si>
  <si>
    <t>Gestion du temps</t>
  </si>
  <si>
    <t>Registre de pointage</t>
  </si>
  <si>
    <t>digitaliser le suivi contractuel avec calcul auto des pénalités</t>
  </si>
  <si>
    <t>pénalités contractuelles</t>
  </si>
  <si>
    <t>Retards dans les échéances</t>
  </si>
  <si>
    <t>Suivi des actions en cours</t>
  </si>
  <si>
    <t>Le suivi des actions fait-il l'objet d'un point systématique ?</t>
  </si>
  <si>
    <t>Le suivi des actions fait l'objet d'un point systématique.</t>
  </si>
  <si>
    <t>publier des matrices RACI dynamiques accessibles à tous</t>
  </si>
  <si>
    <t>absence de responsabilité</t>
  </si>
  <si>
    <t>Déresponsabilisation</t>
  </si>
  <si>
    <t>Planning des échéances</t>
  </si>
  <si>
    <t>lier chaque action à un ticket traçable avec preuves de clôture</t>
  </si>
  <si>
    <t>actions non implémentées</t>
  </si>
  <si>
    <t>Fiches d'actions correctives</t>
  </si>
  <si>
    <t>Les actions décidées sont-elles assignées avec des échéances précises ?</t>
  </si>
  <si>
    <t>Les actions décidées sont assignées avec des échéances précises.</t>
  </si>
  <si>
    <t>centraliser les connaissances dans un moteur de recherche intelligent</t>
  </si>
  <si>
    <t>infos perdues</t>
  </si>
  <si>
    <t>Informations perdues</t>
  </si>
  <si>
    <t>Archives des comptes-rendus</t>
  </si>
  <si>
    <t>remplacer les rapports statiques par des dashboards interactifs</t>
  </si>
  <si>
    <t>rapports inutiles</t>
  </si>
  <si>
    <t>Comptes-rendus incomplets</t>
  </si>
  <si>
    <t>Modèle type de compte-rendu</t>
  </si>
  <si>
    <t>Un compte-rendu standardisé est-il produit après chaque réunion ?</t>
  </si>
  <si>
    <t>Un compte-rendu standardisé est produit après chaque réunion.</t>
  </si>
  <si>
    <t>constituer un collège d'experts accrédités pour les avis critiques</t>
  </si>
  <si>
    <t>avis non professionnels</t>
  </si>
  <si>
    <t>Expertise manquante</t>
  </si>
  <si>
    <t>Fiche des membres participants</t>
  </si>
  <si>
    <t>exiger des certifications validées pour toute prise de décision</t>
  </si>
  <si>
    <t>décisions incompétentes</t>
  </si>
  <si>
    <t>Composition officielle des comités</t>
  </si>
  <si>
    <t>La composition des comités est-elle formalisée et connue ?</t>
  </si>
  <si>
    <t>La composition des comités est formalisée et connue.</t>
  </si>
  <si>
    <t>adopter des plannings dynamiques recalculés automatiquement</t>
  </si>
  <si>
    <t>délais systématiquement dépassés</t>
  </si>
  <si>
    <t>calendrier des revues dédiées avec obligation de résolution</t>
  </si>
  <si>
    <t>problèmes non discutés</t>
  </si>
  <si>
    <t>Réunions irrégulières</t>
  </si>
  <si>
    <t>Calendrier des réunions</t>
  </si>
  <si>
    <t>Les comités de suivi se réunissent-ils selon une fréquence définie ?</t>
  </si>
  <si>
    <t>Les comités de suivi se réunissent selon une fréquence définie.</t>
  </si>
  <si>
    <t>S’assurer que des comités mis en place pour suivre les 
incidents et leur résolution existent et définissent, Qui participe, et 
comment sont suivies les actions</t>
  </si>
  <si>
    <t>installer un système de signalement anonyme avec enquête systématique</t>
  </si>
  <si>
    <t>fraudes possibles</t>
  </si>
  <si>
    <t>Fraude possible</t>
  </si>
  <si>
    <t>Échantillonnage des saisies</t>
  </si>
  <si>
    <t>implémenter une veille risque algorithmique en continu</t>
  </si>
  <si>
    <t>risques non détectés</t>
  </si>
  <si>
    <t>Contrôles insuffisants</t>
  </si>
  <si>
    <t>Rapports de contrôle aléatoire</t>
  </si>
  <si>
    <t>Des contrôles aléatoires vérifient-ils l'exhaustivité des saisies ?</t>
  </si>
  <si>
    <t>Des contrôles aléatoires vérifient l'exhaustivité des saisies.</t>
  </si>
  <si>
    <t>nommer des médiateurs techniques neutres pour les arbitrages</t>
  </si>
  <si>
    <t>désaccords permanents</t>
  </si>
  <si>
    <t>Interprétations divergentes</t>
  </si>
  <si>
    <t>Vérifications inter-quarts</t>
  </si>
  <si>
    <t>déployer des outils de vérification d'intégrité en temps réel</t>
  </si>
  <si>
    <t>données incohérentes</t>
  </si>
  <si>
    <t>Saisies hétérogènes</t>
  </si>
  <si>
    <t>Guide de saisie unifié</t>
  </si>
  <si>
    <t>Les procédures de saisie sont-elles identiques pour tous les quarts ?</t>
  </si>
  <si>
    <t>Les procédures de saisie sont identiques pour tous les quarts.</t>
  </si>
  <si>
    <t>intégrer des checklists validées électroniquement à chaque étape</t>
  </si>
  <si>
    <t>étapes critiques oubliées</t>
  </si>
  <si>
    <t>Passages manqués</t>
  </si>
  <si>
    <t>Procédure de passation</t>
  </si>
  <si>
    <t>créer un référentiel unique avec historique versionné et horodaté</t>
  </si>
  <si>
    <t>historique incomplet</t>
  </si>
  <si>
    <t>Discontinuité du suivi</t>
  </si>
  <si>
    <t>Plan de relève des équipes</t>
  </si>
  <si>
    <t>Un système de relève assure-t-il la continuité du suivi des incidents ?</t>
  </si>
  <si>
    <t>Un système de relève assure la continuité du suivi des incidents.</t>
  </si>
  <si>
    <t>établir un protocole de triage basé sur l'impact réel plutôt que les apparences</t>
  </si>
  <si>
    <t>urgences traitées en dernier</t>
  </si>
  <si>
    <t>Priorisation incorrecte</t>
  </si>
  <si>
    <t>Consignes opérationnelles</t>
  </si>
  <si>
    <t>appliquer une grille de criticité dynamique déclenchant des actions immédiates</t>
  </si>
  <si>
    <t>dégâts aggravés par l'attente</t>
  </si>
  <si>
    <t>Traitement retardé des urgences</t>
  </si>
  <si>
    <t>Registre des incidents hors horaires</t>
  </si>
  <si>
    <t>Aucune exception n'est-elle tolérée pour les incidents hors horaires ?</t>
  </si>
  <si>
    <t>Aucune exception n'est tolérée pour les incidents hors horaires.</t>
  </si>
  <si>
    <t>automatiser le recensement et la classification de tous les incidents</t>
  </si>
  <si>
    <t>seuls 30% des incidents connus</t>
  </si>
  <si>
    <t>Sous-déclaration</t>
  </si>
  <si>
    <t>Procédure de saisie obligatoire</t>
  </si>
  <si>
    <t>mettre en place un système de traçabilité avec responsabilisation individuelle</t>
  </si>
  <si>
    <t>problèmes jamais résolus</t>
  </si>
  <si>
    <t>Incidents non enregistrés</t>
  </si>
  <si>
    <t>Journal des incidents enregistrés</t>
  </si>
  <si>
    <t>Tous les incidents de production sont-ils saisis dans l'outil dédié ?</t>
  </si>
  <si>
    <t>Tous les incidents de production sont saisis dans l'outil dédié.</t>
  </si>
  <si>
    <t>S’assurer que les incidents de production de nuit et jour ferrier 
sont aussi saisis dans l'outil</t>
  </si>
  <si>
    <t>créer des centres d'excellence technologiques par domaine clé</t>
  </si>
  <si>
    <t>Décalage croissant avec les besoins</t>
  </si>
  <si>
    <t>Améliorations impossibles</t>
  </si>
  <si>
    <t>mettre en place des rotations inter-services planifiées</t>
  </si>
  <si>
    <t>Évolution non suivie</t>
  </si>
  <si>
    <t>Absence de retour d'expérience</t>
  </si>
  <si>
    <t>Modèles de comptes-rendus types</t>
  </si>
  <si>
    <t>Le processus prévoit-il une phase de revue post-résolution ?</t>
  </si>
  <si>
    <t>Le processus prévoit une phase de revue post-résolution.</t>
  </si>
  <si>
    <t>développer un système de mentoring inversé junior/senior</t>
  </si>
  <si>
    <t>Incapacité à utiliser les nouveaux outils</t>
  </si>
  <si>
    <t>Décisions arbitraires</t>
  </si>
  <si>
    <t>Calendrier des réunions planifiées</t>
  </si>
  <si>
    <t>automatiser la détection des gaps compétences via analyse des tickets</t>
  </si>
  <si>
    <t>Compétences non actualisées</t>
  </si>
  <si>
    <t>Validation biaisée des solutions</t>
  </si>
  <si>
    <t>Liste des membres des comités</t>
  </si>
  <si>
    <t>Un circuit de validation des solutions est-il formalisé ?</t>
  </si>
  <si>
    <t>Un circuit de validation des solutions est formalisé.</t>
  </si>
  <si>
    <t>implémenter des outils de collaboration unifiée avec traduction intégrée</t>
  </si>
  <si>
    <t>Dégradation de la qualité de service</t>
  </si>
  <si>
    <t>Diagnostic erroné</t>
  </si>
  <si>
    <t>Rapports d'audit qualité</t>
  </si>
  <si>
    <t>établir un processus formalisé de feedback utilisateurs continu</t>
  </si>
  <si>
    <t>Retards de traitement</t>
  </si>
  <si>
    <t>Analyse superficielle des problèmes</t>
  </si>
  <si>
    <t>Procédure opérationnelle standard</t>
  </si>
  <si>
    <t>Le processus inclut-il une phase d'analyse et de documentation ?</t>
  </si>
  <si>
    <t>Le processus inclut une phase d'analyse et de documentation.</t>
  </si>
  <si>
    <t>développer des POC trimestriels sur technologies émergentes</t>
  </si>
  <si>
    <t>Perte de temps et frustration</t>
  </si>
  <si>
    <t>Réactions tardives</t>
  </si>
  <si>
    <t>Plan de continuité du service</t>
  </si>
  <si>
    <t>créer des laboratoires d'innovation par domaine métier</t>
  </si>
  <si>
    <t>Redirections inappropriées</t>
  </si>
  <si>
    <t>Seuils de déclenchement inadaptés</t>
  </si>
  <si>
    <t>Les seuils de déclenchement du processus sont-ils clairement établis ?</t>
  </si>
  <si>
    <t>Les seuils de déclenchement du processus sont clairement établis.</t>
  </si>
  <si>
    <t>déployer des chatbots intelligents pour le support de premier niveau</t>
  </si>
  <si>
    <t>Utilisation de méthodes dépassées</t>
  </si>
  <si>
    <t>Chevauchements</t>
  </si>
  <si>
    <t>Journal des incidents majeurs</t>
  </si>
  <si>
    <t>instrumenter les processus avec des timestamps blockchain</t>
  </si>
  <si>
    <t>Mises à jour manquantes</t>
  </si>
  <si>
    <t>Rôles et responsabilités flous</t>
  </si>
  <si>
    <t>Procédure de revue post-implémentation</t>
  </si>
  <si>
    <t>Le processus de gestion des problèmes définit-il les rôles et responsabilités ?</t>
  </si>
  <si>
    <t>Le processus de gestion des problèmes définit les rôles et responsabilités.</t>
  </si>
  <si>
    <t>S’assurer qu’un processus de gestion des problèmes existe</t>
  </si>
  <si>
    <t>automatiser les redirections via un système expert à base de règles</t>
  </si>
  <si>
    <t>Gestion inadaptée des ressources humaines</t>
  </si>
  <si>
    <t>Outils inadéquats</t>
  </si>
  <si>
    <t>Circuit de validation formalisé</t>
  </si>
  <si>
    <t>développer des indicateurs avancés de maturité technologique</t>
  </si>
  <si>
    <t>Matrice des compétences obsolète</t>
  </si>
  <si>
    <t>Tendances non détectées</t>
  </si>
  <si>
    <t>Modèles types de rapports</t>
  </si>
  <si>
    <t>Les statistiques de résolution des problèmes sont-elles analysées mensuellement ?</t>
  </si>
  <si>
    <t>Les statistiques de résolution des problèmes sont analysées mensuellement.</t>
  </si>
  <si>
    <t>mettre en place une veille technologique systématique avec comité dédié</t>
  </si>
  <si>
    <t>Inadéquation avec les technologies actuelles</t>
  </si>
  <si>
    <t>Chaîne défaillante</t>
  </si>
  <si>
    <t>Tableau des seuils critiques</t>
  </si>
  <si>
    <t>équiper les équipes d'environnements sandbox pour formation pratique</t>
  </si>
  <si>
    <t>Savoir-faire obsolète</t>
  </si>
  <si>
    <t>Communication insuffisante en crise</t>
  </si>
  <si>
    <t>Organigramme fonctionnel détaillé</t>
  </si>
  <si>
    <t>Un processus de communication existe-t-il pour les problèmes majeurs ?</t>
  </si>
  <si>
    <t>Un processus de communication existe pour les problèmes majeurs.</t>
  </si>
  <si>
    <t>créer un programme de upskilling continu avec parcours personnalisés</t>
  </si>
  <si>
    <t>Traitement superficiel des problèmes complexes</t>
  </si>
  <si>
    <t>Solutions fragiles</t>
  </si>
  <si>
    <t>Statistiques mensuelles de résolution</t>
  </si>
  <si>
    <t>installer des sondes de monitoring qualité de service en temps réel</t>
  </si>
  <si>
    <t>Compétences techniques insuffisantes</t>
  </si>
  <si>
    <t>Correctifs temporaires pérennisés</t>
  </si>
  <si>
    <t>Plan de communication d'urgence</t>
  </si>
  <si>
    <t>Les solutions temporaires et définitives sont-elles documentées ?</t>
  </si>
  <si>
    <t>Les solutions temporaires et définitives sont documentées.</t>
  </si>
  <si>
    <t>développer des SLA différenciés par criticité des demandes</t>
  </si>
  <si>
    <t>Dépendance excessive à des ressources externes</t>
  </si>
  <si>
    <t>Connaissances perdues</t>
  </si>
  <si>
    <t>Documentation des correctifs définitifs</t>
  </si>
  <si>
    <t>implémenter un moteur de routing intelligent basé sur le machine learning</t>
  </si>
  <si>
    <t>Solutions non documentées</t>
  </si>
  <si>
    <t>Base de solutions intermédiaires</t>
  </si>
  <si>
    <t>Un registre des problèmes connus et leurs solutions est-il maintenu ?</t>
  </si>
  <si>
    <t>Un registre des problèmes connus et leurs solutions est maintenu.</t>
  </si>
  <si>
    <t>organiser des hackathons bimestriels sur les nouvelles méthodologies</t>
  </si>
  <si>
    <t>Incapacité à répondre aux besoins spécifiques</t>
  </si>
  <si>
    <t>Analyse superficielle</t>
  </si>
  <si>
    <t>Registre des incidents récurrents</t>
  </si>
  <si>
    <t>automatiser les mises à jour via un système de package management</t>
  </si>
  <si>
    <t>Applications métiers non supportées</t>
  </si>
  <si>
    <t>Procédure de revue qualité validée</t>
  </si>
  <si>
    <t>Les problèmes récurrents font-ils l'objet d'une analyse root cause ?</t>
  </si>
  <si>
    <t>Les problèmes récurrents font l'objet d'une analyse root cause.</t>
  </si>
  <si>
    <t>S’assurer que les problèmes sont gérés</t>
  </si>
  <si>
    <t>digitaliser la GPEC avec outils de predictive analytics</t>
  </si>
  <si>
    <t>Analyse partielle et biaisée</t>
  </si>
  <si>
    <t>Retours ignorés</t>
  </si>
  <si>
    <t>Workflow de validation signé</t>
  </si>
  <si>
    <t>migrer vers un référentiel de compétences dynamique (AI-powered)</t>
  </si>
  <si>
    <t>Checklist obsolète</t>
  </si>
  <si>
    <t>Modèles de documentation d'analyse</t>
  </si>
  <si>
    <t>La checklist est-elle mise à jour semestriellement en fonction des retours ?</t>
  </si>
  <si>
    <t>La checklist est mise à jour semestriellement en fonction des retours.</t>
  </si>
  <si>
    <t>instituer des revues d'architecture trimestrielles avec benchmarks</t>
  </si>
  <si>
    <t>Décisions stratégiques inadaptées</t>
  </si>
  <si>
    <t>Formation insuffisante</t>
  </si>
  <si>
    <t>Grille des seuils d'intervention</t>
  </si>
  <si>
    <t>lancer un programme de certification technique annuelle obligatoire</t>
  </si>
  <si>
    <t>Erreurs dans les statistiques de couverture</t>
  </si>
  <si>
    <t>Mauvaise utilisation de la checklist</t>
  </si>
  <si>
    <t>Les agents reçoivent-ils une formation sur l'utilisation de cette checklist ?</t>
  </si>
  <si>
    <t>Les agents reçoivent une formation sur l'utilisation de cette checklist.</t>
  </si>
  <si>
    <t>négocier des contrats de support premium avec les fournisseurs clés</t>
  </si>
  <si>
    <t>Impossibilité de reprise après incident</t>
  </si>
  <si>
    <t>Modèles inappropriés</t>
  </si>
  <si>
    <t>Tableaux de bord de résolution</t>
  </si>
  <si>
    <t>recruter un architecte fonctionnel senior par domaine critique</t>
  </si>
  <si>
    <t>Plan de secours absent</t>
  </si>
  <si>
    <t>Inadaptation aux demandes récurrentes</t>
  </si>
  <si>
    <t>Protocole de communication de crise</t>
  </si>
  <si>
    <t>La checklist est-elle adaptée à chaque type de demande récurrente ?</t>
  </si>
  <si>
    <t>La checklist est adaptée à chaque type de demande récurrente.</t>
  </si>
  <si>
    <t>développer des API métiers avec documentation Swagger complète</t>
  </si>
  <si>
    <t>Impact majeur sur les opérations sensibles</t>
  </si>
  <si>
    <t>Oublis fréquents</t>
  </si>
  <si>
    <t>Documentation des correctifs permanents</t>
  </si>
  <si>
    <t>implémenter des contrôles d'exhaustivité des datasets en ETL</t>
  </si>
  <si>
    <t>Défaillance des zones critiques</t>
  </si>
  <si>
    <t>Informations techniques manquantes</t>
  </si>
  <si>
    <t>Procédures de résolution temporaire</t>
  </si>
  <si>
    <t>Cette checklist couvre-t-elle les informations techniques et fonctionnelles ?</t>
  </si>
  <si>
    <t>Cette checklist couvre les informations techniques et fonctionnelles.</t>
  </si>
  <si>
    <t>créer un comité stratégique alimenté par des data scientists</t>
  </si>
  <si>
    <t>Erreurs de traitement graves</t>
  </si>
  <si>
    <t>Procédures contournées</t>
  </si>
  <si>
    <t>Base de données des solutions</t>
  </si>
  <si>
    <t>automatiser les rapports avec contrôles de cohérence algorithmiques</t>
  </si>
  <si>
    <t>Traductions erronées</t>
  </si>
  <si>
    <t>Checklist non suivie</t>
  </si>
  <si>
    <t>Rapports d'analyse root cause</t>
  </si>
  <si>
    <t>Une checklist standardisée guide-t-elle les agents lors des appels entrants ?</t>
  </si>
  <si>
    <t>Une checklist standardisée guide les agents lors des appels entrants.</t>
  </si>
  <si>
    <t>S’assure qu’il existe une liste de questions à dérouler lors d'un 
appel afin préciser au mieux la demande de l'utilisateur</t>
  </si>
  <si>
    <t>développer un plan de reprise multisite testé trimestriellement</t>
  </si>
  <si>
    <t>Incompréhension des besoins réels</t>
  </si>
  <si>
    <t>Erreurs humaines</t>
  </si>
  <si>
    <t>Registre des versions de checklist</t>
  </si>
  <si>
    <t>concevoir des architectures en zones autonomes sécurisées</t>
  </si>
  <si>
    <t>Barrière linguistique</t>
  </si>
  <si>
    <t>Mauvaise qualification des tickets</t>
  </si>
  <si>
    <t>Fiches processus métiers</t>
  </si>
  <si>
    <t>Une formation sur le renseignement des critères est-elle dispensée aux agents ?</t>
  </si>
  <si>
    <t>Une formation sur le renseignement des critères est dispensée aux agents.</t>
  </si>
  <si>
    <t>établir un processus de validation des traductions par locuteurs natifs</t>
  </si>
  <si>
    <t>Impossibilité de faire face aux pics de demande</t>
  </si>
  <si>
    <t>Adaptation insuffisante</t>
  </si>
  <si>
    <t>Base de connaissances techniques</t>
  </si>
  <si>
    <t>documenter les user stories via des ateliers avec utilisateurs finaux</t>
  </si>
  <si>
    <t>Plannings rigides</t>
  </si>
  <si>
    <t>Critères obsolètes</t>
  </si>
  <si>
    <t>Guide d'entretien standardisé</t>
  </si>
  <si>
    <t>Les critères sont-ils régulièrement révisés en fonction des besoins ?</t>
  </si>
  <si>
    <t>Les critères sont régulièrement révisés en fonction des besoins.</t>
  </si>
  <si>
    <t>recruter des agents multilingues pour les marchés critiques</t>
  </si>
  <si>
    <t>Délais de réponse inadaptés</t>
  </si>
  <si>
    <t>Contrôles absents</t>
  </si>
  <si>
    <t>Checklist opérationnelle approuvée</t>
  </si>
  <si>
    <t>déployer une solution d'elastic computing pour absorber les pics</t>
  </si>
  <si>
    <t>Décalage horaire non pris en compte</t>
  </si>
  <si>
    <t>Tickets incomplets acceptés</t>
  </si>
  <si>
    <t>Attestations de formation délivrées</t>
  </si>
  <si>
    <t>Le système empêche-t-il la création de tickets sans ces critères obligatoires ?</t>
  </si>
  <si>
    <t>Le système empêche la création de tickets sans ces critères obligatoires.</t>
  </si>
  <si>
    <t>implémenter un système de priorisation dynamique des requêtes</t>
  </si>
  <si>
    <t>Inégalité de service selon les territoires</t>
  </si>
  <si>
    <t>Priorisation erronée</t>
  </si>
  <si>
    <t>Procès-verbal de révision des critères</t>
  </si>
  <si>
    <t>adapter les plages horaires avec suivi des timezones clients</t>
  </si>
  <si>
    <t>Déséquilibre régional</t>
  </si>
  <si>
    <t>Nature/urgence/impact non évalués</t>
  </si>
  <si>
    <t>Journal des rejets de tickets</t>
  </si>
  <si>
    <t>Ces critères incluent-ils la nature, l'urgence et l'impact de la demande ?</t>
  </si>
  <si>
    <t>Ces critères incluent la nature, l'urgence et l'impact de la demande.</t>
  </si>
  <si>
    <t>mettre en place un système de péréquation régionale</t>
  </si>
  <si>
    <t>Exclusion de certaines populations</t>
  </si>
  <si>
    <t>Exigences floues</t>
  </si>
  <si>
    <t>Grille de classification des tickets</t>
  </si>
  <si>
    <t>concevoir des parcours utilisateurs inclusifs (accessibilité)</t>
  </si>
  <si>
    <t>Zones géographiques non couvertes</t>
  </si>
  <si>
    <t>Critères de qualification incomplets</t>
  </si>
  <si>
    <t>Liste des champs obligatoires validée</t>
  </si>
  <si>
    <t>Une liste des critères obligatoires pour qualifier un ticket existe-t-elle ?</t>
  </si>
  <si>
    <t>Une liste des critères obligatoires pour qualifier un ticket existe.</t>
  </si>
  <si>
    <t>S’assurer que des critères à renseigner pour la qualification des 
tickets existent</t>
  </si>
  <si>
    <t>étendre l'infrastructure via des partenariats locaux certifiés</t>
  </si>
  <si>
    <t>Analyses faussées et décisions erronées</t>
  </si>
  <si>
    <t>Biais d'analyse</t>
  </si>
  <si>
    <t>Exports des données analytiques</t>
  </si>
  <si>
    <t>développer un data warehouse avec mécanismes de cleansing</t>
  </si>
  <si>
    <t>Données corrompues</t>
  </si>
  <si>
    <t>Statistiques inexactes</t>
  </si>
  <si>
    <t>Rapports statistiques consolidés</t>
  </si>
  <si>
    <t>L'outil produit-il des statistiques exploitables sur les tickets traités ?</t>
  </si>
  <si>
    <t>L'outil produit des statistiques exploitables sur les tickets traités.</t>
  </si>
  <si>
    <t>implémenter des contrôles d'intégrité des données en temps réel</t>
  </si>
  <si>
    <t>Décisions basées sur des intuitions</t>
  </si>
  <si>
    <t>Alertes défaillantes</t>
  </si>
  <si>
    <t>Historique des alertes</t>
  </si>
  <si>
    <t>créer des tableaux de bord décisionnels avec indicateurs clés</t>
  </si>
  <si>
    <t>Impossibilité d'analyser les tendances</t>
  </si>
  <si>
    <t>Dépassements de délai non détectés</t>
  </si>
  <si>
    <t>Configuration des notifications</t>
  </si>
  <si>
    <t>L'outil intègre-t-il un système de notification des dépassements de délai ?</t>
  </si>
  <si>
    <t>L'outil intègre un système de notification des dépassements de délai.</t>
  </si>
  <si>
    <t>déployer des outils d'analyse prédictive avec machine learning</t>
  </si>
  <si>
    <t>Impossibilité d'optimisation</t>
  </si>
  <si>
    <t>Latence du système</t>
  </si>
  <si>
    <t>Captures d'écran du système</t>
  </si>
  <si>
    <t>instrumenter les processus avec des traceurs de performance</t>
  </si>
  <si>
    <t>Variations inexpliquées</t>
  </si>
  <si>
    <t>Suivi en temps réel impossible</t>
  </si>
  <si>
    <t>Interface de suivi en temps réel</t>
  </si>
  <si>
    <t>L'outil permet-il le suivi de l'état d'avancement en temps réel ?</t>
  </si>
  <si>
    <t>L'outil permet le suivi de l'état d'avancement en temps réel.</t>
  </si>
  <si>
    <t>développer un algorithme de répartition équitable des demandes</t>
  </si>
  <si>
    <t>Inégalité de traitement</t>
  </si>
  <si>
    <t>Problèmes techniques</t>
  </si>
  <si>
    <t>Logs d'envois automatiques</t>
  </si>
  <si>
    <t>établir des standards temporels via une étude time-motion</t>
  </si>
  <si>
    <t>Délais non standardisés</t>
  </si>
  <si>
    <t>Absence d'accusé de réception</t>
  </si>
  <si>
    <t>Modèles d'accusés de réception</t>
  </si>
  <si>
    <t>L'outil génère-t-il un accusé de réception automatique pour chaque demande ?</t>
  </si>
  <si>
    <t>L'outil génère un accusé de réception automatique pour chaque demande.</t>
  </si>
  <si>
    <t>implémenter un système de validation croisée des coordonnées bimestriel</t>
  </si>
  <si>
    <t>Coordonnées erronées des intervenants</t>
  </si>
  <si>
    <t>Duplications</t>
  </si>
  <si>
    <t>Journal des créations de tickets</t>
  </si>
  <si>
    <t>automatiser la mise à jour des contacts via synchronisation Active Directory</t>
  </si>
  <si>
    <t>Liste non actualisée</t>
  </si>
  <si>
    <t>Erreurs de création de tickets</t>
  </si>
  <si>
    <t>Manuel technique de l'outil</t>
  </si>
  <si>
    <t>L'outil de prise d'appel permet-il la création d'un ticket unique ?</t>
  </si>
  <si>
    <t>L'outil de prise d'appel permet la création d'un ticket unique.</t>
  </si>
  <si>
    <t>S’assurer qu’un outil est implémenté pour la prise d'appel et le 
suivi des tickets</t>
  </si>
  <si>
    <t>concevoir des architectures en zones isolées</t>
  </si>
  <si>
    <t>Retard critique dans la résolution</t>
  </si>
  <si>
    <t>Grille de qualification</t>
  </si>
  <si>
    <t>mettre en place un processus de validation multicouche</t>
  </si>
  <si>
    <t>Contacts indisponibles en urgence</t>
  </si>
  <si>
    <t>Liste des champs obligatoires</t>
  </si>
  <si>
    <t>Un processus de mise à jour des compétences fonctionnelles est-il établi ?</t>
  </si>
  <si>
    <t>Un processus de mise à jour des compétences fonctionnelles est établi.</t>
  </si>
  <si>
    <t>recruter des linguistes pour les marchés critiques</t>
  </si>
  <si>
    <t>Aggravation des incidents</t>
  </si>
  <si>
    <t>Exports de données</t>
  </si>
  <si>
    <t>développer un système de routing géo-intelligent</t>
  </si>
  <si>
    <t>Détection tardive</t>
  </si>
  <si>
    <t>Rapports statistiques</t>
  </si>
  <si>
    <t>Les demandes hors périmètre sont-elles redirigées vers les services compétents ?</t>
  </si>
  <si>
    <t>Les demandes hors périmètre sont redirigées vers les services compétents.</t>
  </si>
  <si>
    <t>créer des packages régionaux adaptés</t>
  </si>
  <si>
    <t>Interventions disproportionnées</t>
  </si>
  <si>
    <t>Paramètres d'alertes</t>
  </si>
  <si>
    <t>étendre la couverture via CDN et POPs locaux</t>
  </si>
  <si>
    <t>Seuils d'escalade mal calibrés</t>
  </si>
  <si>
    <t>Une matrice de compétences par domaine fonctionnel existe-t-elle ?</t>
  </si>
  <si>
    <t>Une matrice de compétences par domaine fonctionnel existe.</t>
  </si>
  <si>
    <t>implémenter des contrôles d'intégrité blockchain</t>
  </si>
  <si>
    <t>Confusion dans la prise de décision</t>
  </si>
  <si>
    <t>Journal des envois</t>
  </si>
  <si>
    <t>déployer des dashboards temps réel avec alertes</t>
  </si>
  <si>
    <t>Hiérarchie mal définie</t>
  </si>
  <si>
    <t>Modèles d'accusés réception</t>
  </si>
  <si>
    <t>Les compétences techniques couvrent-elles tous les domaines fonctionnels ?</t>
  </si>
  <si>
    <t>Les compétences techniques couvrent tous les domaines fonctionnels.</t>
  </si>
  <si>
    <t>automatiser les rapports d'écarts avec Power BI</t>
  </si>
  <si>
    <t>Escalade inappropriée ou tardive</t>
  </si>
  <si>
    <t>Configurations système</t>
  </si>
  <si>
    <t>standardiser les SLA via analyse des lead times</t>
  </si>
  <si>
    <t>Flou dans les niveaux d'intervention</t>
  </si>
  <si>
    <t>Guide d'utilisation outil</t>
  </si>
  <si>
    <t>Le HD traite-t-il l'ensemble des applications métiers de l'entreprise ?</t>
  </si>
  <si>
    <t>Le HD traite l'ensemble des applications métiers de l'entreprise.</t>
  </si>
  <si>
    <t>S’assurer de la couverture fonctionnelle du HD</t>
  </si>
  <si>
    <t>développer un annuaire unifié synchronisé en temps réel</t>
  </si>
  <si>
    <t>Vulnérabilités non corrigées</t>
  </si>
  <si>
    <t>Évaluations annuelles</t>
  </si>
  <si>
    <t>mettre en place une astreinte tournante 24/7</t>
  </si>
  <si>
    <t>Plan de développement compétences</t>
  </si>
  <si>
    <t>Les statistiques de couverture géographique sont-elles mesurées mensuellement ?</t>
  </si>
  <si>
    <t>Les statistiques de couverture géographique sont mesurées mensuellement.</t>
  </si>
  <si>
    <t>installer un SIEM avec corrélation d'événements</t>
  </si>
  <si>
    <t>Journal des redirections</t>
  </si>
  <si>
    <t>calibrer les seuils d'alerte via machine learning</t>
  </si>
  <si>
    <t>Procédures obsolètes</t>
  </si>
  <si>
    <t>Procédure de transfert</t>
  </si>
  <si>
    <t>Un système de redondance existe-t-il pour les zones critiques ?</t>
  </si>
  <si>
    <t>Un système de redondance existe pour les zones critiques.</t>
  </si>
  <si>
    <t>implémenter des workflows électroniques avec approbations</t>
  </si>
  <si>
    <t>Incapacité à répondre aux demandes complexes</t>
  </si>
  <si>
    <t>Procès-verbal d'approbation</t>
  </si>
  <si>
    <t>publier un organigramme dynamique avec RACI intégré</t>
  </si>
  <si>
    <t>Support non préparé</t>
  </si>
  <si>
    <t>Matrice validée</t>
  </si>
  <si>
    <t>Les langues des zones couvertes sont-elles prises en compte par le HD ?</t>
  </si>
  <si>
    <t>Les langues des zones couvertes sont prises en compte par le HD.</t>
  </si>
  <si>
    <t>développer des playbooks d'escalade standardisés</t>
  </si>
  <si>
    <t>Blocage des opérations en cas de panne numérique</t>
  </si>
  <si>
    <t>Référentiel des compétences</t>
  </si>
  <si>
    <t>établir une matrice de criticité des interventions</t>
  </si>
  <si>
    <t>Indisponibilité des versions imprimées</t>
  </si>
  <si>
    <t>Inventaire des applications</t>
  </si>
  <si>
    <t>Les horaires de couverture sont-ils adaptés aux fuseaux horaires concernés ?</t>
  </si>
  <si>
    <t>Les horaires de couverture sont adaptés aux fuseaux horaires concernés.</t>
  </si>
  <si>
    <t>déployer un système de patch management automatisé</t>
  </si>
  <si>
    <t>Incompréhension et frustration des équipes</t>
  </si>
  <si>
    <t>Rapports de couverture</t>
  </si>
  <si>
    <t>adopter le framework ITIL v4 pour la gouvernance</t>
  </si>
  <si>
    <t>Communication irrégulière</t>
  </si>
  <si>
    <t>Statistiques mensuelles</t>
  </si>
  <si>
    <t>Le HD couvre-t-il toutes les zones géographiques où l'entreprise opère ?</t>
  </si>
  <si>
    <t>Le HD couvre toutes les zones géographiques où l'entreprise opère.</t>
  </si>
  <si>
    <t>S’assurer de la couverture géographique du HD</t>
  </si>
  <si>
    <t>réviser les procédures via design sprints mensuels</t>
  </si>
  <si>
    <t>Dégradation progressive de la qualité</t>
  </si>
  <si>
    <t>Plan de continuité d'activité</t>
  </si>
  <si>
    <t>constituer une task force crise permanente</t>
  </si>
  <si>
    <t>Oubli des bonnes pratiques</t>
  </si>
  <si>
    <t>Liste des langues supportées</t>
  </si>
  <si>
    <t>Un historique des escalades est-il conservé pour analyse ultérieure ?</t>
  </si>
  <si>
    <t>Un historique des escalades est conservé pour analyse ultérieure.</t>
  </si>
  <si>
    <t>maintenir une documentation papier dans des coffres sécurisés</t>
  </si>
  <si>
    <t>Fonctionnalités inutilisables</t>
  </si>
  <si>
    <t>Plannings des fuseaux horaires</t>
  </si>
  <si>
    <t>instaurer des stand-ups quotidiens pour l'alignement</t>
  </si>
  <si>
    <t>Intégration incomplète</t>
  </si>
  <si>
    <t>Cartographie des implantations</t>
  </si>
  <si>
    <t>Les délais de réponse pour chaque niveau d'escalade sont-ils formalisés ?</t>
  </si>
  <si>
    <t>Les délais de réponse pour chaque niveau d'escalade sont formalisés.</t>
  </si>
  <si>
    <t>documenter les best practices dans un knowledge base</t>
  </si>
  <si>
    <t>Erreurs opérationnelles fréquentes</t>
  </si>
  <si>
    <t>Base de données historique</t>
  </si>
  <si>
    <t>créer des communautés de pratique par métier</t>
  </si>
  <si>
    <t>Nouveaux agents non formés</t>
  </si>
  <si>
    <t>Délais formalisés écrits</t>
  </si>
  <si>
    <t>Les contacts pour chaque niveau d'escalade sont-ils à jour et accessibles ?</t>
  </si>
  <si>
    <t>Les contacts pour chaque niveau d'escalade sont à jour et accessibles.</t>
  </si>
  <si>
    <t>auditer les interfaces système tous les trimestres</t>
  </si>
  <si>
    <t>Application de règles obsolètes</t>
  </si>
  <si>
    <t>développer des simulateurs opérationnels en VR</t>
  </si>
  <si>
    <t>Version non actualisée</t>
  </si>
  <si>
    <t>Annuaire des contacts</t>
  </si>
  <si>
    <t>Les seuils de déclenchement de l'escalade sont-ils quantifiés et mesurables ?</t>
  </si>
  <si>
    <t>Les seuils de déclenchement de l'escalade sont quantifiés et mesurables.</t>
  </si>
  <si>
    <t>budgétiser 30 jours de formation pour nouveaux hires</t>
  </si>
  <si>
    <t>Improvisation et erreurs récurrentes</t>
  </si>
  <si>
    <t>Seuils quantitatifs documentés</t>
  </si>
  <si>
    <t>automatiser les mises à jour via pipeline CI/CD</t>
  </si>
  <si>
    <t>Procédure non accessible</t>
  </si>
  <si>
    <t>Procédure d'escalade écrite</t>
  </si>
  <si>
    <t>La procédure d'escalade définit-elle clairement les niveaux d'intervention ?</t>
  </si>
  <si>
    <t>La procédure d'escalade définit clairement les niveaux d'intervention.</t>
  </si>
  <si>
    <t>S’assurer qu’une procédure d'escalade mise en place</t>
  </si>
  <si>
    <t>documenter les procédures de secours dans un wiki sécurisé</t>
  </si>
  <si>
    <t>Arrêt complet des opérations</t>
  </si>
  <si>
    <t>Procès-verbal de nomination</t>
  </si>
  <si>
    <t>migrer vers une infrastructure cloud haute disponibilité</t>
  </si>
  <si>
    <t>Pannes du système</t>
  </si>
  <si>
    <t>Fiche de poste responsable</t>
  </si>
  <si>
    <t>Un responsable est-il désigné pour mettre à jour annuellement cette procédure ?</t>
  </si>
  <si>
    <t>Un responsable est désigné pour mettre à jour annuellement cette procédure.</t>
  </si>
  <si>
    <t>instaurer des surveys de satisfaction liés aux bonus</t>
  </si>
  <si>
    <t>Insatisfaction client et contentieux</t>
  </si>
  <si>
    <t>Registre des demandes</t>
  </si>
  <si>
    <t>implémenter un système de ticketing avec accusé réception</t>
  </si>
  <si>
    <t>Demandes perdues</t>
  </si>
  <si>
    <t>Version imprimable disponible</t>
  </si>
  <si>
    <t>La procédure est-elle disponible en version imprimable sur demande ?</t>
  </si>
  <si>
    <t>La procédure est disponible en version imprimable sur demande.</t>
  </si>
  <si>
    <t>créer un comité veille technologique hebdomadaire</t>
  </si>
  <si>
    <t>Incapacité à répondre aux nouveaux besoins</t>
  </si>
  <si>
    <t>Preuves d'envoi</t>
  </si>
  <si>
    <t>lancer un programme de reskilling trimestriel obligatoire</t>
  </si>
  <si>
    <t>Formations obsolètes</t>
  </si>
  <si>
    <t>Calendrier des rappels</t>
  </si>
  <si>
    <t>Des rappels réguliers sont-ils envoyés aux utilisateurs concernant cette procédure ?</t>
  </si>
  <si>
    <t>Des rappels réguliers sont envoyés aux utilisateurs concernant cette procédure.</t>
  </si>
  <si>
    <t>organiser des audits croisés bimensuels</t>
  </si>
  <si>
    <t>Incohérence dans le traitement des demandes</t>
  </si>
  <si>
    <t>Liste des participants formés</t>
  </si>
  <si>
    <t>digitaliser les workflows avec contrôles d'étapes obligatoires</t>
  </si>
  <si>
    <t>Procédures mal appliquées</t>
  </si>
  <si>
    <t>Programme de formation nouveaux</t>
  </si>
  <si>
    <t>Les nouveaux employés reçoivent-ils une formation incluant cette procédure ?</t>
  </si>
  <si>
    <t>Les nouveaux employés reçoivent une formation incluant cette procédure.</t>
  </si>
  <si>
    <t>développer un moteur de priorisation basé sur l'impact métier</t>
  </si>
  <si>
    <t>Impossibilité de priorisation efficace des demandes</t>
  </si>
  <si>
    <t>standardiser la taxonomie via ateliers métiers</t>
  </si>
  <si>
    <t>Typologies mal classées</t>
  </si>
  <si>
    <t>Capture d'écran intranet</t>
  </si>
  <si>
    <t>La procédure de gestion des demandes est-elle publiée sur l'intranet de l'entreprise ?</t>
  </si>
  <si>
    <t>La procédure de gestion des demandes est publiée sur l'intranet de l'entreprise.</t>
  </si>
  <si>
    <t>S’assurer qu’une procédure de gestion des demandes 
d’assistance est diffusée et connue des utilisateurs</t>
  </si>
  <si>
    <t>instaurer des clauses pénales automatiques dans les contrats</t>
  </si>
  <si>
    <t>Perte de confiance des clients et pénalités contractuelles</t>
  </si>
  <si>
    <t>Procédure d'enregistrement</t>
  </si>
  <si>
    <t>mettre en place un système de tracking temps réel</t>
  </si>
  <si>
    <t>Délais non respectés</t>
  </si>
  <si>
    <t>Journal des tickets créés</t>
  </si>
  <si>
    <t>Un outil de suivi des tickets enregistre-t-il systématiquement les demandes ?</t>
  </si>
  <si>
    <t>Un outil de suivi des tickets enregistre systématiquement les demandes.</t>
  </si>
  <si>
    <t>créer des parcours utilisateurs différenciés</t>
  </si>
  <si>
    <t>Exclusion de certaines catégories d'utilisateurs</t>
  </si>
  <si>
    <t>cartographier l'ensemble des personas utilisateurs</t>
  </si>
  <si>
    <t>Couverture insuffisante</t>
  </si>
  <si>
    <t>Les agents du help-desk suivent-ils une formation annuelle sur les procédures ?</t>
  </si>
  <si>
    <t>Les agents du help-desk suivent une formation annuelle sur les procédures.</t>
  </si>
  <si>
    <t>établir un plan de continuité testé semestriellement</t>
  </si>
  <si>
    <t>Interruption totale du service en cas de panne</t>
  </si>
  <si>
    <t>Grille des délais opérationnels</t>
  </si>
  <si>
    <t>déployer une architecture redondante active/active</t>
  </si>
  <si>
    <t>Canal unique défaillant</t>
  </si>
  <si>
    <t>Contrat SLA signé</t>
  </si>
  <si>
    <t>Un SLA documenté précise-t-il les délais de traitement par typologie de demande ?</t>
  </si>
  <si>
    <t>Un SLA documenté précise les délais de traitement par typologie de demande.</t>
  </si>
  <si>
    <t>réaliser un audit juridique trimestriel avec compliance</t>
  </si>
  <si>
    <t>Non-conformité réglementaire et risques juridiques</t>
  </si>
  <si>
    <t>Statistiques d'utilisation</t>
  </si>
  <si>
    <t>rédiger un manuel procédural conforme aux normes ISO</t>
  </si>
  <si>
    <t>Absence de cadre formel</t>
  </si>
  <si>
    <t>Liste des canaux supportés</t>
  </si>
  <si>
    <t>Les utilisateurs accèdent-ils au help-desk via au moins deux canaux distincts ?</t>
  </si>
  <si>
    <t>Les utilisateurs accèdent au help-desk via au moins deux canaux distincts.</t>
  </si>
  <si>
    <t>implémenter une matrice RACI validée par la direction</t>
  </si>
  <si>
    <t>Dérive des responsabilités et conflits internes</t>
  </si>
  <si>
    <t>formaliser des fiches de poste détaillées avec responsabilités claires</t>
  </si>
  <si>
    <t>Missions mal définies</t>
  </si>
  <si>
    <t>Charte officielle du help-desk</t>
  </si>
  <si>
    <t>La structure du help-desk dispose-t-elle d'une charte écrite formalisant ses missions ?</t>
  </si>
  <si>
    <t>La structure du help-desk dispose d'une charte écrite formalisant ses missions.</t>
  </si>
  <si>
    <t xml:space="preserve">S’assurer qu’une structure de centre d’assistance (help-desk) 
(HD) est mise en place </t>
  </si>
  <si>
    <t>Fiabilité et sécurité</t>
  </si>
  <si>
    <t>Support Utilisateur</t>
  </si>
  <si>
    <t>Objectifs de contrôle</t>
  </si>
  <si>
    <t>Domaine</t>
  </si>
  <si>
    <t>Synthese Graphique</t>
  </si>
  <si>
    <t>Chauffeur:</t>
  </si>
  <si>
    <t>Total</t>
  </si>
  <si>
    <t xml:space="preserve">Audit et Contrôle de la Fonction Etude </t>
  </si>
  <si>
    <t>Audit de Sécurité Informatique</t>
  </si>
  <si>
    <t>Audit du Support Utilisateur et de la Gestion du Parc</t>
  </si>
  <si>
    <t>Audit et contrôle des projets  informatiques</t>
  </si>
  <si>
    <t>Membres:</t>
  </si>
  <si>
    <t>Audit de la fonction informatique</t>
  </si>
  <si>
    <t>Audit des applications en services</t>
  </si>
  <si>
    <t>Chef :</t>
  </si>
  <si>
    <t>COSO</t>
  </si>
  <si>
    <t>Grade</t>
  </si>
  <si>
    <t>Prénom</t>
  </si>
  <si>
    <t>Nom</t>
  </si>
  <si>
    <t xml:space="preserve">             </t>
  </si>
  <si>
    <t xml:space="preserve">Score            </t>
  </si>
  <si>
    <t xml:space="preserve">TOTAL      </t>
  </si>
  <si>
    <t xml:space="preserve">Total PAS    </t>
  </si>
  <si>
    <t xml:space="preserve">Total NON     </t>
  </si>
  <si>
    <t xml:space="preserve">Total OUI    </t>
  </si>
  <si>
    <t xml:space="preserve">N°   </t>
  </si>
  <si>
    <t>Equipe de mission</t>
  </si>
  <si>
    <t>Synthese Numerique</t>
  </si>
  <si>
    <t xml:space="preserve">Objectifs de contrôle </t>
  </si>
  <si>
    <t>Criteres d'evaluation</t>
  </si>
  <si>
    <t>Elements requis</t>
  </si>
  <si>
    <t>Activité de pilotage ;</t>
  </si>
  <si>
    <t>S’assurer que la ligne de partage entre études et production est clairement définie et documentée ;</t>
  </si>
  <si>
    <t>Existence d'un document formalisé décrivant les rôles et responsabilités</t>
  </si>
  <si>
    <t>Existetil un document formalisé définissant cette séparation?</t>
  </si>
  <si>
    <t xml:space="preserve"> Charte de gouvernance études/production</t>
  </si>
  <si>
    <t>  Confusion des rôles</t>
  </si>
  <si>
    <t>Clarté des processus de transition études→production</t>
  </si>
  <si>
    <t>Comment est gérée la transition entre études et production?</t>
  </si>
  <si>
    <t xml:space="preserve"> Organigramme avec responsabilités claires</t>
  </si>
  <si>
    <t xml:space="preserve"> Retards dans les livraisons</t>
  </si>
  <si>
    <t>Désignation explicite des responsables de chaque phase</t>
  </si>
  <si>
    <t>Qui sont les responsables désignés pour chaque phase?</t>
  </si>
  <si>
    <t xml:space="preserve"> Procédures de handover</t>
  </si>
  <si>
    <t xml:space="preserve"> Conflits entre équipes</t>
  </si>
  <si>
    <t>Existence de KPIs mesurant l'efficacité de la transition</t>
  </si>
  <si>
    <t>Comment est mesurée l'efficacité de cette séparation?</t>
  </si>
  <si>
    <t xml:space="preserve"> Indicateurs de performance</t>
  </si>
  <si>
    <t xml:space="preserve"> Perte d'information</t>
  </si>
  <si>
    <t xml:space="preserve">Documentation accessible et à jour pour tous les acteurs concernés                                                                               </t>
  </si>
  <si>
    <t>La documentation estelle accessible à toutes les parties prenantes ?</t>
  </si>
  <si>
    <t xml:space="preserve"> Système de documentation partagée</t>
  </si>
  <si>
    <t>S’assurer qu’il existe une cellule dédiée en charge du suivi et du contrôle des projets et des ressources (gestion des plannings et des budgets, suivi des temps et des coûts) ;</t>
  </si>
  <si>
    <t xml:space="preserve"> Existence d'une équipe dédiée avec mandat clair</t>
  </si>
  <si>
    <t>Existe-t-il une cellule dédiée au suivi?</t>
  </si>
  <si>
    <t xml:space="preserve">  Composition et mandat de l'équipe</t>
  </si>
  <si>
    <t xml:space="preserve"> Compétences adaptées des membres</t>
  </si>
  <si>
    <t>Quelles sont les compétences de ses membres?</t>
  </si>
  <si>
    <t xml:space="preserve"> Description des outils de suivi</t>
  </si>
  <si>
    <t xml:space="preserve"> Outils de suivi disponibles et utilisés</t>
  </si>
  <si>
    <t>Quels outils sont utilisés pour le suivi?</t>
  </si>
  <si>
    <t xml:space="preserve"> Planning des revues</t>
  </si>
  <si>
    <t xml:space="preserve"> Fréquence adéquate des points de contrôle</t>
  </si>
  <si>
    <t>A quelle fréquence sont effectués les contrôles?</t>
  </si>
  <si>
    <t xml:space="preserve"> Procédures de reporting</t>
  </si>
  <si>
    <t xml:space="preserve"> Capacité à identifier et remonter les écarts </t>
  </si>
  <si>
    <t>Comment sont traités les écarts identifiés?</t>
  </si>
  <si>
    <t xml:space="preserve"> Historique des actions correctives</t>
  </si>
  <si>
    <t>Vérifier l’existence d’une procédure de planification détaillée par projet et/ou par ressource (en fonction des besoins et des enjeux : taille des équipes, nombre et nature des projets) ;</t>
  </si>
  <si>
    <t>Procédure documentée et accessible</t>
  </si>
  <si>
    <t>La procédure est-elle formalisée?</t>
  </si>
  <si>
    <t xml:space="preserve"> Modèle de planification</t>
  </si>
  <si>
    <t>Adaptation aux spécificités des projets</t>
  </si>
  <si>
    <t>Comment s'adapte-t-elle aux différents projets?</t>
  </si>
  <si>
    <t xml:space="preserve"> Outils de gestion de ressources</t>
  </si>
  <si>
    <t>Désignation nominative des ressources</t>
  </si>
  <si>
    <t>Les ressources sont-elles attribuées nominativement?</t>
  </si>
  <si>
    <t xml:space="preserve"> Règles d'affectation</t>
  </si>
  <si>
    <t>Visibilité sur l'occupation des ressources</t>
  </si>
  <si>
    <t>Comment est visualisée l'occupation des ressources?</t>
  </si>
  <si>
    <t xml:space="preserve"> Tableaux de bord de charge</t>
  </si>
  <si>
    <t xml:space="preserve">Mécanismes de mise à jour prévus   </t>
  </si>
  <si>
    <t xml:space="preserve">Comment sont gérées les mises à jour?                                                                                                               </t>
  </si>
  <si>
    <t xml:space="preserve"> Procédures de mise à jour</t>
  </si>
  <si>
    <t>Vérifier que la procédure de planification est nominative et suffisamment détaillée pour permettre une bonne visibilité du taux prévisionnel d’occupation des ressources ;</t>
  </si>
  <si>
    <t>Affectation nominative des tâches</t>
  </si>
  <si>
    <t>Les tâches sont-elles attribuées nominativement?</t>
  </si>
  <si>
    <t xml:space="preserve">  Fiches de poste/compétences</t>
  </si>
  <si>
    <t>Niveau de détail suffisant pour chaque tâche</t>
  </si>
  <si>
    <t>Le niveau de détail permet-il un suivi fin?</t>
  </si>
  <si>
    <t xml:space="preserve"> Outil de planification détaillée</t>
  </si>
  <si>
    <t>Visibilité sur les dépendances</t>
  </si>
  <si>
    <t>Les dépendances entre tâches sont-elles identifiées?</t>
  </si>
  <si>
    <t xml:space="preserve"> Matrice des dépendances</t>
  </si>
  <si>
    <t>Prise en compte des compétences</t>
  </si>
  <si>
    <t>Les compétences sont-elles prises en compte?</t>
  </si>
  <si>
    <t xml:space="preserve"> Évaluations de charge</t>
  </si>
  <si>
    <t xml:space="preserve">Adéquation charge/capacité  </t>
  </si>
  <si>
    <t xml:space="preserve">La charge est-elle réaliste par rapport aux capacités?  </t>
  </si>
  <si>
    <t>non</t>
  </si>
  <si>
    <t xml:space="preserve"> Historique des performances</t>
  </si>
  <si>
    <t>Vérifier l’existence d’une procédure périodique (hebdomadaire à mensuelle en fonction des enjeux), de suivi de l’activité et de mise à jour du planning ;</t>
  </si>
  <si>
    <t>Fréquence adaptée aux enjeux</t>
  </si>
  <si>
    <t>A quelle fréquence sont effectués les suivis?</t>
  </si>
  <si>
    <t xml:space="preserve"> Calendrier des revues</t>
  </si>
  <si>
    <t>Participation des bonnes parties prenantes</t>
  </si>
  <si>
    <t>Qui participe à ces revues?</t>
  </si>
  <si>
    <t xml:space="preserve"> Liste des participants types</t>
  </si>
  <si>
    <t>Utilisation d'indicateurs pertinents</t>
  </si>
  <si>
    <t>Quels indicateurs sont suivis?</t>
  </si>
  <si>
    <t xml:space="preserve"> Catalogue d'indicateurs</t>
  </si>
  <si>
    <t>Formalisation des comptes-rendus</t>
  </si>
  <si>
    <t>Comment sont formalisés les comptes-rendus?</t>
  </si>
  <si>
    <t xml:space="preserve"> Modèles de comptesrendus</t>
  </si>
  <si>
    <t xml:space="preserve">Mécanismes de suivi des actions  </t>
  </si>
  <si>
    <t xml:space="preserve">Comment sont suivies les actions décidées? </t>
  </si>
  <si>
    <t xml:space="preserve"> Outil de suivi des actions</t>
  </si>
  <si>
    <t>Activités opérationnelles ;</t>
  </si>
  <si>
    <t>Vérifier l’existence d’une MOA forte et d’une fonction études « limitée » à la MOE ;</t>
  </si>
  <si>
    <t>Séparation claire des rôles MOA/MOE</t>
  </si>
  <si>
    <t>Comment sont séparés les rôles MOA/MOE?</t>
  </si>
  <si>
    <t xml:space="preserve"> Charte MOA/MOE</t>
  </si>
  <si>
    <t>Autorité effective de la MOA</t>
  </si>
  <si>
    <t>La MOA a-t-elle une autorité reconnue?</t>
  </si>
  <si>
    <t xml:space="preserve"> Organigramme fonctionnel</t>
  </si>
  <si>
    <t>Périmètre d'intervention limité pour la MOE</t>
  </si>
  <si>
    <t>La MOE intervient-elle uniquement sur demande MOA?</t>
  </si>
  <si>
    <t xml:space="preserve"> Procédures de demande</t>
  </si>
  <si>
    <t>Processus de collaboration défini</t>
  </si>
  <si>
    <t>Comment collaborent MOA et MOE?</t>
  </si>
  <si>
    <t xml:space="preserve"> Processus de validation</t>
  </si>
  <si>
    <t xml:space="preserve">Indépendance dans les validations </t>
  </si>
  <si>
    <t>Les validations sont-elles indépendantes?</t>
  </si>
  <si>
    <t>Évaluer le rôle du Comité Informatique dans le contrôle de l’activité des études ;</t>
  </si>
  <si>
    <t>Fréquence des revues par le Comité</t>
  </si>
  <si>
    <t>A quelle fréquence le Comité revoit-il l'activité?</t>
  </si>
  <si>
    <t xml:space="preserve"> PV des réunions du Comité</t>
  </si>
  <si>
    <t>Composition adaptée du Comité</t>
  </si>
  <si>
    <t>Qui compose le Comité?</t>
  </si>
  <si>
    <t xml:space="preserve"> Composition et mandat</t>
  </si>
  <si>
    <t>Pouvoir décisionnel effectif</t>
  </si>
  <si>
    <t>Le Comité a-t-il un réel pouvoir?</t>
  </si>
  <si>
    <t xml:space="preserve"> Tableaux de bord utilisés</t>
  </si>
  <si>
    <t>Sur quels éléments base-t-il ses décisions?</t>
  </si>
  <si>
    <t xml:space="preserve"> Décisions prises et suivies</t>
  </si>
  <si>
    <t>Suivi des actions décidées</t>
  </si>
  <si>
    <t>Comment sont suivies ses décisions?</t>
  </si>
  <si>
    <t>S’assurer qu’il existe une procédure standard et formalisée de maintenance ;</t>
  </si>
  <si>
    <t>Existe-t-il une procédure formalisée?</t>
  </si>
  <si>
    <t xml:space="preserve"> Manuel de maintenance</t>
  </si>
  <si>
    <t>Différenciation maintenance corrective/évolutive</t>
  </si>
  <si>
    <t>Comment sont distinguées les types de maintenance?</t>
  </si>
  <si>
    <t>pas</t>
  </si>
  <si>
    <t xml:space="preserve"> Formulaire de demande</t>
  </si>
  <si>
    <t>Processus de priorisation clair</t>
  </si>
  <si>
    <t>Comment sont priorisées les demandes?</t>
  </si>
  <si>
    <t xml:space="preserve"> Grille de priorisation</t>
  </si>
  <si>
    <t>Mécanismes de suivi et reporting</t>
  </si>
  <si>
    <t>Comment est suivi l'avancement?</t>
  </si>
  <si>
    <t xml:space="preserve"> Outil de suivi</t>
  </si>
  <si>
    <t>Intégration avec la gestion des configurations</t>
  </si>
  <si>
    <t>Comment est gérée la documentation des changements?</t>
  </si>
  <si>
    <t xml:space="preserve"> Base de connaissances</t>
  </si>
  <si>
    <t xml:space="preserve">Vérifier que pour la maintenance évolutive, le « versionning » (2 à 3 par an) est préféré à la maintenance « au fil de l’eau » ;  </t>
  </si>
  <si>
    <t>Politique de versionning documentée</t>
  </si>
  <si>
    <t>Existe-t-il une politique de versionning?</t>
  </si>
  <si>
    <t xml:space="preserve"> Calendrier des versions</t>
  </si>
  <si>
    <t>Fréquence des versions adaptée</t>
  </si>
  <si>
    <t>A quelle fréquence sont livrées les versions?</t>
  </si>
  <si>
    <t xml:space="preserve"> Processus de décision</t>
  </si>
  <si>
    <t>Processus de décision des évolutions</t>
  </si>
  <si>
    <t>Comment sont décidées les évolutions?</t>
  </si>
  <si>
    <t xml:space="preserve"> Outils de planification</t>
  </si>
  <si>
    <t>Mécanismes de rétroplanning</t>
  </si>
  <si>
    <t>Comment est planifiée la réalisation?</t>
  </si>
  <si>
    <t xml:space="preserve"> Supports de communication</t>
  </si>
  <si>
    <t>Communication aux utilisateurs</t>
  </si>
  <si>
    <t>Comment sont informés les utilisateurs?</t>
  </si>
  <si>
    <t xml:space="preserve"> Historique des versions </t>
  </si>
  <si>
    <t>Développement des applications spécifiques ;</t>
  </si>
  <si>
    <t>Vérifier l’utilisation des méthodes et outils de conception et de modélisation d’application (UML, Rational Case, ...) ;</t>
  </si>
  <si>
    <t>Choix justifié des méthodes/outils</t>
  </si>
  <si>
    <t>Quels méthodes/outils sont utilisés?</t>
  </si>
  <si>
    <t xml:space="preserve"> Référentiel méthodes/outils</t>
  </si>
  <si>
    <t>Adéquation aux besoins</t>
  </si>
  <si>
    <t>Comment ont-ils été choisis?</t>
  </si>
  <si>
    <t xml:space="preserve"> Justificatifs des choix</t>
  </si>
  <si>
    <t>Maîtrise par les équipes</t>
  </si>
  <si>
    <t>Les équipes sont-elles formées?</t>
  </si>
  <si>
    <t xml:space="preserve"> Plan de formation</t>
  </si>
  <si>
    <t>Uniformité d'utilisation</t>
  </si>
  <si>
    <t>L'usage est-il uniforme?</t>
  </si>
  <si>
    <t xml:space="preserve"> Guide de bon usage</t>
  </si>
  <si>
    <t>Processus d'amélioration continue</t>
  </si>
  <si>
    <t>Comment sont identifiées les améliorations?</t>
  </si>
  <si>
    <t xml:space="preserve"> Processus de feedback </t>
  </si>
  <si>
    <t>S’assurer que la formation reçue pour ces outils est adaptée ;</t>
  </si>
  <si>
    <t>Évaluation des besoins de formation</t>
  </si>
  <si>
    <t>Comment sont identifiés les besoins?</t>
  </si>
  <si>
    <t xml:space="preserve"> Documentation utilisateur</t>
  </si>
  <si>
    <t>Adéquation des formations aux besoins</t>
  </si>
  <si>
    <t>Les formations couvrent-elles ces besoins?</t>
  </si>
  <si>
    <t xml:space="preserve"> Processus de mise à jour</t>
  </si>
  <si>
    <t>Qualité des formateurs</t>
  </si>
  <si>
    <t>Qui dispense les formations?</t>
  </si>
  <si>
    <t xml:space="preserve"> Supports de diffusion (portail, etc.)</t>
  </si>
  <si>
    <t>Évaluation de l'efficacité des formations</t>
  </si>
  <si>
    <t>Comment est évaluée leur efficacité?</t>
  </si>
  <si>
    <t xml:space="preserve"> Checklist recette</t>
  </si>
  <si>
    <t>Processus de formation continue</t>
  </si>
  <si>
    <t>Existe-t-il un plan de formation continue?</t>
  </si>
  <si>
    <t xml:space="preserve"> Feedback utilisateurs </t>
  </si>
  <si>
    <t>S’assurer qu’il existe des normes de programmation et de codification dont les règles sont formalisées dans un manuel à l'attention des programmeurs ;</t>
  </si>
  <si>
    <t>Existence d'un manuel de normes</t>
  </si>
  <si>
    <t>Existe-t-il un manuel de normes?</t>
  </si>
  <si>
    <t xml:space="preserve"> Manuel des normes</t>
  </si>
  <si>
    <t>Complétude des normes (nommage, structure, etc.)</t>
  </si>
  <si>
    <t>Quels aspects couvre-t-il?</t>
  </si>
  <si>
    <t xml:space="preserve"> Checklist de conformité</t>
  </si>
  <si>
    <t>Processus de validation des normes</t>
  </si>
  <si>
    <t>Comment sont validées ces normes?</t>
  </si>
  <si>
    <t xml:space="preserve"> Outils d'analyse statique</t>
  </si>
  <si>
    <t>Mécanismes de contrôle du respect</t>
  </si>
  <si>
    <t>Comment est vérifié leur respect?</t>
  </si>
  <si>
    <t xml:space="preserve"> Procédures de revue</t>
  </si>
  <si>
    <t>Processus de mise à jour des normes</t>
  </si>
  <si>
    <t xml:space="preserve">Comment sont-elles mises à jour?  </t>
  </si>
  <si>
    <t xml:space="preserve"> Historique des mises à jour </t>
  </si>
  <si>
    <t>Vérifier l’application de ces normes (revue de code) ;</t>
  </si>
  <si>
    <t>Fréquence des revues de code</t>
  </si>
  <si>
    <t>A quelle fréquence sont faites les revues?</t>
  </si>
  <si>
    <t>Compétences des réviseurs</t>
  </si>
  <si>
    <t>Qui effectue les revues?</t>
  </si>
  <si>
    <t xml:space="preserve"> Liste des réviseurs qualifiés</t>
  </si>
  <si>
    <t>Outils utilisés pour les revues</t>
  </si>
  <si>
    <t>Quels outils sont utilisés?</t>
  </si>
  <si>
    <t xml:space="preserve"> Outils d'analyse</t>
  </si>
  <si>
    <t>Taux de conformité mesuré</t>
  </si>
  <si>
    <t>Comment est mesurée la conformité?</t>
  </si>
  <si>
    <t xml:space="preserve"> Métriques de qualité</t>
  </si>
  <si>
    <t>Traitement des écarts identifiés</t>
  </si>
  <si>
    <t>Que se passe-t-il en cas de non-conformité</t>
  </si>
  <si>
    <t xml:space="preserve"> Procédures de correction </t>
  </si>
  <si>
    <t>S’assurer qu’il existe une documentation utilisateurs par application (incluse dans la recette) comportant notamment le manuel d’utilisation, la description des données saisies et mises à jour, les états de contrôle disponibles, les contrôles automatiques effectués.</t>
  </si>
  <si>
    <t>Existence d'une documentation complète</t>
  </si>
  <si>
    <t>Existe-t-il une documentation utilisateur?</t>
  </si>
  <si>
    <t xml:space="preserve"> Évaluation des compétences</t>
  </si>
  <si>
    <t>Adéquation aux besoins utilisateurs</t>
  </si>
  <si>
    <t>Couvre-t-elle tous les besoins?</t>
  </si>
  <si>
    <t xml:space="preserve"> Catalogue de formations</t>
  </si>
  <si>
    <t>Processus de mise à jour</t>
  </si>
  <si>
    <t>Comment est-elle maintenue à jour?</t>
  </si>
  <si>
    <t xml:space="preserve"> Qualifications des formateurs</t>
  </si>
  <si>
    <t>Comment y accède-t-on?</t>
  </si>
  <si>
    <t xml:space="preserve"> Méthodes d'évaluation</t>
  </si>
  <si>
    <t>Intégration dans le processus de recette</t>
  </si>
  <si>
    <t>Fait-elle partie des critères de recette?</t>
  </si>
  <si>
    <t xml:space="preserve"> Plan de développement des compétences</t>
  </si>
  <si>
    <t>Encadrer contractualement et techniquement l’accès aux tiers</t>
  </si>
  <si>
    <t>Fuite de données sensibles</t>
  </si>
  <si>
    <t>Exfiltration par prestataire</t>
  </si>
  <si>
    <t>Convention de sécurité</t>
  </si>
  <si>
    <t>L’accès aux fichiers par des tiers est-il sécurisé ?</t>
  </si>
  <si>
    <t>Accès tiers encadré</t>
  </si>
  <si>
    <t>Utiliser un outil de contrôle de version</t>
  </si>
  <si>
    <t>Responsabilité impossible à établir</t>
  </si>
  <si>
    <t>Modification indétectée</t>
  </si>
  <si>
    <t>Système de versioning</t>
  </si>
  <si>
    <t>Les modifications sont-elles tracées ?</t>
  </si>
  <si>
    <t>Mettre en place un planning de sauvegarde quotidien</t>
  </si>
  <si>
    <t>Perte de production ou historique</t>
  </si>
  <si>
    <t>Perte de fichier</t>
  </si>
  <si>
    <t>Plan de sauvegarde</t>
  </si>
  <si>
    <t>Les fichiers sont-ils sauvegardés régulièrement ?</t>
  </si>
  <si>
    <t>Sauvegarde régulière</t>
  </si>
  <si>
    <t>Chiffrer les fichiers critiques</t>
  </si>
  <si>
    <t>Perte de confidentialité</t>
  </si>
  <si>
    <t>Fuite de données</t>
  </si>
  <si>
    <t>Clé de chiffrement</t>
  </si>
  <si>
    <t>Les fichiers sensibles sont-ils chiffrés ?</t>
  </si>
  <si>
    <t>Chiffrement des fichiers sensibles</t>
  </si>
  <si>
    <t>Gérer les droits par groupe selon les besoins réels</t>
  </si>
  <si>
    <t>Divulgation ou altération des fichiers</t>
  </si>
  <si>
    <t>Accès non autorisé</t>
  </si>
  <si>
    <t>ACL, permissions</t>
  </si>
  <si>
    <t>Les droits d’accès aux fichiers sont-ils correctement définis ?</t>
  </si>
  <si>
    <t>Accès contrôlé</t>
  </si>
  <si>
    <t>S’assurer que la sécurité des fichiers est prise en compte.</t>
  </si>
  <si>
    <t>Impliquer les parties prenantes dans sa validation</t>
  </si>
  <si>
    <t>Non-respect du protocole</t>
  </si>
  <si>
    <t>Non-adhésion</t>
  </si>
  <si>
    <t>PV de validation</t>
  </si>
  <si>
    <t>La direction informatique l’a-t-elle validé ?</t>
  </si>
  <si>
    <t>Acceptation par la DSI</t>
  </si>
  <si>
    <t>Faire évoluer le protocole en continu</t>
  </si>
  <si>
    <t>Inefficacité répétée</t>
  </si>
  <si>
    <t>Amélioration non intégrée</t>
  </si>
  <si>
    <t>Historique de version</t>
  </si>
  <si>
    <t>Le protocole a-t-il été mis à jour après les tests ?</t>
  </si>
  <si>
    <t>Mise à jour suite à anomalies</t>
  </si>
  <si>
    <t>Réaliser des audits internes</t>
  </si>
  <si>
    <t>Non-conformité avec le standard qualité</t>
  </si>
  <si>
    <t>Déviation des pratiques</t>
  </si>
  <si>
    <t>Rapport d’audit</t>
  </si>
  <si>
    <t>Le protocole a-t-il été audité ?</t>
  </si>
  <si>
    <t>Vérification de conformité</t>
  </si>
  <si>
    <t>Intégrer les retours utilisateurs</t>
  </si>
  <si>
    <t>Récurrence des erreurs</t>
  </si>
  <si>
    <t>Protocole figé</t>
  </si>
  <si>
    <t>Retex</t>
  </si>
  <si>
    <t>Des améliorations ont-elles été proposées ?</t>
  </si>
  <si>
    <t>Retours d’expérience disponibles</t>
  </si>
  <si>
    <t>Appliquer le protocole sur un projet pilote</t>
  </si>
  <si>
    <t>Mise en œuvre inefficace</t>
  </si>
  <si>
    <t>Protocole non éprouvé</t>
  </si>
  <si>
    <t>Historique de projets</t>
  </si>
  <si>
    <t>A-t-il été mis en œuvre sur des projets précédents ?</t>
  </si>
  <si>
    <t>Exécution du protocole sur un projet</t>
  </si>
  <si>
    <t>S’assurer que le protocole de recette a été testé ;</t>
  </si>
  <si>
    <t>Archiver systématiquement les tests</t>
  </si>
  <si>
    <t>Difficulté à prouver la qualité</t>
  </si>
  <si>
    <t>Pertes d’information</t>
  </si>
  <si>
    <t>Registre des résultats</t>
  </si>
  <si>
    <t>Les résultats sont-ils documentés ?</t>
  </si>
  <si>
    <t>Archivage des résultats</t>
  </si>
  <si>
    <t>Définir des KPIs de validation</t>
  </si>
  <si>
    <t>Recette incomplète</t>
  </si>
  <si>
    <t>Grille d’acceptation</t>
  </si>
  <si>
    <t>Des critères objectifs de validation sont-ils établis ?</t>
  </si>
  <si>
    <t>Critères d’acceptation définis</t>
  </si>
  <si>
    <t>Créer un environnement proche de la production</t>
  </si>
  <si>
    <t>Défauts non détectés</t>
  </si>
  <si>
    <t>Tests non réalistes</t>
  </si>
  <si>
    <t>Plateforme de test</t>
  </si>
  <si>
    <t>Un environnement de recette est-il prévu ?</t>
  </si>
  <si>
    <t>Environnement dédié</t>
  </si>
  <si>
    <t>Impliquer les métiers dans les tests</t>
  </si>
  <si>
    <t>Rejet ou mauvaise adoption</t>
  </si>
  <si>
    <t>Recette déconnectée du terrain</t>
  </si>
  <si>
    <t>Les utilisateurs finaux participent-ils à la recette ?</t>
  </si>
  <si>
    <t>Implication des utilisateurs</t>
  </si>
  <si>
    <t>Documenter un protocole standard</t>
  </si>
  <si>
    <t>Bugs en environnement réel</t>
  </si>
  <si>
    <t>Mise en production non testée</t>
  </si>
  <si>
    <t>Document de recette</t>
  </si>
  <si>
    <t>Y a-t-il un protocole de validation avant mise en service ?</t>
  </si>
  <si>
    <t>Existence de procédures de recette</t>
  </si>
  <si>
    <t>S’assurer qu’un protocole de recette existe ;</t>
  </si>
  <si>
    <t>Mettre en place un système de surveillance continue</t>
  </si>
  <si>
    <t>Perte de disponibilité ou de données</t>
  </si>
  <si>
    <t>Dysfonctionnement silencieux</t>
  </si>
  <si>
    <t>Outils de monitoring</t>
  </si>
  <si>
    <t>L’application est-elle supervisée en production ?</t>
  </si>
  <si>
    <t>Surveillance de l’exploitation</t>
  </si>
  <si>
    <t>Implémenter une validation stricte</t>
  </si>
  <si>
    <t>Défaçage ou corruption de données</t>
  </si>
  <si>
    <t>Injection de code</t>
  </si>
  <si>
    <t>Code source / framework</t>
  </si>
  <si>
    <t>Les entrées sont-elles validées côté serveur ?</t>
  </si>
  <si>
    <t>Contrôle des entrées utilisateur</t>
  </si>
  <si>
    <t>Implémenter une journalisation complète</t>
  </si>
  <si>
    <t>Intrusion indétectable</t>
  </si>
  <si>
    <t>Aucune traçabilité</t>
  </si>
  <si>
    <t>Logs applicatifs</t>
  </si>
  <si>
    <t>Les actions utilisateurs sont-elles tracées ?</t>
  </si>
  <si>
    <t>Journalisation dans l’application</t>
  </si>
  <si>
    <t>Appliquer les correctifs sans délai</t>
  </si>
  <si>
    <t>Attaques opportunistes</t>
  </si>
  <si>
    <t>Exploitation de failles connues</t>
  </si>
  <si>
    <t>Gestion des patchs</t>
  </si>
  <si>
    <t>Les failles connues sont-elles corrigées rapidement ?</t>
  </si>
  <si>
    <t>Correctifs et mises à jour</t>
  </si>
  <si>
    <t>Réaliser des tests réguliers</t>
  </si>
  <si>
    <t>Exploitation d’une faille</t>
  </si>
  <si>
    <t>Vulnérabilités inconnues</t>
  </si>
  <si>
    <t>Rapports de tests</t>
  </si>
  <si>
    <t>Des tests (intrusion, code review) sont-ils effectués ?</t>
  </si>
  <si>
    <t>Tests de sécurité</t>
  </si>
  <si>
    <t>S’assurer que la sécurité des systèmes d'application est effective.</t>
  </si>
  <si>
    <t>Instaurer un processus de mise à jour systématique</t>
  </si>
  <si>
    <t>Failles introduites</t>
  </si>
  <si>
    <t>Exigences obsolètes</t>
  </si>
  <si>
    <t>Versionning</t>
  </si>
  <si>
    <t>Sont-elles mises à jour à chaque évolution du système ?</t>
  </si>
  <si>
    <t>Mise à jour des exigences</t>
  </si>
  <si>
    <t>Aligner les exigences aux orientations globales SSI</t>
  </si>
  <si>
    <t>Mise en œuvre inadaptée</t>
  </si>
  <si>
    <t>Incohérences</t>
  </si>
  <si>
    <t>Référentiels internes</t>
  </si>
  <si>
    <t>Sont-elles cohérentes avec la politique générale ?</t>
  </si>
  <si>
    <t>Alignement avec la politique de sécurité</t>
  </si>
  <si>
    <t>Créer une base documentaire claire</t>
  </si>
  <si>
    <t>Mauvaise implémentation</t>
  </si>
  <si>
    <t>Connaissance partielle</t>
  </si>
  <si>
    <t>Sont-elles formalisées et diffusées ?</t>
  </si>
  <si>
    <t>Documentation des exigences</t>
  </si>
  <si>
    <t>Impliquer la sécurité dans les comités projets</t>
  </si>
  <si>
    <t>Risques mal couverts</t>
  </si>
  <si>
    <t>Exigences incomplètes</t>
  </si>
  <si>
    <t>Les exigences sont-elles revues et validées par la SSI ?</t>
  </si>
  <si>
    <t>Revue des exigences</t>
  </si>
  <si>
    <t>Intégrer la sécurité dès les phases de conception</t>
  </si>
  <si>
    <t>Vulnérabilités structurelles</t>
  </si>
  <si>
    <t>Manque de sécurité dès la base</t>
  </si>
  <si>
    <t>Cahier des charges</t>
  </si>
  <si>
    <t>Des exigences de sécurité sont-elles définies dès la conception ?</t>
  </si>
  <si>
    <t>Spécifications de sécurité</t>
  </si>
  <si>
    <t>S’assurer que les exigences de sécurité des systèmes existent ;</t>
  </si>
  <si>
    <t>Développement et maintenance des systèmes.</t>
  </si>
  <si>
    <t>Associer chaque incident à un plan d’amélioration suivi</t>
  </si>
  <si>
    <t>Réapparition de l’incident</t>
  </si>
  <si>
    <t>Risque persistant</t>
  </si>
  <si>
    <t>Plan d’actions</t>
  </si>
  <si>
    <t>Des actions correctives sont-elles systématiquement définies ?</t>
  </si>
  <si>
    <t>Plan d’amélioration suite à incident</t>
  </si>
  <si>
    <t>Définir des canaux clairs de communication</t>
  </si>
  <si>
    <t>Réponse inadéquate</t>
  </si>
  <si>
    <t>Mauvaise coordination</t>
  </si>
  <si>
    <t>Procédure d’escalade</t>
  </si>
  <si>
    <t>Les incidents sont-ils communiqués aux parties concernées ?</t>
  </si>
  <si>
    <t>Communication et alerte</t>
  </si>
  <si>
    <t>Mettre en œuvre des revues post-incident</t>
  </si>
  <si>
    <t>Non-apprentissage des erreurs</t>
  </si>
  <si>
    <t>Répétition de vulnérabilités</t>
  </si>
  <si>
    <t>Rapport d’analyse</t>
  </si>
  <si>
    <t>Une analyse des causes est-elle systématique ?</t>
  </si>
  <si>
    <t>Analyse post-incident</t>
  </si>
  <si>
    <t>Tenir un journal structuré</t>
  </si>
  <si>
    <t>Répétition des erreurs</t>
  </si>
  <si>
    <t>Incidents oubliés</t>
  </si>
  <si>
    <t>Registre</t>
  </si>
  <si>
    <t>Les incidents sont-ils enregistrés et tracés ?</t>
  </si>
  <si>
    <t>Formaliser et diffuser la procédure</t>
  </si>
  <si>
    <t>Gestion inefficace des crises</t>
  </si>
  <si>
    <t>Réactions désorganisées</t>
  </si>
  <si>
    <t>Manuel ou politique</t>
  </si>
  <si>
    <t>Existe-t-il une procédure formelle de gestion des incidents ?</t>
  </si>
  <si>
    <t>Vérifier que des suites sont systématiquement données aux incidents.</t>
  </si>
  <si>
    <t>Intégrer ces risques dans les formations SSI</t>
  </si>
  <si>
    <t>Fuite d’information, infection</t>
  </si>
  <si>
    <t>Mauvaise utilisation</t>
  </si>
  <si>
    <t>Support de formation</t>
  </si>
  <si>
    <t>Les utilisateurs mobiles sont-ils formés aux risques spécifiques ?</t>
  </si>
  <si>
    <t>Sensibilisation des utilisateurs mobiles</t>
  </si>
  <si>
    <t>Déployer une solution MDM (Mobile Device Management)</t>
  </si>
  <si>
    <t>Risque de non-maîtrise</t>
  </si>
  <si>
    <t>Impossibilité de réaction</t>
  </si>
  <si>
    <t>MDM</t>
  </si>
  <si>
    <t>Les terminaux sont-ils gérables à distance (effacement, blocage) ?</t>
  </si>
  <si>
    <t>Gestion à distance des terminaux</t>
  </si>
  <si>
    <t>Implémenter une double authentification</t>
  </si>
  <si>
    <t>Compromission du système</t>
  </si>
  <si>
    <t>Accès non protégé</t>
  </si>
  <si>
    <t>MDM, MFA</t>
  </si>
  <si>
    <t>Les accès mobiles nécessitent-ils une authentification forte ?</t>
  </si>
  <si>
    <t>Authentification sur mobile</t>
  </si>
  <si>
    <t>Imposer le chiffrement systématique</t>
  </si>
  <si>
    <t>Accès à des données sensibles</t>
  </si>
  <si>
    <t>Perte ou vol d’appareil</t>
  </si>
  <si>
    <t>Configuration de sécurité</t>
  </si>
  <si>
    <t>Les données sur les appareils sont-elles chiffrées ?</t>
  </si>
  <si>
    <t>Chiffrement des données mobiles</t>
  </si>
  <si>
    <t>Définir des règles précises pour les appareils mobiles</t>
  </si>
  <si>
    <t>Usage non encadré</t>
  </si>
  <si>
    <t>Politique mobilité</t>
  </si>
  <si>
    <t>Existe-t-il une politique de gestion des appareils mobiles ?</t>
  </si>
  <si>
    <t>Politique spécifique pour les appareils</t>
  </si>
  <si>
    <t>Vérifier que la gestion de l'informatique mobile est prise en compte ;</t>
  </si>
  <si>
    <t>Mettre en place une supervision H24</t>
  </si>
  <si>
    <t>Perte de données, non-conformité</t>
  </si>
  <si>
    <t>Retard de réaction</t>
  </si>
  <si>
    <t>Équipe de supervision</t>
  </si>
  <si>
    <t>Un service supervise-t-il en continu les activités ?</t>
  </si>
  <si>
    <t>Surveillance 24/7</t>
  </si>
  <si>
    <t>Définir une politique de rétention des logs</t>
  </si>
  <si>
    <t>Audit impossible</t>
  </si>
  <si>
    <t>Absence de preuves</t>
  </si>
  <si>
    <t>Politique de conservation</t>
  </si>
  <si>
    <t>Les journaux sont-ils conservés suffisamment longtemps ?</t>
  </si>
  <si>
    <t>Archivage des journaux</t>
  </si>
  <si>
    <t>Utiliser un IDS ou un outil d’analyse comportementale</t>
  </si>
  <si>
    <t>Dommages prolongés</t>
  </si>
  <si>
    <t>Intrusion non détectée</t>
  </si>
  <si>
    <t>Outil de détection</t>
  </si>
  <si>
    <t>Des alertes automatiques sont-elles déclenchées ?</t>
  </si>
  <si>
    <t>Détection des anomalies</t>
  </si>
  <si>
    <t>Centraliser les journaux d’événements</t>
  </si>
  <si>
    <t>Temps d’analyse élevé</t>
  </si>
  <si>
    <t>Logs éparpillés</t>
  </si>
  <si>
    <t>SIEM</t>
  </si>
  <si>
    <t>Les logs sont-ils envoyés vers un outil centralisé ?</t>
  </si>
  <si>
    <t>Intégration dans un système central</t>
  </si>
  <si>
    <t>Activer la journalisation complète</t>
  </si>
  <si>
    <t>Impossibilité d’enquête</t>
  </si>
  <si>
    <t>Non-traçabilité</t>
  </si>
  <si>
    <t>Fichiers logs</t>
  </si>
  <si>
    <t>Des logs d’activités sont-ils générés ?</t>
  </si>
  <si>
    <t>Existence d’un journal des événements</t>
  </si>
  <si>
    <t>Vérifier que la surveillance des accès aux systèmes et leur utilisation sont effectives ;</t>
  </si>
  <si>
    <t>Mettre en place des restrictions par IP/zone</t>
  </si>
  <si>
    <t>Exposition excessive</t>
  </si>
  <si>
    <t>Accès mondial</t>
  </si>
  <si>
    <t>Outils de géofencing</t>
  </si>
  <si>
    <t>L’accès est-il restreint géographiquement ?</t>
  </si>
  <si>
    <t>Restriction par adresse IP ou géolocalisation</t>
  </si>
  <si>
    <t>Tenir un journal des accès</t>
  </si>
  <si>
    <t>Investigation impossible</t>
  </si>
  <si>
    <t>L’historique des connexions est-il conservé ?</t>
  </si>
  <si>
    <t>Suivi des connexions</t>
  </si>
  <si>
    <t>Activer les timeouts automatiques</t>
  </si>
  <si>
    <t>Usurpation de session</t>
  </si>
  <si>
    <t>Sessions trop longues</t>
  </si>
  <si>
    <t>Configuration applicative</t>
  </si>
  <si>
    <t>Y a-t-il une expiration automatique de session ?</t>
  </si>
  <si>
    <t>Contrôle des sessions</t>
  </si>
  <si>
    <t>Réaliser des revues régulières des droits</t>
  </si>
  <si>
    <t>Fuite ou altération de données</t>
  </si>
  <si>
    <t>Accès injustifié</t>
  </si>
  <si>
    <t>Matrice des rôles</t>
  </si>
  <si>
    <t>Les permissions sont-elles adaptées à chaque profil ?</t>
  </si>
  <si>
    <t>Gestion des rôles et permissions</t>
  </si>
  <si>
    <t>Appliquer l’authentification individuelle</t>
  </si>
  <si>
    <t>Traçabilité impossible</t>
  </si>
  <si>
    <t>Compte partagé</t>
  </si>
  <si>
    <t>Politique d’accès applicative</t>
  </si>
  <si>
    <t>L’accès nécessite-t-il une authentification ?</t>
  </si>
  <si>
    <t>Authentification utilisateur</t>
  </si>
  <si>
    <t>Vérifier que le contrôle d'accès aux applications est effectif ;</t>
  </si>
  <si>
    <t>Procédure rapide de suppression des comptes</t>
  </si>
  <si>
    <t>Accès par des anciens utilisateurs</t>
  </si>
  <si>
    <t>Compte inactif</t>
  </si>
  <si>
    <t>Procédure de désactivation</t>
  </si>
  <si>
    <t>Les accès obsolètes sont-ils supprimés rapidement ?</t>
  </si>
  <si>
    <t>Révocation des accès</t>
  </si>
  <si>
    <t>Garder l’historique des connexions</t>
  </si>
  <si>
    <t>Incompatibilité avec audits</t>
  </si>
  <si>
    <t>Absence de traçabilité</t>
  </si>
  <si>
    <t>Journaux d’accès</t>
  </si>
  <si>
    <t>Les connexions sont-elles tracées ?</t>
  </si>
  <si>
    <t>Limiter l’accès aux fichiers sensibles</t>
  </si>
  <si>
    <t>Dysfonctionnement ou sabotage</t>
  </si>
  <si>
    <t>Modification non autorisée</t>
  </si>
  <si>
    <t>Droits système</t>
  </si>
  <si>
    <t>Les fichiers critiques sont-ils protégés en écriture ?</t>
  </si>
  <si>
    <t>Protection des fichiers systèmes</t>
  </si>
  <si>
    <t>Escalade de privilèges</t>
  </si>
  <si>
    <t>Droit excessif</t>
  </si>
  <si>
    <t>Matrice des privilèges</t>
  </si>
  <si>
    <t>Les droits sont-ils limités au strict nécessaire ?</t>
  </si>
  <si>
    <t>Gestion des privilèges</t>
  </si>
  <si>
    <t>Exiger une authentification forte</t>
  </si>
  <si>
    <t>Compromission des données</t>
  </si>
  <si>
    <t>Accès anonyme</t>
  </si>
  <si>
    <t>Politique d’accès</t>
  </si>
  <si>
    <t>Une authentification est-elle nécessaire pour accéder ?</t>
  </si>
  <si>
    <t>Authentification obligatoire</t>
  </si>
  <si>
    <t>Vérifier que le contrôle d'accès aux systèmes d'exploitation est effectif ;</t>
  </si>
  <si>
    <t>Intégrer une solution de détection d’intrusion</t>
  </si>
  <si>
    <t>SIEM / IDS</t>
  </si>
  <si>
    <t>Des alertes sont-elles déclenchées en cas d'accès anormal ?</t>
  </si>
  <si>
    <t>Supervision des connexions</t>
  </si>
  <si>
    <t>Activer la journalisation réseau</t>
  </si>
  <si>
    <t>Difficulté à détecter une attaque</t>
  </si>
  <si>
    <t>Absence de preuve</t>
  </si>
  <si>
    <t>Fichier journal</t>
  </si>
  <si>
    <t>Journalisation des connexions</t>
  </si>
  <si>
    <t>Segmenter les réseaux (ex : VLAN)</t>
  </si>
  <si>
    <t>Propagation des malwares</t>
  </si>
  <si>
    <t>Contamination croisée</t>
  </si>
  <si>
    <t>Schéma réseau</t>
  </si>
  <si>
    <t>Les réseaux sensibles sont-ils isolés ?</t>
  </si>
  <si>
    <t>Isolation des réseaux</t>
  </si>
  <si>
    <t>Utiliser des mécanismes forts d’authentification</t>
  </si>
  <si>
    <t>Compromission du réseau interne</t>
  </si>
  <si>
    <t>Usurpation d’identité</t>
  </si>
  <si>
    <t>Système d’authentification</t>
  </si>
  <si>
    <t>L’accès réseau requiert-il une authentification ?</t>
  </si>
  <si>
    <t>Authentification réseau</t>
  </si>
  <si>
    <t>Mettre à jour régulièrement les règles de filtrage</t>
  </si>
  <si>
    <t>Intrusions, fuites de données</t>
  </si>
  <si>
    <t>Politique de filtrage</t>
  </si>
  <si>
    <t>Des règles de pare-feu sont-elles mises en œuvre ?</t>
  </si>
  <si>
    <t>Filtrage des connexions</t>
  </si>
  <si>
    <t>Vérifier que le contrôle des accès aux réseaux est effectif ;</t>
  </si>
  <si>
    <t>Réaliser des vérifications périodiques</t>
  </si>
  <si>
    <t>Conformité non démontrable</t>
  </si>
  <si>
    <t>Non-application des règles</t>
  </si>
  <si>
    <t>Journal des audits</t>
  </si>
  <si>
    <t>Des contrôles sont-ils faits sur le respect de ces règles ?</t>
  </si>
  <si>
    <t>Revue régulière de l’efficacité</t>
  </si>
  <si>
    <t>Imposer authentification post-inactivité</t>
  </si>
  <si>
    <t>Prise de contrôle facile</t>
  </si>
  <si>
    <t>Reconnexion sans contrôle</t>
  </si>
  <si>
    <t>Système d’exploitation</t>
  </si>
  <si>
    <t>Faut-il se réauthentifier après coupure ?</t>
  </si>
  <si>
    <t>Mots de passe requis à la reconnexion</t>
  </si>
  <si>
    <t>Intégrer dans les formations SSI</t>
  </si>
  <si>
    <t>Usage détourné des sessions</t>
  </si>
  <si>
    <t>Sessions non fermées</t>
  </si>
  <si>
    <t>Guide utilisateur</t>
  </si>
  <si>
    <t>Les utilisateurs sont-ils informés ?</t>
  </si>
  <si>
    <t>Sensibilisation à la déconnexion manuelle</t>
  </si>
  <si>
    <t>Adapter selon criticité des postes</t>
  </si>
  <si>
    <t>Fenêtre de vulnérabilité</t>
  </si>
  <si>
    <t>Durée excessive</t>
  </si>
  <si>
    <t>Paramétrage</t>
  </si>
  <si>
    <t>La durée d’inactivité avant déconnexion est-elle raisonnable ?</t>
  </si>
  <si>
    <t>Durée de la session limitée</t>
  </si>
  <si>
    <t>Appliquer le time-out automatique</t>
  </si>
  <si>
    <t>Sessions ouvertes</t>
  </si>
  <si>
    <t>Politique de sécurité</t>
  </si>
  <si>
    <t>Est-ce configuré sur les postes ?</t>
  </si>
  <si>
    <t>Activation de la déconnexion automatique</t>
  </si>
  <si>
    <t>S’assurer que l'utilisation de mots de passe et de systèmes de déconnexion automatique est effective ;</t>
  </si>
  <si>
    <t>Tenir à jour un registre des droits</t>
  </si>
  <si>
    <t>Impossibilité d’audit ou de justification</t>
  </si>
  <si>
    <t>Mauvais suivi</t>
  </si>
  <si>
    <t>Les accès sont-ils documentés ?</t>
  </si>
  <si>
    <t>Documentation des accès</t>
  </si>
  <si>
    <t>Respecter le principe de séparation des tâches</t>
  </si>
  <si>
    <t>Détournement de responsabilités</t>
  </si>
  <si>
    <t>Conflits d’intérêt</t>
  </si>
  <si>
    <t>Les droits sont-ils segmentés par rôle ?</t>
  </si>
  <si>
    <t>Ségrégation des droits</t>
  </si>
  <si>
    <t>Réaliser une revue semestrielle</t>
  </si>
  <si>
    <t>Utilisation abusive ou inappropriée</t>
  </si>
  <si>
    <t>Droits dépassés</t>
  </si>
  <si>
    <t>Registre de contrôle</t>
  </si>
  <si>
    <t>Des revues de droits sont-elles réalisées ?</t>
  </si>
  <si>
    <t>Revue régulière des habilitations</t>
  </si>
  <si>
    <t>Implémenter des règles de désactivation automatique</t>
  </si>
  <si>
    <t>Intrusion via compte oublié</t>
  </si>
  <si>
    <t>Compte zombie</t>
  </si>
  <si>
    <t>Paramétrage des systèmes</t>
  </si>
  <si>
    <t>Les comptes inactifs sont-ils désactivés automatiquement ?</t>
  </si>
  <si>
    <t>Suppression des comptes inactifs</t>
  </si>
  <si>
    <t>Imposer une validation hiérarchique</t>
  </si>
  <si>
    <t>Attribution non autorisée</t>
  </si>
  <si>
    <t>Procédure d’habilitation</t>
  </si>
  <si>
    <t>L’attribution des comptes suit-elle une procédure validée ?</t>
  </si>
  <si>
    <t>Création contrôlée des accès</t>
  </si>
  <si>
    <t>S’assurer que la gestion des accès utilisateurs est effective ;</t>
  </si>
  <si>
    <t>Mettre à jour à chaque changement majeur</t>
  </si>
  <si>
    <t>Accès non révoqué</t>
  </si>
  <si>
    <t>Obsolescence</t>
  </si>
  <si>
    <t>Historique de modification</t>
  </si>
  <si>
    <t>Est-il mis à jour suite aux changements organisationnels ?</t>
  </si>
  <si>
    <t>Mise à jour régulière</t>
  </si>
  <si>
    <t>Rendre accessible à tous les profils concernés</t>
  </si>
  <si>
    <t>Attribution non conforme</t>
  </si>
  <si>
    <t>Décisions mal éclairées</t>
  </si>
  <si>
    <t>Intranet sécurisé</t>
  </si>
  <si>
    <t>Le document est-il disponible aux administrateurs ?</t>
  </si>
  <si>
    <t>Documentation accessible</t>
  </si>
  <si>
    <t>Définir les rôles responsables de validation</t>
  </si>
  <si>
    <t>Attribution non validée</t>
  </si>
  <si>
    <t>Ambiguïté</t>
  </si>
  <si>
    <t>Fiches de responsabilité</t>
  </si>
  <si>
    <t>Qui attribue et contrôle les droits ?</t>
  </si>
  <si>
    <t>Répartition des responsabilités</t>
  </si>
  <si>
    <t>Privileges excessifs</t>
  </si>
  <si>
    <t>Attribution arbitraire</t>
  </si>
  <si>
    <t>Matrice de droits</t>
  </si>
  <si>
    <t>Les accès sont-ils basés sur les rôles ?</t>
  </si>
  <si>
    <t>Classification des droits</t>
  </si>
  <si>
    <t>Rédiger une politique claire</t>
  </si>
  <si>
    <t>Fuites ou intrusions</t>
  </si>
  <si>
    <t>Accès non maîtrisé</t>
  </si>
  <si>
    <t>Politique contrôle accès</t>
  </si>
  <si>
    <t>Un document formalisé existe-t-il ?</t>
  </si>
  <si>
    <t>Existence d’un document de politique</t>
  </si>
  <si>
    <t>Vérifier que la définition et la documentation de la politique de contrôle d'accès existent ;</t>
  </si>
  <si>
    <t>Contrôle des accès ;</t>
  </si>
  <si>
    <t>Vérifier que la procédure de gestion des mots de passe statue sur leur réinitialisation.</t>
  </si>
  <si>
    <t>Vérifier que la procédure de gestion des mots de passe statue sur leur diffusion ;</t>
  </si>
  <si>
    <t>Vérifier que la procédure de gestion des mots de passe statue sur leur stockage ;</t>
  </si>
  <si>
    <t>Empêcher la réutilisation de X derniers mots</t>
  </si>
  <si>
    <t>Réutilisation des anciens mots</t>
  </si>
  <si>
    <t>Boucle de sécurité faible</t>
  </si>
  <si>
    <t>Paramétrage AD/SIEM</t>
  </si>
  <si>
    <t>Les anciens mots sont-ils bloqués à la réutilisation ?</t>
  </si>
  <si>
    <t>Historique des mots utilisés</t>
  </si>
  <si>
    <t>Vérifier l’identité lors de chaque réinitialisation</t>
  </si>
  <si>
    <t>Accès frauduleux</t>
  </si>
  <si>
    <t>Usurpation</t>
  </si>
  <si>
    <t>Fiche de procédure</t>
  </si>
  <si>
    <t>La procédure impose-t-elle des vérifications ?</t>
  </si>
  <si>
    <t>Réinitialisation sécurisée</t>
  </si>
  <si>
    <t>Sanctionner le partage de mots de passe</t>
  </si>
  <si>
    <t>Perte de traçabilité</t>
  </si>
  <si>
    <t>Partage d’identifiants</t>
  </si>
  <si>
    <t>Politique interne</t>
  </si>
  <si>
    <t>Est-il interdit de diffuser un mot de passe ?</t>
  </si>
  <si>
    <t>Diffusion contrôlée</t>
  </si>
  <si>
    <t>Utiliser le chiffrement fort type bcrypt</t>
  </si>
  <si>
    <t>Intrusion</t>
  </si>
  <si>
    <t>Fuite d’identifiants</t>
  </si>
  <si>
    <t>Configuration système</t>
  </si>
  <si>
    <t>Le stockage est-il chiffré ?</t>
  </si>
  <si>
    <t>Stockage sécurisé</t>
  </si>
  <si>
    <t>Appliquer une restriction technique</t>
  </si>
  <si>
    <t>Accès facilitant les attaques</t>
  </si>
  <si>
    <t>Réutilisation trop fréquente</t>
  </si>
  <si>
    <t>Texte de procédure</t>
  </si>
  <si>
    <t>La procédure interdit-elle la réutilisation de mots de passe ?</t>
  </si>
  <si>
    <t>Réutilisation interdite</t>
  </si>
  <si>
    <t>Vérifier que la procédure de gestion des mots de passe statue sur leur réutilisation ;</t>
  </si>
  <si>
    <t>Valider la procédure officiellement</t>
  </si>
  <si>
    <t>Refus d’adoption</t>
  </si>
  <si>
    <t>Application incomplète</t>
  </si>
  <si>
    <t>Mail ou PV</t>
  </si>
  <si>
    <t>A-t-elle été validée par la direction ?</t>
  </si>
  <si>
    <t>Validation de la procédure</t>
  </si>
  <si>
    <t>Revoir tous les 12 mois ou après incident</t>
  </si>
  <si>
    <t>Inadéquation avec les risques actuels</t>
  </si>
  <si>
    <t>Obsolescence des pratiques</t>
  </si>
  <si>
    <t>Historique de versions</t>
  </si>
  <si>
    <t>Est-elle revue régulièrement ?</t>
  </si>
  <si>
    <t>Révision périodique</t>
  </si>
  <si>
    <t>Diffuser largement la procédure</t>
  </si>
  <si>
    <t>Non-respect de bonnes pratiques</t>
  </si>
  <si>
    <t>Ignorance des règles</t>
  </si>
  <si>
    <t>Intranet ou base documentaire</t>
  </si>
  <si>
    <t>Est-elle disponible aux utilisateurs ?</t>
  </si>
  <si>
    <t>Accessibilité de la procédure</t>
  </si>
  <si>
    <t>S’assurer de la couverture de tout le cycle</t>
  </si>
  <si>
    <t>Accès non révoqué, fuites</t>
  </si>
  <si>
    <t>Gestion incomplète</t>
  </si>
  <si>
    <t>Couvre-t-elle création, changement, révocation, oubli ?</t>
  </si>
  <si>
    <t>Couverture du cycle de vie</t>
  </si>
  <si>
    <t>Rédiger une procédure exhaustive</t>
  </si>
  <si>
    <t>Erreurs de gestion</t>
  </si>
  <si>
    <t>Pratiques incohérentes</t>
  </si>
  <si>
    <t>Procédure formelle</t>
  </si>
  <si>
    <t>Un document officiel existe-t-il ?</t>
  </si>
  <si>
    <t>Existence d’une procédure formalisée</t>
  </si>
  <si>
    <t>Vérifier qu’il existe une procédure de gestion des mots de passe ;</t>
  </si>
  <si>
    <t>Intégrer la gestion des mots de passe dans les formations</t>
  </si>
  <si>
    <t>Vulnérabilité aux attaques</t>
  </si>
  <si>
    <t>Choix naïf ou basique</t>
  </si>
  <si>
    <t>Programme de sensibilisation</t>
  </si>
  <si>
    <t>Sont-ils formés à choisir un mot de passe fort ?</t>
  </si>
  <si>
    <t>Formation utilisateurs</t>
  </si>
  <si>
    <t>Imposer un rejet systématique</t>
  </si>
  <si>
    <t>Compromission potentielle</t>
  </si>
  <si>
    <t>Acceptation de mots faibles</t>
  </si>
  <si>
    <t>Paramétrage applicatif</t>
  </si>
  <si>
    <t>Le système bloque-t-il un mot de passe trop simple ?</t>
  </si>
  <si>
    <t>Refus des mots non conformes</t>
  </si>
  <si>
    <t>Réaliser des audits périodiques sur la conformité</t>
  </si>
  <si>
    <t>Failles persistantes</t>
  </si>
  <si>
    <t>Laxisme</t>
  </si>
  <si>
    <t>Des audits de mots de passe sont-ils réalisés ?</t>
  </si>
  <si>
    <t>Tests réguliers</t>
  </si>
  <si>
    <t>Activer la traçabilité des changements</t>
  </si>
  <si>
    <t>Intrusions non détectées</t>
  </si>
  <si>
    <t>Actions non auditées</t>
  </si>
  <si>
    <t>Logs systèmes</t>
  </si>
  <si>
    <t>Journalisation des changements</t>
  </si>
  <si>
    <t>Appliquer un mécanisme systématique</t>
  </si>
  <si>
    <t>Faiblesse de protection</t>
  </si>
  <si>
    <t>Déviation manuelle possible</t>
  </si>
  <si>
    <t>Les systèmes vérifient-ils les règles lors de la saisie ?</t>
  </si>
  <si>
    <t>Vérification automatique</t>
  </si>
  <si>
    <t>Vérifier que ces règles sont respectées ;</t>
  </si>
  <si>
    <t>Réviser les règles selon les standards actuels</t>
  </si>
  <si>
    <t>Maintien de pratiques risquées</t>
  </si>
  <si>
    <t>Historique de sécurité</t>
  </si>
  <si>
    <t>Les règles sont-elles revues ?</t>
  </si>
  <si>
    <t>Diffuser les règles à chaque création ou changement</t>
  </si>
  <si>
    <t>Mot de passe faible par méconnaissance</t>
  </si>
  <si>
    <t>Guide utilisateur, affichage</t>
  </si>
  <si>
    <t>Communication des règles</t>
  </si>
  <si>
    <t>Activer la vérification de complexité</t>
  </si>
  <si>
    <t>Facilité de devinette</t>
  </si>
  <si>
    <t>Utilisation de mots simples</t>
  </si>
  <si>
    <t>Scripts ou outils de test</t>
  </si>
  <si>
    <t>Des contrôles sont-ils faits lors de la création du mot de passe ?</t>
  </si>
  <si>
    <t>Tests de robustesse activés</t>
  </si>
  <si>
    <t>Appliquer des paramètres de validation à la saisie</t>
  </si>
  <si>
    <t>Vulnérabilités aux attaques</t>
  </si>
  <si>
    <t>Contournement de règles</t>
  </si>
  <si>
    <t>Configuration systèmes</t>
  </si>
  <si>
    <t>Est-ce imposé techniquement ?</t>
  </si>
  <si>
    <t>Obligation d’utiliser des majuscules/minuscules</t>
  </si>
  <si>
    <t>Définir une politique avec exigence de casse</t>
  </si>
  <si>
    <t>Brèches par mot de passe simple</t>
  </si>
  <si>
    <t>Faiblesse de sécurité</t>
  </si>
  <si>
    <t>Politique SSI</t>
  </si>
  <si>
    <t>Existe-t-il une politique formalisée sur la complexité ?</t>
  </si>
  <si>
    <t>Politique de mot de passe définie</t>
  </si>
  <si>
    <t>Vérifier que des règles de gestion de la casse des mots de passe existent ;</t>
  </si>
  <si>
    <t>Mettre en place un système d’alerte préalable</t>
  </si>
  <si>
    <t>Interruption de service légitime</t>
  </si>
  <si>
    <t>Réclamations d’utilisateurs</t>
  </si>
  <si>
    <t>Procédure de notification</t>
  </si>
  <si>
    <t>Sont-ils prévenus avant désactivation ?</t>
  </si>
  <si>
    <t>Information des utilisateurs</t>
  </si>
  <si>
    <t>Intégrer un audit des comptes dormants</t>
  </si>
  <si>
    <t>Réactivation abusive</t>
  </si>
  <si>
    <t>Dormance invisible</t>
  </si>
  <si>
    <t>Des contrôles sont-ils réalisés ?</t>
  </si>
  <si>
    <t>Contrôle régulier</t>
  </si>
  <si>
    <t>Automatiser la désactivation après inactivité</t>
  </si>
  <si>
    <t>Accès illégitime</t>
  </si>
  <si>
    <t>Comptes oubliés</t>
  </si>
  <si>
    <t>Est-elle mise en œuvre techniquement ?</t>
  </si>
  <si>
    <t>Désactivation automatique</t>
  </si>
  <si>
    <t>Paramétrer l’expiration automatique des comptes</t>
  </si>
  <si>
    <t>Fuite d’informations</t>
  </si>
  <si>
    <t>Accès périmés actifs</t>
  </si>
  <si>
    <t>Paramétrage systèmes</t>
  </si>
  <si>
    <t>Le seuil de désactivation est-il défini (ex. 90 jours) ?</t>
  </si>
  <si>
    <t>Seuil d’inactivité identifié</t>
  </si>
  <si>
    <t>Définir une politique claire</t>
  </si>
  <si>
    <t>Incohérence des règles</t>
  </si>
  <si>
    <t>Document de politique</t>
  </si>
  <si>
    <t>Une politique de gestion de l’inactivité est-elle formalisée ?</t>
  </si>
  <si>
    <t>Politique d’inactivité définie</t>
  </si>
  <si>
    <t>Vérifier que les identifiants inutilisés pendant un certain délai sont révoqués ;</t>
  </si>
  <si>
    <t>Auditer les comptes tous les 6 mois</t>
  </si>
  <si>
    <t>Failles de sécurité persistantes</t>
  </si>
  <si>
    <t>Compte fantôme</t>
  </si>
  <si>
    <t>Audit utilisateurs</t>
  </si>
  <si>
    <t>Les comptes sont-ils audités régulièrement ?</t>
  </si>
  <si>
    <t>Revue régulière des comptes</t>
  </si>
  <si>
    <t>Revoir tous les accès utilisateurs</t>
  </si>
  <si>
    <t>Mauvais usage des ressources</t>
  </si>
  <si>
    <t>Attribution floue</t>
  </si>
  <si>
    <t>Droit d’accès nominatif</t>
  </si>
  <si>
    <t>Les droits sont-ils attribués de manière nominative ?</t>
  </si>
  <si>
    <t>Accès nominatif aux systèmes</t>
  </si>
  <si>
    <t>Activer la journalisation utilisateur</t>
  </si>
  <si>
    <t>Failles de sécurité non détectées</t>
  </si>
  <si>
    <t>Actions invisibles</t>
  </si>
  <si>
    <t>Logs</t>
  </si>
  <si>
    <t>Les connexions sont-elles tracées par utilisateur ?</t>
  </si>
  <si>
    <t>Supprimer les comptes génériques</t>
  </si>
  <si>
    <t>Détournements non identifiables</t>
  </si>
  <si>
    <t>Actions non traçables</t>
  </si>
  <si>
    <t>Les comptes partagés sont-ils proscrits ?</t>
  </si>
  <si>
    <t>Interdiction des comptes partagés</t>
  </si>
  <si>
    <t>Imposer l’usage de comptes individuels</t>
  </si>
  <si>
    <t>Non-traçabilité des actions</t>
  </si>
  <si>
    <t>Confusion d'identité</t>
  </si>
  <si>
    <t>Registre utilisateurs</t>
  </si>
  <si>
    <t>Chaque utilisateur dispose-t-il de son propre identifiant ?</t>
  </si>
  <si>
    <t>Unicité des identifiants</t>
  </si>
  <si>
    <t>Vérifier qu'il y a un seul utilisateur par identifiant ;</t>
  </si>
  <si>
    <t>Gestion des identifiants et des mots de passe ;</t>
  </si>
  <si>
    <t>Instaurer des points réguliers avec la direction</t>
  </si>
  <si>
    <t>Incohérence stratégique</t>
  </si>
  <si>
    <t>Isolement du poste</t>
  </si>
  <si>
    <t>CR réunions</t>
  </si>
  <si>
    <t>Rapporte-t-il régulièrement à la direction ?</t>
  </si>
  <si>
    <t>Reporting à la direction</t>
  </si>
  <si>
    <t>Inclure un dispositif de veille</t>
  </si>
  <si>
    <t>Non-conformité légale</t>
  </si>
  <si>
    <t>Veille juridique</t>
  </si>
  <si>
    <t>Suit-il les évolutions règlementaires ?</t>
  </si>
  <si>
    <t>Suivi régulier de la conformité</t>
  </si>
  <si>
    <t>Lui garantir l’accès total aux référentiels</t>
  </si>
  <si>
    <t>Non-conformité involontaire</t>
  </si>
  <si>
    <t>Décisions mal informées</t>
  </si>
  <si>
    <t>Accès documentaires</t>
  </si>
  <si>
    <t>A-t-il accès aux documents de référence ?</t>
  </si>
  <si>
    <t>Accès à l'information</t>
  </si>
  <si>
    <t>Détailler les missions de conformité</t>
  </si>
  <si>
    <t>Activités non réalisées</t>
  </si>
  <si>
    <t>Ambiguïtés</t>
  </si>
  <si>
    <t>Fiche de fonction</t>
  </si>
  <si>
    <t>Son rôle est-il bien documenté ?</t>
  </si>
  <si>
    <t>Rôle clairement défini</t>
  </si>
  <si>
    <t>Nommer officiellement avec fiche de poste</t>
  </si>
  <si>
    <t>Rôle non assumé ou conflit de responsabilités</t>
  </si>
  <si>
    <t>Flou organisationnel</t>
  </si>
  <si>
    <t>Note de service</t>
  </si>
  <si>
    <t>Le responsable conformité est-il nommé officiellement ?</t>
  </si>
  <si>
    <t>Désignation formelle</t>
  </si>
  <si>
    <t>S’assurer qu’un responsable conformité est désigné.</t>
  </si>
  <si>
    <t>Mettre en œuvre les actions correctives</t>
  </si>
  <si>
    <t>Non-conformité persistante</t>
  </si>
  <si>
    <t>Risque récurrent</t>
  </si>
  <si>
    <t>Plan d’action post-audit</t>
  </si>
  <si>
    <t>Les recommandations sont-elles traitées ?</t>
  </si>
  <si>
    <t>Suivi des recommandations</t>
  </si>
  <si>
    <t>Centraliser les rapports et justificatifs</t>
  </si>
  <si>
    <t>Perte d'information</t>
  </si>
  <si>
    <t>Dossier, référentiel</t>
  </si>
  <si>
    <t>Les résultats sont-ils archivés et accessibles ?</t>
  </si>
  <si>
    <t>Traçabilité et archivage</t>
  </si>
  <si>
    <t>Couvrir l’ensemble du périmètre réglementaire</t>
  </si>
  <si>
    <t>Amendes, sanctions</t>
  </si>
  <si>
    <t>Lacunes</t>
  </si>
  <si>
    <t>Check-list de conformité</t>
  </si>
  <si>
    <t>Les audits couvrent-ils toutes les obligations légales ?</t>
  </si>
  <si>
    <t>Couverture réglementaire</t>
  </si>
  <si>
    <t>Suivre l’exécution du plan</t>
  </si>
  <si>
    <t>Risque non maîtrisé</t>
  </si>
  <si>
    <t>Audit non effectué</t>
  </si>
  <si>
    <t>Rapports d’audit</t>
  </si>
  <si>
    <t>Les audits prévus ont-ils été réalisés ?</t>
  </si>
  <si>
    <t>Réalisation effective</t>
  </si>
  <si>
    <t>Planifier les audits avec validation direction</t>
  </si>
  <si>
    <t>Manque de conformité</t>
  </si>
  <si>
    <t>Audits oubliés</t>
  </si>
  <si>
    <t>Calendrier, planification</t>
  </si>
  <si>
    <t>Un plan d’audit annuel existe-t-il ?</t>
  </si>
  <si>
    <t>Planification annuelle des audits</t>
  </si>
  <si>
    <t>S’assurer que tous les audits réglementaires sont réalisés ;</t>
  </si>
  <si>
    <t>Suivre l’évolution de chaque point d’écart</t>
  </si>
  <si>
    <t>Maintien de non-conformités</t>
  </si>
  <si>
    <t>Correction incomplète</t>
  </si>
  <si>
    <t>Plan d’action, échéancier</t>
  </si>
  <si>
    <t>Les écarts identifiés sont-ils suivis avec un plan d’action ?</t>
  </si>
  <si>
    <t>Suivi des écarts</t>
  </si>
  <si>
    <t>Faire converger audits, analyses et document gap</t>
  </si>
  <si>
    <t>Actions inadaptées ou incomplètes</t>
  </si>
  <si>
    <t>Le document est-il aligné avec les constats d’audit ?</t>
  </si>
  <si>
    <t>Alignement avec les audits</t>
  </si>
  <si>
    <t>Impliquer les RSSI, juristes et métiers dans la rédaction</t>
  </si>
  <si>
    <t>Manque d’efficacité</t>
  </si>
  <si>
    <t>Appropriation insuffisante</t>
  </si>
  <si>
    <t>Réunions, validation</t>
  </si>
  <si>
    <t>Les responsables sécurité y contribuent-ils ?</t>
  </si>
  <si>
    <t>Mettre à jour après chaque évolution réglementaire</t>
  </si>
  <si>
    <t>Mauvaises décisions</t>
  </si>
  <si>
    <t>Décalage avec la réalité</t>
  </si>
  <si>
    <t>Est-il mis à jour régulièrement ?</t>
  </si>
  <si>
    <t>Fréquence de mise à jour</t>
  </si>
  <si>
    <t>Créer un document de cartographie des écarts</t>
  </si>
  <si>
    <t>Inertie, dérives réglementaires</t>
  </si>
  <si>
    <t>Absence de visibilité</t>
  </si>
  <si>
    <t>Document de gap analysis</t>
  </si>
  <si>
    <t>Ce document existe-t-il ?</t>
  </si>
  <si>
    <t>Existence du document de gap analysis</t>
  </si>
  <si>
    <t>S’assurer qu’un document retraçant le gap entre l’état actuel des politiques et procédures de sécurité interne et le cadre réglementaire existe et est tenu à jour ;</t>
  </si>
  <si>
    <t>Mettre à jour les documents à chaque évolution</t>
  </si>
  <si>
    <t>Obsolescence réglementaire</t>
  </si>
  <si>
    <t>Historique de modifications</t>
  </si>
  <si>
    <t>Les documents internes sont-ils mis à jour selon la loi ?</t>
  </si>
  <si>
    <t>Révision régulière des référentiels</t>
  </si>
  <si>
    <t>Sensibiliser la direction</t>
  </si>
  <si>
    <t>Décrochage stratégique</t>
  </si>
  <si>
    <t>Manque de soutien</t>
  </si>
  <si>
    <t>Compte-rendu de réunion</t>
  </si>
  <si>
    <t>La direction est-elle impliquée dans la démarche ?</t>
  </si>
  <si>
    <t>Implication de la direction</t>
  </si>
  <si>
    <t>Suivre les actions avec des indicateurs</t>
  </si>
  <si>
    <t>Échecs d’audit, amendes</t>
  </si>
  <si>
    <t>Actions incomplètes</t>
  </si>
  <si>
    <t>Tableau de suivi</t>
  </si>
  <si>
    <t>Des actions correctives sont-elles suivies ?</t>
  </si>
  <si>
    <t>Suivi des actions correctives</t>
  </si>
  <si>
    <t>Élaborer un plan de convergence clair</t>
  </si>
  <si>
    <t>Blocage réglementaire</t>
  </si>
  <si>
    <t>Non-alignement réglementaire</t>
  </si>
  <si>
    <t>Plan de mise en conformité</t>
  </si>
  <si>
    <t>Un plan d’alignement a-t-il été défini ?</t>
  </si>
  <si>
    <t>Plan de convergence</t>
  </si>
  <si>
    <t>Réaliser des audits de conformité nationale</t>
  </si>
  <si>
    <t>Retard dans la mise en conformité</t>
  </si>
  <si>
    <t>Écarts non identifiés</t>
  </si>
  <si>
    <t>Des audits ont-ils été réalisés ?</t>
  </si>
  <si>
    <t>Audit de conformité national</t>
  </si>
  <si>
    <t>Vérifier que la convergence vers le cadre règlementaire national est recherchée ;</t>
  </si>
  <si>
    <t>Former les équipes à la réglementation</t>
  </si>
  <si>
    <t>Comportement non conforme</t>
  </si>
  <si>
    <t>Ignorance du cadre légal</t>
  </si>
  <si>
    <t>Preuves de formation</t>
  </si>
  <si>
    <t>Les équipes connaissent-elles les obligations légales ?</t>
  </si>
  <si>
    <t>Réviser les procédures régulièrement</t>
  </si>
  <si>
    <t>Risques d’invalidation juridique</t>
  </si>
  <si>
    <t>Procédure dépassée</t>
  </si>
  <si>
    <t>Les procédures sont-elles adaptées aux nouvelles obligations ?</t>
  </si>
  <si>
    <t>Mise à jour des procédures</t>
  </si>
  <si>
    <t>Mettre en place un dispositif de veille juridique</t>
  </si>
  <si>
    <t>Non-respect des nouveautés légales</t>
  </si>
  <si>
    <t>Bulletin ou abonnement</t>
  </si>
  <si>
    <t>Une veille réglementaire est-elle effectuée ?</t>
  </si>
  <si>
    <t>Suivi réglementaire</t>
  </si>
  <si>
    <t>Réviser la politique selon le cadre légal</t>
  </si>
  <si>
    <t>Failles réglementaires</t>
  </si>
  <si>
    <t>Obligation non couverte</t>
  </si>
  <si>
    <t>Documentation des politiques</t>
  </si>
  <si>
    <t>Les exigences sont-elles intégrées dans la politique de sécurité ?</t>
  </si>
  <si>
    <t>Intégration dans la politique</t>
  </si>
  <si>
    <t>Mettre à jour les politiques selon les lois en vigueur</t>
  </si>
  <si>
    <t>Sanctions juridiques</t>
  </si>
  <si>
    <t>Non-conformité</t>
  </si>
  <si>
    <t>Étude de conformité</t>
  </si>
  <si>
    <t>Les exigences légales ont-elles été identifiées ?</t>
  </si>
  <si>
    <t>Analyse réglementaire réalisée</t>
  </si>
  <si>
    <t>Vérifier que les politique et procédures de sécurité internalisent les exigences légales et réglementaires ;</t>
  </si>
  <si>
    <t>Conformité ;</t>
  </si>
  <si>
    <t>Détruire les supports de manière sécurisée</t>
  </si>
  <si>
    <t>Révélation de données confidentielles</t>
  </si>
  <si>
    <t>Réutilisation non sécurisée</t>
  </si>
  <si>
    <t>Procédure écrite</t>
  </si>
  <si>
    <t>Une procédure est-elle prévue pour les supports obsolètes ?</t>
  </si>
  <si>
    <t>Procédure de destruction</t>
  </si>
  <si>
    <t>Restreindre les accès aux personnes autorisées</t>
  </si>
  <si>
    <t>Fuite ou destruction d'information</t>
  </si>
  <si>
    <t>Accès abusif ou accidentel</t>
  </si>
  <si>
    <t>Liste de contrôle</t>
  </si>
  <si>
    <t>Les accès aux supports sont-ils contrôlés ?</t>
  </si>
  <si>
    <t>Vérification des accès</t>
  </si>
  <si>
    <t>Former tous les utilisateurs</t>
  </si>
  <si>
    <t>Corruption ou perte de données</t>
  </si>
  <si>
    <t>Manipulation inappropriée</t>
  </si>
  <si>
    <t>Les utilisateurs sont-ils formés à la manipulation ?</t>
  </si>
  <si>
    <t>Sensibilisation des utilisateurs</t>
  </si>
  <si>
    <t>Mettre en place une politique de suivi</t>
  </si>
  <si>
    <t>Incidents non détectés</t>
  </si>
  <si>
    <t>Usage non autorisé</t>
  </si>
  <si>
    <t>Journal</t>
  </si>
  <si>
    <t>Existe-t-il un journal d’utilisation ?</t>
  </si>
  <si>
    <t>Suivi d'utilisation des supports</t>
  </si>
  <si>
    <t>Réaliser des audits réguliers</t>
  </si>
  <si>
    <t>Exposition des données sensibles</t>
  </si>
  <si>
    <t>Les règles établies sont-elles respectées ?</t>
  </si>
  <si>
    <t>Respect des procédures définies</t>
  </si>
  <si>
    <t>Vérifier que les modalités de gestion des supports de données sont appliquées.</t>
  </si>
  <si>
    <t>Activer la traçabilité sur tous les supports</t>
  </si>
  <si>
    <t>Difficulté à détecter les fuites</t>
  </si>
  <si>
    <t>Usage non contrôlé</t>
  </si>
  <si>
    <t>Journal d’accès</t>
  </si>
  <si>
    <t>Les accès sont-ils tracés et contrôlés ?</t>
  </si>
  <si>
    <t>Traçabilité des accès</t>
  </si>
  <si>
    <t>Stocker dans des lieux sécurisés</t>
  </si>
  <si>
    <t>Exploitation de données sensibles</t>
  </si>
  <si>
    <t>Contrôle d’accès</t>
  </si>
  <si>
    <t>Le stockage est-il sécurisé ?</t>
  </si>
  <si>
    <t>Encadrer les transferts (physique et numérique)</t>
  </si>
  <si>
    <t>Non-conformité RGPD</t>
  </si>
  <si>
    <t>Des règles sont-elles définies pour les échanges de supports ?</t>
  </si>
  <si>
    <t>Modalités de transfert</t>
  </si>
  <si>
    <t>Tenir un inventaire rigoureux</t>
  </si>
  <si>
    <t>Données introuvables ou volées</t>
  </si>
  <si>
    <t>Les supports sont-ils identifiés et inventoriés ?</t>
  </si>
  <si>
    <t>Inventaire des supports</t>
  </si>
  <si>
    <t>Établir une politique claire</t>
  </si>
  <si>
    <t>Perte ou vol de données</t>
  </si>
  <si>
    <t>Gestion anarchique</t>
  </si>
  <si>
    <t>Existe-t-il une politique formalisée ?</t>
  </si>
  <si>
    <t>Politique de gestion des supports</t>
  </si>
  <si>
    <t>Vérifier que les modalités de gestion des supports de données sont clairement définies;</t>
  </si>
  <si>
    <t>Protéger l'accès physique et logique aux sauvegardes</t>
  </si>
  <si>
    <t>Compromission de backup</t>
  </si>
  <si>
    <t>Clé de chiffrement, accès</t>
  </si>
  <si>
    <t>Sont-elles chiffrées et protégées ?</t>
  </si>
  <si>
    <t>Sécurisation des sauvegardes</t>
  </si>
  <si>
    <t>Utiliser un stockage distant</t>
  </si>
  <si>
    <t>Perte de données</t>
  </si>
  <si>
    <t>Catastrophe sur site</t>
  </si>
  <si>
    <t>Localisation des backups</t>
  </si>
  <si>
    <t>Les sauvegardes sont-elles externalisées ?</t>
  </si>
  <si>
    <t>Sauvegarde hors site</t>
  </si>
  <si>
    <t>Tester régulièrement les restaurations</t>
  </si>
  <si>
    <t>Fausses garanties de sécurité</t>
  </si>
  <si>
    <t>Sauvegarde inutilisable</t>
  </si>
  <si>
    <t>Rapport de test</t>
  </si>
  <si>
    <t>Les restaurations sont-elles testées ?</t>
  </si>
  <si>
    <t>Test de restauration</t>
  </si>
  <si>
    <t>Automatiser les sauvegardes</t>
  </si>
  <si>
    <t>Restauration incomplète</t>
  </si>
  <si>
    <t>Données obsolètes</t>
  </si>
  <si>
    <t>Journal de sauvegarde</t>
  </si>
  <si>
    <t>Les sauvegardes sont-elles régulières ?</t>
  </si>
  <si>
    <t>Fréquence des sauvegardes</t>
  </si>
  <si>
    <t>Formaliser et valider un plan de sauvegarde</t>
  </si>
  <si>
    <t>Perte définitive de données</t>
  </si>
  <si>
    <t>Données non sauvegardées</t>
  </si>
  <si>
    <t>Un plan de sauvegarde existe-t-il ?</t>
  </si>
  <si>
    <t>Plan de sauvegarde formalisé</t>
  </si>
  <si>
    <t>Vérifier que les sauvegardes des données sont réalisées ;</t>
  </si>
  <si>
    <t>Former régulièrement aux menaces logiques</t>
  </si>
  <si>
    <t>Infections évitables non anticipées</t>
  </si>
  <si>
    <t>Phishing, erreurs humaines</t>
  </si>
  <si>
    <t>Sont-ils informés des bonnes pratiques ?</t>
  </si>
  <si>
    <t>Mettre en place un filtrage de contenu</t>
  </si>
  <si>
    <t>Infection via navigation web</t>
  </si>
  <si>
    <t>Sites malveillants accessibles</t>
  </si>
  <si>
    <t>Logs de filtrage</t>
  </si>
  <si>
    <t>Un proxy ou filtre web est-il utilisé ?</t>
  </si>
  <si>
    <t>Sécurisation des accès à Internet</t>
  </si>
  <si>
    <t>Automatiser les analyses régulières</t>
  </si>
  <si>
    <t>Propagation silencieuse de virus</t>
  </si>
  <si>
    <t>Menace persistante</t>
  </si>
  <si>
    <t>Des scans sont-ils effectués régulièrement ?</t>
  </si>
  <si>
    <t>Analyse régulière des postes</t>
  </si>
  <si>
    <t>Mettre en place un système de gestion de correctifs</t>
  </si>
  <si>
    <t>Exploitation d'une faille connue</t>
  </si>
  <si>
    <t>Les systèmes sont-ils patchés ?</t>
  </si>
  <si>
    <t>Mises à jour régulières de sécurité</t>
  </si>
  <si>
    <t>Installer un antivirus à jour sur tous les terminaux</t>
  </si>
  <si>
    <t>Perte de données, indisponibilité</t>
  </si>
  <si>
    <t>Infection par malware</t>
  </si>
  <si>
    <t>Rapport d’installation</t>
  </si>
  <si>
    <t>Un antivirus est-il déployé sur tous les postes ?</t>
  </si>
  <si>
    <t>Logiciel antivirus installé</t>
  </si>
  <si>
    <t>Vérifier que les mesures de protection contre les infections logiques existent ;</t>
  </si>
  <si>
    <t>Vérifier qu’une étude de sécurité en cas de gestion externe des infrastructures a été réalisée ;</t>
  </si>
  <si>
    <t>Vérifier que la séparation des fonctions et des infrastructures existe ;</t>
  </si>
  <si>
    <t>Formaliser un processus d'amélioration continue</t>
  </si>
  <si>
    <t>Failles récurrentes</t>
  </si>
  <si>
    <t>Répétition des mêmes erreurs</t>
  </si>
  <si>
    <t>Rapport d’incident</t>
  </si>
  <si>
    <t>Des analyses post-incident sont-elles réalisées ?</t>
  </si>
  <si>
    <t>Revue post-incident</t>
  </si>
  <si>
    <t>Créer un plan de communication de crise</t>
  </si>
  <si>
    <t>Mauvaise gestion interne/externe</t>
  </si>
  <si>
    <t>Confusion, panique</t>
  </si>
  <si>
    <t>Plan de communication</t>
  </si>
  <si>
    <t>Non</t>
  </si>
  <si>
    <t>Y a-t-il un protocole de communication en place ?</t>
  </si>
  <si>
    <t>Communication pendant l'incident</t>
  </si>
  <si>
    <t>Attribuer des responsabilités précises</t>
  </si>
  <si>
    <t>Perte de temps, erreurs</t>
  </si>
  <si>
    <t>Incohérence de réponse</t>
  </si>
  <si>
    <t>Plan d’urgence</t>
  </si>
  <si>
    <t>Les rôles sont-ils clairement établis en cas d’incident ?</t>
  </si>
  <si>
    <t>Rôles et responsabilités définis</t>
  </si>
  <si>
    <t>Mettre en place des systèmes de détection</t>
  </si>
  <si>
    <t>Dommages étendus</t>
  </si>
  <si>
    <t>Alertes, journaux</t>
  </si>
  <si>
    <t>Pas</t>
  </si>
  <si>
    <t>L'organisation est-elle capable d’identifier un incident rapidement ?</t>
  </si>
  <si>
    <t>Identification rapide</t>
  </si>
  <si>
    <t>Documenter une procédure claire</t>
  </si>
  <si>
    <t>Aggravation de l'incident</t>
  </si>
  <si>
    <t>Réponse improvisée</t>
  </si>
  <si>
    <t>Guide de gestion des incidents</t>
  </si>
  <si>
    <t>Une procédure formelle de gestion des incidents existe-t-elle ?</t>
  </si>
  <si>
    <t>Existence d’une procédure</t>
  </si>
  <si>
    <t>Vérifier que des procédures de gestion des incidents existent;</t>
  </si>
  <si>
    <t>Organiser des revues post-implémentation</t>
  </si>
  <si>
    <t>Résultats négatifs non détectés</t>
  </si>
  <si>
    <t>Changements inefficaces</t>
  </si>
  <si>
    <t>PV de réunion, post-mortem</t>
  </si>
  <si>
    <t>Y a-t-il une évaluation des impacts après changement ?</t>
  </si>
  <si>
    <t>Revue post-changement</t>
  </si>
  <si>
    <t>Effectuer des tests systématiques</t>
  </si>
  <si>
    <t>Dysfonctionnements</t>
  </si>
  <si>
    <t>Risques non identifiés</t>
  </si>
  <si>
    <t>Rapport de tests</t>
  </si>
  <si>
    <t>Les changements sont-ils testés avant mise en production ?</t>
  </si>
  <si>
    <t>Rétroaction et test</t>
  </si>
  <si>
    <t>Intégrer des étapes de validation/revue</t>
  </si>
  <si>
    <t>Défaillance des services</t>
  </si>
  <si>
    <t>Introduction de vulnérabilités</t>
  </si>
  <si>
    <t>Fiches de validation</t>
  </si>
  <si>
    <t>Chaque changement est-il soumis à validation ?</t>
  </si>
  <si>
    <t>Validation des changements</t>
  </si>
  <si>
    <t>Mettre en place une traçabilité complète</t>
  </si>
  <si>
    <t>Imprévus, instabilités</t>
  </si>
  <si>
    <t>Changements non maîtrisés</t>
  </si>
  <si>
    <t>Journal des changements</t>
  </si>
  <si>
    <t>Les changements sont-ils tracés et enregistrés ?</t>
  </si>
  <si>
    <t>Suivi des modifications</t>
  </si>
  <si>
    <t>Formaliser le processus de gestion</t>
  </si>
  <si>
    <t>Pannes, pertes de données</t>
  </si>
  <si>
    <t>Changements non validés</t>
  </si>
  <si>
    <t>Une procédure de contrôle des changements est-elle en place ?</t>
  </si>
  <si>
    <t>Existence d’un processus de gestion des changements</t>
  </si>
  <si>
    <t>Vérifier que le contrôle des modifications opérationnelles est réalisé ;</t>
  </si>
  <si>
    <t>Organiser des formations ciblées</t>
  </si>
  <si>
    <t>Incidents, non-respect des règles</t>
  </si>
  <si>
    <t>Utilisation incorrecte</t>
  </si>
  <si>
    <t>Preuves de sensibilisation</t>
  </si>
  <si>
    <t>Les utilisateurs sont-ils formés aux procédures ?</t>
  </si>
  <si>
    <t>Sensibilisation du personnel</t>
  </si>
  <si>
    <t>Mettre en place un cycle de révision</t>
  </si>
  <si>
    <t>Les procédures sont-elles révisées périodiquement ?</t>
  </si>
  <si>
    <t>Centraliser l’accès à la documentation</t>
  </si>
  <si>
    <t>Inefficacité, pertes de temps</t>
  </si>
  <si>
    <t>Procédures non suivies</t>
  </si>
  <si>
    <t>Intranet, portail documentaire</t>
  </si>
  <si>
    <t>La documentation est-elle facilement accessible aux utilisateurs ?</t>
  </si>
  <si>
    <t>Définir des responsabilités claires</t>
  </si>
  <si>
    <t>Exécution incorrecte</t>
  </si>
  <si>
    <t>Confusion des rôles</t>
  </si>
  <si>
    <t>Organigramme, fiches de responsabilités</t>
  </si>
  <si>
    <t>Les responsabilités associées à chaque procédure sont-elles définies ?</t>
  </si>
  <si>
    <t>Définition des responsabilités</t>
  </si>
  <si>
    <t>Documenter et centraliser toutes les procédures</t>
  </si>
  <si>
    <t>Dysfonctionnements, erreurs</t>
  </si>
  <si>
    <t>Actions incohérentes</t>
  </si>
  <si>
    <t>Les procédures opérationnelles sont-elles documentées ?</t>
  </si>
  <si>
    <t>Documentation formelle des procédures</t>
  </si>
  <si>
    <t>Vérifier que la documentation des procédures et les responsabilités opérationnelles existe;</t>
  </si>
  <si>
    <t>Gestion des communications et des opérations ;</t>
  </si>
  <si>
    <t>S’assurer que des sondages existent pour évaluer l’impact des formations dans le travail quotidien des utilisateurs.</t>
  </si>
  <si>
    <t>Vérifier que des évaluations « anté » et « post » formation sont réalisées pour évaluer l’impact de ces dernières ;</t>
  </si>
  <si>
    <t>Vérifier que tous les personnels participent aux formations ;</t>
  </si>
  <si>
    <t>Vérifier que le programme de formation prenne en compte la spécificité des postes de travail et des profils ;</t>
  </si>
  <si>
    <t>Ajouter une évaluation post-formation obligatoire</t>
  </si>
  <si>
    <t>Pas d’impact réel sur les comportements</t>
  </si>
  <si>
    <t>Apprentissage superficiel</t>
  </si>
  <si>
    <t>Résultats des tests</t>
  </si>
  <si>
    <t>Y a-t-il un test de validation ?</t>
  </si>
  <si>
    <t>Evaluation des acquis</t>
  </si>
  <si>
    <t>Adapter les formations aux cibles</t>
  </si>
  <si>
    <t>Perte d’attention ou inefficacité</t>
  </si>
  <si>
    <t>Niveau mal calibré</t>
  </si>
  <si>
    <t>Catalogue de modules</t>
  </si>
  <si>
    <t>Le contenu est-il adapté aux rôles (ex : admin, RH...) ?</t>
  </si>
  <si>
    <t>Formation adaptée aux profils</t>
  </si>
  <si>
    <t>Centraliser les feuilles d’émargement</t>
  </si>
  <si>
    <t>Non-conformité en audit</t>
  </si>
  <si>
    <t>Aucune preuve de formation</t>
  </si>
  <si>
    <t>Fiches de suivi</t>
  </si>
  <si>
    <t>La participation est-elle tracée ?</t>
  </si>
  <si>
    <t>Suivi des participations</t>
  </si>
  <si>
    <t>Réviser les modules régulièrement</t>
  </si>
  <si>
    <t>Inadéquation aux menaces actuelles</t>
  </si>
  <si>
    <t>Infos obsolètes</t>
  </si>
  <si>
    <t>Le contenu est-il actualisé ?</t>
  </si>
  <si>
    <t>Mise à jour des contenus</t>
  </si>
  <si>
    <t>Rendre la formation obligatoire</t>
  </si>
  <si>
    <t>Comportements dangereux</t>
  </si>
  <si>
    <t>Méconnaissance des règles</t>
  </si>
  <si>
    <t>Planning formation</t>
  </si>
  <si>
    <t>Tous les employés reçoivent-ils une formation SSI ?</t>
  </si>
  <si>
    <t>Formation SSI obligatoire</t>
  </si>
  <si>
    <t>Vérifier qu’il existe un programme de formation pour tous les personnels ;</t>
  </si>
  <si>
    <t>Réviser annuellement les fonctions et besoins</t>
  </si>
  <si>
    <t>Inadéquation stratégique</t>
  </si>
  <si>
    <t>Postes inadaptés aux évolutions</t>
  </si>
  <si>
    <t>Rapport de révision</t>
  </si>
  <si>
    <t>Une revue des définitions de poste est-elle faite régulièrement ?</t>
  </si>
  <si>
    <t>Révision périodique des postes</t>
  </si>
  <si>
    <t>Réaligner les ressources avec les fonctions</t>
  </si>
  <si>
    <t>Outils mal utilisés</t>
  </si>
  <si>
    <t>Audit interne RH/SI</t>
  </si>
  <si>
    <t>Y a-t-il une adéquation entre responsabilités et outils fournis ?</t>
  </si>
  <si>
    <t>Cohérence entre rôle et ressource</t>
  </si>
  <si>
    <t>Assurer la fourniture rapide et adaptée</t>
  </si>
  <si>
    <t>Travail inefficace ou non sécurisé</t>
  </si>
  <si>
    <t>Outils manquants</t>
  </si>
  <si>
    <t>Registre de dotation</t>
  </si>
  <si>
    <t>Les ressources sont-elles effectivement mises à disposition ?</t>
  </si>
  <si>
    <t>Mise à disposition des ressources</t>
  </si>
  <si>
    <t>Évaluer les besoins poste par poste</t>
  </si>
  <si>
    <t>Inefficacité, erreurs</t>
  </si>
  <si>
    <t>Manque de moyens</t>
  </si>
  <si>
    <t>Tableaux de ressources</t>
  </si>
  <si>
    <t>Les ressources nécessaires sont-elles identifiées pour chaque poste ?</t>
  </si>
  <si>
    <t>Description des ressources nécessaires</t>
  </si>
  <si>
    <t>Créer et maintenir des fiches de poste</t>
  </si>
  <si>
    <t>Tâches mal réalisées</t>
  </si>
  <si>
    <t>Ambiguïtés de rôle</t>
  </si>
  <si>
    <t>Fiches de poste</t>
  </si>
  <si>
    <t>Les responsabilités de chaque poste sont-elles définies ?</t>
  </si>
  <si>
    <t>Vérifier que les postes et les ressources sont définis ;</t>
  </si>
  <si>
    <t>Sécurité du personnel ;</t>
  </si>
  <si>
    <t>Réaliser une revue annuelle ou selon les changements</t>
  </si>
  <si>
    <t>Mauvaise protection</t>
  </si>
  <si>
    <t>La classification est-elle revue régulièrement ?</t>
  </si>
  <si>
    <t>Impliquer systématiquement les responsables</t>
  </si>
  <si>
    <t>Classification inadaptée</t>
  </si>
  <si>
    <t>Données mal estimées</t>
  </si>
  <si>
    <t>Comptes rendus de réunion</t>
  </si>
  <si>
    <t>Les propriétaires d’actifs participent-ils à l’évaluation ?</t>
  </si>
  <si>
    <t>Implication des responsables d’actifs</t>
  </si>
  <si>
    <t>Utiliser des normes ou méthodes éprouvées</t>
  </si>
  <si>
    <t>Confusion, erreurs</t>
  </si>
  <si>
    <t>Incohérence des niveaux</t>
  </si>
  <si>
    <t>Méthodologie de classification</t>
  </si>
  <si>
    <t>Une méthode standard est-elle utilisée ?</t>
  </si>
  <si>
    <t>Méthodologie utilisée</t>
  </si>
  <si>
    <t>Formaliser toutes les évaluations</t>
  </si>
  <si>
    <t>Difficultés en audit ou incident</t>
  </si>
  <si>
    <t>Manque de traçabilité</t>
  </si>
  <si>
    <t>Dossier d’analyse</t>
  </si>
  <si>
    <t>L’étude est-elle formellement documentée ?</t>
  </si>
  <si>
    <t>Documentation de l’analyse</t>
  </si>
  <si>
    <t>Mener une analyse pour chaque actif</t>
  </si>
  <si>
    <t>Risques accrus de compromission</t>
  </si>
  <si>
    <t>Données mal classées</t>
  </si>
  <si>
    <t>Rapports d’analyse</t>
  </si>
  <si>
    <t>Une analyse de la criticité des actifs est-elle réalisée ?</t>
  </si>
  <si>
    <t>Étude de sensibilité des actifs</t>
  </si>
  <si>
    <t>Vérifier que chaque actif a fait l'objet d'une étude visant à déterminer son niveau de classification.</t>
  </si>
  <si>
    <t>Interfacer la classification avec les outils bureautiques</t>
  </si>
  <si>
    <t>Fuite ou perte de données</t>
  </si>
  <si>
    <t>Bypass facile</t>
  </si>
  <si>
    <t>Paramètres DLP</t>
  </si>
  <si>
    <t>Est-elle prise en compte dans les outils ?</t>
  </si>
  <si>
    <t>Intégration dans les systèmes informatiques</t>
  </si>
  <si>
    <t>Prévoir des campagnes de revalidation régulières</t>
  </si>
  <si>
    <t>Risque d’accès non conforme</t>
  </si>
  <si>
    <t>Historique de reclassement</t>
  </si>
  <si>
    <t>Est-elle révisée au fil du temps ?</t>
  </si>
  <si>
    <t>Mise à jour de la classification</t>
  </si>
  <si>
    <t>Intégrer la classification dans la formation SSI</t>
  </si>
  <si>
    <t>Données mal gérées</t>
  </si>
  <si>
    <t>Registre de formation</t>
  </si>
  <si>
    <t>Sont-ils formés au système ?</t>
  </si>
  <si>
    <t>Formation des utilisateurs</t>
  </si>
  <si>
    <t>Forcer le marquage automatique à la création</t>
  </si>
  <si>
    <t>Traitement inadapté</t>
  </si>
  <si>
    <t>Confusion des utilisateurs</t>
  </si>
  <si>
    <t>Marquage sur les fichiers</t>
  </si>
  <si>
    <t>Chaque document est-il classé ?</t>
  </si>
  <si>
    <t>Appartenance des données à un niveau</t>
  </si>
  <si>
    <t>Définir et formaliser une grille de classification</t>
  </si>
  <si>
    <t>Informations critiques mal protégées</t>
  </si>
  <si>
    <t>Absence de tri</t>
  </si>
  <si>
    <t>Politique de classification</t>
  </si>
  <si>
    <t>Un système est-il défini ?</t>
  </si>
  <si>
    <t>Existence de niveaux de classification</t>
  </si>
  <si>
    <t>Vérifier qu'il existe un système de classification qui définit un ensemble approprié de niveaux de protection ;</t>
  </si>
  <si>
    <t>Inclure la gestion des actifs dans les parcours de formation</t>
  </si>
  <si>
    <t>Erreurs, mauvaise protection</t>
  </si>
  <si>
    <t>Mauvaise gestion</t>
  </si>
  <si>
    <t>Attestations de formation, modules disponibles</t>
  </si>
  <si>
    <t>Les propriétaires reçoivent-ils une formation ?</t>
  </si>
  <si>
    <t>Formation des propriétaires d’actifs</t>
  </si>
  <si>
    <t>Automatiser la notification pour la revue périodique</t>
  </si>
  <si>
    <t>Actifs non surveillés</t>
  </si>
  <si>
    <t>Propriétaires obsolètes</t>
  </si>
  <si>
    <t>Calendrier de revue, rapports</t>
  </si>
  <si>
    <t>Les propriétaires sont-ils réévalués régulièrement ?</t>
  </si>
  <si>
    <t>Revue régulière des propriétaires d’actifs</t>
  </si>
  <si>
    <t>Mettre en place des contrôles réguliers</t>
  </si>
  <si>
    <t>Défaut de responsabilité</t>
  </si>
  <si>
    <t>Changements non reflétés</t>
  </si>
  <si>
    <t>Procédure de suivi, logs de changements</t>
  </si>
  <si>
    <t>Existe-t-il un processus de suivi des désignations ?</t>
  </si>
  <si>
    <t>Suivi de la désignation des propriétaires</t>
  </si>
  <si>
    <t>Établir un processus formel de notification</t>
  </si>
  <si>
    <t>Confusion en cas d'incident</t>
  </si>
  <si>
    <t>Responsabilités floues</t>
  </si>
  <si>
    <t>Preuves de communication (emails, réunions)</t>
  </si>
  <si>
    <t>Les propriétaires sont-ils informés de leurs responsabilités ?</t>
  </si>
  <si>
    <t>Communication des responsabilités au propriétaire</t>
  </si>
  <si>
    <t>Mettre à jour et valider régulièrement le registre des actifs</t>
  </si>
  <si>
    <t>Perte de contrôle, non-conformité</t>
  </si>
  <si>
    <t>Actifs non gérés ou oubliés</t>
  </si>
  <si>
    <t>Registre à jour, responsabilités clairement définies</t>
  </si>
  <si>
    <t>Un registre des actifs avec les noms des propriétaires est-il maintenu ?</t>
  </si>
  <si>
    <t>Existence d’un registre des actifs désignant les propriétaires</t>
  </si>
  <si>
    <t>Vérifier que pour tout actif important, un propriétaire est désigné et informé de ses responsabilités ;</t>
  </si>
  <si>
    <t>Sécuriser les accès à l’inventaire</t>
  </si>
  <si>
    <t>Manipulation de données</t>
  </si>
  <si>
    <t>Altérations</t>
  </si>
  <si>
    <t>Droits d’accès</t>
  </si>
  <si>
    <t>Les acces sont elles controlees</t>
  </si>
  <si>
    <t>Accessibilité contrôlée</t>
  </si>
  <si>
    <t>Intégrer la révision dans la gouvernance IT</t>
  </si>
  <si>
    <t>Gestion basée sur des données fausses</t>
  </si>
  <si>
    <t>Informations obsolètes</t>
  </si>
  <si>
    <t>Historique des révisions</t>
  </si>
  <si>
    <t>L’inventaire est-il révisé ?</t>
  </si>
  <si>
    <t>Nommer un responsable par actif</t>
  </si>
  <si>
    <t>Décisions inefficaces</t>
  </si>
  <si>
    <t>Actifs sans suivi</t>
  </si>
  <si>
    <t>Registre des responsabilités</t>
  </si>
  <si>
    <t>Chaque actif a-t-il un responsable ?</t>
  </si>
  <si>
    <t>Attribution de propriétaires</t>
  </si>
  <si>
    <t>Définir une échelle de valeur claire</t>
  </si>
  <si>
    <t>Mauvaise allocation de ressources</t>
  </si>
  <si>
    <t>Matrice de criticité</t>
  </si>
  <si>
    <t>Les actifs sont-ils classés par importance ?</t>
  </si>
  <si>
    <t>Classement par criticité</t>
  </si>
  <si>
    <t>Mettre à jour régulièrement l’inventaire</t>
  </si>
  <si>
    <t>Actifs non protégés</t>
  </si>
  <si>
    <t>Actifs oubliés</t>
  </si>
  <si>
    <t>Base de données</t>
  </si>
  <si>
    <t>Tous les actifs sont-ils identifiés ?</t>
  </si>
  <si>
    <t>Inventaire exhaustif des actifs</t>
  </si>
  <si>
    <t>Vérifier que les actifs sont inventoriés et hiérarchisés par valeur pour l'organisation ;</t>
  </si>
  <si>
    <t>Classification et contrôle des actifs ;</t>
  </si>
  <si>
    <t>Maintenir une fréquence régulière des audits externes</t>
  </si>
  <si>
    <t>Conformité perçue, non réelle</t>
  </si>
  <si>
    <t>Vision biaisée</t>
  </si>
  <si>
    <t>Contrats et rapports d’experts</t>
  </si>
  <si>
    <t>Une vérification indépendante est-elle faite ?</t>
  </si>
  <si>
    <t>Audit externe périodique</t>
  </si>
  <si>
    <t>Mettre en œuvre et suivre les plans d’action</t>
  </si>
  <si>
    <t>Amélioration impossible</t>
  </si>
  <si>
    <t>Audit inutile</t>
  </si>
  <si>
    <t>Tableaux de suivi</t>
  </si>
  <si>
    <t>Les constats donnent-ils lieu à actions ?</t>
  </si>
  <si>
    <t>Recourir à des experts certifiés</t>
  </si>
  <si>
    <t>Résultats contestables</t>
  </si>
  <si>
    <t>Manque de pertinence</t>
  </si>
  <si>
    <t>CV, habilitations</t>
  </si>
  <si>
    <t>Les audits sont-ils réalisés par des personnes compétentes ?</t>
  </si>
  <si>
    <t>Auditeurs qualifiés</t>
  </si>
  <si>
    <t>Respecter la fréquence prévue</t>
  </si>
  <si>
    <t>Fausses impressions de conformité</t>
  </si>
  <si>
    <t>Vérification symbolique</t>
  </si>
  <si>
    <t>Sont-ils effectivement réalisés ?</t>
  </si>
  <si>
    <t>Audits internes réalisés régulièrement</t>
  </si>
  <si>
    <t>Élaborer un programme d’audit annuel</t>
  </si>
  <si>
    <t>Dérives non identifiées</t>
  </si>
  <si>
    <t>Planning d’audit</t>
  </si>
  <si>
    <t>Y a-t-il une planification annuelle des audits ?</t>
  </si>
  <si>
    <t>Plan d’audit défini</t>
  </si>
  <si>
    <t>S’assure qu’il existe une revue régulière de la sécurité par des audits aussi bien internes qu'externes.</t>
  </si>
  <si>
    <t>Rendre obligatoire un retour post-incident</t>
  </si>
  <si>
    <t>Apprentissage non capitalisé</t>
  </si>
  <si>
    <t>Reproduction des incidents</t>
  </si>
  <si>
    <t>Rapports de REX</t>
  </si>
  <si>
    <t>Y a-t-il une analyse post-incident ?</t>
  </si>
  <si>
    <t>Bilan et retour d’expérience (REX)</t>
  </si>
  <si>
    <t>Définir un plan d’action par type d’incident</t>
  </si>
  <si>
    <t>Mauvaise gestion du temps</t>
  </si>
  <si>
    <t>Manque de coordination</t>
  </si>
  <si>
    <t>Liste des rôles</t>
  </si>
  <si>
    <t>Qui traite les incidents ?</t>
  </si>
  <si>
    <t>Conserver un historique complet</t>
  </si>
  <si>
    <t>Reproduction des erreurs</t>
  </si>
  <si>
    <t>Absence d’historique</t>
  </si>
  <si>
    <t>Registre et logs</t>
  </si>
  <si>
    <t>Les incidents sont-ils tracés ?</t>
  </si>
  <si>
    <t>Traçabilité et journalisation</t>
  </si>
  <si>
    <t>Sensibiliser sur les canaux de signalement</t>
  </si>
  <si>
    <t>Incident non traité à temps</t>
  </si>
  <si>
    <t>Non-remontée</t>
  </si>
  <si>
    <t>Support et FAQ</t>
  </si>
  <si>
    <t>Les utilisateurs savent-ils comment signaler ?</t>
  </si>
  <si>
    <t>Canaux de remontée connus</t>
  </si>
  <si>
    <t>Créer et diffuser une procédure claire</t>
  </si>
  <si>
    <t>Allongement ou aggravation de la crise</t>
  </si>
  <si>
    <t>Réaction aléatoire</t>
  </si>
  <si>
    <t>Document de gestion des incidents</t>
  </si>
  <si>
    <t>Existe-t-il une procédure ?</t>
  </si>
  <si>
    <t>Procédure formalisée de gestion d’incidents</t>
  </si>
  <si>
    <t>Vérifier qu'il existe des modalités de réaction aux incidents de sécurité et aux défauts de fonctionnement ;</t>
  </si>
  <si>
    <t>Imposer la traçabilité de fin de collaboration</t>
  </si>
  <si>
    <t>Perte de maîtrise sur l’info</t>
  </si>
  <si>
    <t>Données conservées</t>
  </si>
  <si>
    <t>PV de restitution</t>
  </si>
  <si>
    <t>Que se passe-t-il à la fin du contrat ?</t>
  </si>
  <si>
    <t>Suivi post-collaboration</t>
  </si>
  <si>
    <t>Appliquer le principe du besoin d’en connaître</t>
  </si>
  <si>
    <t>Utilisation abusive</t>
  </si>
  <si>
    <t>Trop large accès</t>
  </si>
  <si>
    <t>Profil d’accès</t>
  </si>
  <si>
    <t>L'accès est-il restreint ?</t>
  </si>
  <si>
    <t>Accès limité aux seules données nécessaires</t>
  </si>
  <si>
    <t>Exiger des engagements écrits</t>
  </si>
  <si>
    <t>Risques juridiques</t>
  </si>
  <si>
    <t>Fuite d'information</t>
  </si>
  <si>
    <t>NDA signée</t>
  </si>
  <si>
    <t>Signent-ils une NDA ?</t>
  </si>
  <si>
    <t>Confidentialité et engagements formalisés</t>
  </si>
  <si>
    <t>Évaluer systématiquement les sous-traitants</t>
  </si>
  <si>
    <t>Risques non maîtrisés</t>
  </si>
  <si>
    <t>Sous-traitant non fiable</t>
  </si>
  <si>
    <t>Fiche d’évaluation</t>
  </si>
  <si>
    <t>Sont-ils évalués avant collaboration ?</t>
  </si>
  <si>
    <t>Évaluation des sous-traitants</t>
  </si>
  <si>
    <t>Intégrer systématiquement les clauses SSI</t>
  </si>
  <si>
    <t>Perte de données, non-conformité RGPD</t>
  </si>
  <si>
    <t>Failles via prestataires</t>
  </si>
  <si>
    <t>Modèle de contrat, SLA</t>
  </si>
  <si>
    <t>Les contrats incluent-ils des exigences de sécurité ?</t>
  </si>
  <si>
    <t>Clauses contractuelles de sécurité</t>
  </si>
  <si>
    <t>S’assurer que des modalités de protection de l'information confiée à des sous-traitants existent ;</t>
  </si>
  <si>
    <t>Automatiser la désactivation en fin de prestation</t>
  </si>
  <si>
    <t>Accès illégitime après départ</t>
  </si>
  <si>
    <t>Accès post-contrat</t>
  </si>
  <si>
    <t>Liste des désactivations</t>
  </si>
  <si>
    <t>Y a-t-il une procédure de retrait en fin de mission ?</t>
  </si>
  <si>
    <t>Clôture des accès</t>
  </si>
  <si>
    <t>Mettre en place des systèmes de journalisation</t>
  </si>
  <si>
    <t>Absence de responsabilité</t>
  </si>
  <si>
    <t>Aucune preuve en cas d’incident</t>
  </si>
  <si>
    <t>Journaux d’audit</t>
  </si>
  <si>
    <t>Traçabilité des connexions</t>
  </si>
  <si>
    <t>Détournement de données</t>
  </si>
  <si>
    <t>Trop de privilèges</t>
  </si>
  <si>
    <t>Liste des droits attribués</t>
  </si>
  <si>
    <t>Restriction des droits</t>
  </si>
  <si>
    <t>Exiger une double validation</t>
  </si>
  <si>
    <t>Fuite ou vol de données</t>
  </si>
  <si>
    <t>Demandes et validations archivées</t>
  </si>
  <si>
    <t>L’accès est-il validé formellement par un responsable ?</t>
  </si>
  <si>
    <t>Autorisation formelle</t>
  </si>
  <si>
    <t>Mettre à jour la procédure pour les tiers</t>
  </si>
  <si>
    <t>Divulgation d'informations sensibles</t>
  </si>
  <si>
    <t>Accès non contrôlé</t>
  </si>
  <si>
    <t>Procédure détaillée</t>
  </si>
  <si>
    <t>Existe-t-il un processus pour les accès tiers ?</t>
  </si>
  <si>
    <t>Procédure de gestion des accès tiers</t>
  </si>
  <si>
    <t>S’assurer qu’il existe des procédures applicables à l'accès aux informations de l'organisation par des tiers ;</t>
  </si>
  <si>
    <t>Informer systématiquement les utilisateurs</t>
  </si>
  <si>
    <t>Mauvaise prise en main</t>
  </si>
  <si>
    <t>Confusion</t>
  </si>
  <si>
    <t>Traçabilité de la communication</t>
  </si>
  <si>
    <t>Les utilisateurs sont-ils informés des changements ?</t>
  </si>
  <si>
    <t>Intégrer cette étape dans tout projet</t>
  </si>
  <si>
    <t>Sécurité affaiblie</t>
  </si>
  <si>
    <t>Fiche d’évaluation des risques</t>
  </si>
  <si>
    <t>Une analyse de risque est-elle faite ?</t>
  </si>
  <si>
    <t>Documentation de l’évaluation des risques</t>
  </si>
  <si>
    <t>Étendre les tests à chaque ajout</t>
  </si>
  <si>
    <t>Dysfonctionnements ou conflits logiciels</t>
  </si>
  <si>
    <t>Incompatibilités</t>
  </si>
  <si>
    <t>Compte-rendu de test</t>
  </si>
  <si>
    <t>Les nouveaux outils sont-ils testés avant installation ?</t>
  </si>
  <si>
    <t>Tests de compatibilité/sécurité</t>
  </si>
  <si>
    <t>Exiger la validation centralisée</t>
  </si>
  <si>
    <t>Incohérences avec la stratégie</t>
  </si>
  <si>
    <t>Contournement</t>
  </si>
  <si>
    <t>Documents de validation</t>
  </si>
  <si>
    <t>L’autorisation passe-t-elle par les bons canaux ?</t>
  </si>
  <si>
    <t>Approbation de la DSI/RSSI obligatoire</t>
  </si>
  <si>
    <t>Mettre à jour et diffuser la procédure</t>
  </si>
  <si>
    <t>Introduction de failles</t>
  </si>
  <si>
    <t>Installation sauvage</t>
  </si>
  <si>
    <t>Procédure complète</t>
  </si>
  <si>
    <t>Une procédure est-elle en place pour valider les ajouts ?</t>
  </si>
  <si>
    <t>Procédure documentée</t>
  </si>
  <si>
    <t>S’assurer qu’il existe des procédures d'autorisation de nouveaux matériels ou logiciels ;</t>
  </si>
  <si>
    <t>Encourager la collaboration continue</t>
  </si>
  <si>
    <t>Risques non pris en compte</t>
  </si>
  <si>
    <t>Travail en silo</t>
  </si>
  <si>
    <t>PV de réunions</t>
  </si>
  <si>
    <t>Le propriétaire collabore-t-il avec le RSSI ?</t>
  </si>
  <si>
    <t>Coordination avec les équipes sécurité</t>
  </si>
  <si>
    <t>Inscrire les noms dans tous les documents clés</t>
  </si>
  <si>
    <t>Conflits ou litiges</t>
  </si>
  <si>
    <t>Responsabilité non formalisée</t>
  </si>
  <si>
    <t>Documents à jour</t>
  </si>
  <si>
    <t>Le propriétaire est-il mentionné dans la documentation ?</t>
  </si>
  <si>
    <t>Référencement dans les documents de gouvernance</t>
  </si>
  <si>
    <t>Mettre en place un mécanisme de délégation</t>
  </si>
  <si>
    <t>Tâches critiques en suspens</t>
  </si>
  <si>
    <t>Rupture de suivi</t>
  </si>
  <si>
    <t>Nomination de suppléants</t>
  </si>
  <si>
    <t>En cas d’absence, une relève est-elle prévue ?</t>
  </si>
  <si>
    <t>Délégation de responsabilités</t>
  </si>
  <si>
    <t>Responsabiliser via des indicateurs de suivi</t>
  </si>
  <si>
    <t>Suivi non réalisé</t>
  </si>
  <si>
    <t>Documents de suivi</t>
  </si>
  <si>
    <t>Le propriétaire suit-il les évolutions ?</t>
  </si>
  <si>
    <t>Responsabilité de suivi des évolutions</t>
  </si>
  <si>
    <t>Nommer un propriétaire pour chaque actif</t>
  </si>
  <si>
    <t>Actifs non protégés ou négligés</t>
  </si>
  <si>
    <t>Aucune responsabilité</t>
  </si>
  <si>
    <t>Liste des actifs et responsables</t>
  </si>
  <si>
    <t>Chaque actif a-t-il un propriétaire identifié ?</t>
  </si>
  <si>
    <t>Propriétaires désignés pour chaque actif</t>
  </si>
  <si>
    <t>S’assurer qu’un propriétaire est désigné, il est responsable de la mise en œuvre et du suivi des évolutions à apporter ;</t>
  </si>
  <si>
    <t>Attribuer un rôle précis pour chaque type d’incident</t>
  </si>
  <si>
    <t>Allongement du temps de réponse</t>
  </si>
  <si>
    <t>Aucune réaction coordonnée</t>
  </si>
  <si>
    <t>Plan de réponse aux incidents</t>
  </si>
  <si>
    <t>Les responsables sont-ils identifiés en cas d’incident ?</t>
  </si>
  <si>
    <t>Responsabilité en cas d’incident</t>
  </si>
  <si>
    <t>Clarifier les interfaces entre les unités</t>
  </si>
  <si>
    <t>Problèmes de coordination</t>
  </si>
  <si>
    <t>Zones grises</t>
  </si>
  <si>
    <t>Matrice RACI, procédures collaboratives</t>
  </si>
  <si>
    <t>Les interactions sont-elles définies entre services ?</t>
  </si>
  <si>
    <t>Responsabilités interservices coordonnées</t>
  </si>
  <si>
    <t>Intégrer cette info dans les sessions de formation</t>
  </si>
  <si>
    <t>Responsabilités ignorées</t>
  </si>
  <si>
    <t>Manque d’appropriation</t>
  </si>
  <si>
    <t>Traces de sensibilisation</t>
  </si>
  <si>
    <t>Les personnels connaissent-ils leurs responsabilités ?</t>
  </si>
  <si>
    <t>Diffusion des responsabilités</t>
  </si>
  <si>
    <t>Mettre à jour systématiquement après chaque réorganisation</t>
  </si>
  <si>
    <t>Tâches critiques non assurées</t>
  </si>
  <si>
    <t>Rôles obsolètes</t>
  </si>
  <si>
    <t>Historique des changements</t>
  </si>
  <si>
    <t>Les responsabilités sont-elles mises à jour ?</t>
  </si>
  <si>
    <t>Clarifier les rôles dans les documents internes</t>
  </si>
  <si>
    <t>Erreurs ou oublis dans la sécurité</t>
  </si>
  <si>
    <t>Confusion sur les responsabilités</t>
  </si>
  <si>
    <t>Organigramme, fiche de poste</t>
  </si>
  <si>
    <t>Les rôles sont-ils formellement définis ?</t>
  </si>
  <si>
    <t>Vérifier qu’il y a une attribution claire des responsabilités ;</t>
  </si>
  <si>
    <t>Faire intervenir la structure dès la phase de conception</t>
  </si>
  <si>
    <t>Réactions au lieu d’anticipation</t>
  </si>
  <si>
    <t>Sécurité à postériori</t>
  </si>
  <si>
    <t>Documentation projet</t>
  </si>
  <si>
    <t>La sécurité est-elle intégrée dans les projets stratégiques ?</t>
  </si>
  <si>
    <t>Intégration dans la gouvernance globale</t>
  </si>
  <si>
    <t>Doter la structure de ressources propres</t>
  </si>
  <si>
    <t>Politique inefficace</t>
  </si>
  <si>
    <t>Structure symbolique</t>
  </si>
  <si>
    <t>Budget, outils, moyens humains</t>
  </si>
  <si>
    <t>La structure a-t-elle les moyens de fonctionner ?</t>
  </si>
  <si>
    <t>Autonomie et ressources de la structure</t>
  </si>
  <si>
    <t>Former des correspondants dans chaque unité</t>
  </si>
  <si>
    <t>Réponses locales lentes</t>
  </si>
  <si>
    <t>Centralisation excessive</t>
  </si>
  <si>
    <t>Des relais locaux sont-ils identifiés ?</t>
  </si>
  <si>
    <t>Désignation de correspondants sécurité</t>
  </si>
  <si>
    <t>Structurer un comité interdisciplinaire</t>
  </si>
  <si>
    <t>Mauvaise remontée des incidents</t>
  </si>
  <si>
    <t>Manque de concertation</t>
  </si>
  <si>
    <t>Le comité se réunit-il régulièrement ?</t>
  </si>
  <si>
    <t>Fonctionnement d’un comité sécurité</t>
  </si>
  <si>
    <t>Nommer formellement un RSSI</t>
  </si>
  <si>
    <t>Coordination inefficace</t>
  </si>
  <si>
    <t>Absence de pilotage</t>
  </si>
  <si>
    <t>Un RSSI a-t-il été désigné ?</t>
  </si>
  <si>
    <t>Existence d’un RSSI nommé</t>
  </si>
  <si>
    <t>S’assurer qu’il existe une structure dédiée à la gestion de la sécurité de l'information : un comité sécurité, un responsable de la sécurité du système d'information (RSSI) et des correspondants sécurité dans les unités ;</t>
  </si>
  <si>
    <t>Organisation de la sécurité ;</t>
  </si>
  <si>
    <t>Mettre à jour le périmètre à chaque nouveauté technologique</t>
  </si>
  <si>
    <t>Risque non anticipé</t>
  </si>
  <si>
    <t>Absence de couverture</t>
  </si>
  <si>
    <t>Procédure d’intégration</t>
  </si>
  <si>
    <t>Des revues sont-elles faites lors de l’ajout d’un nouveau type ?</t>
  </si>
  <si>
    <t>Revue des nouveaux types de technologies</t>
  </si>
  <si>
    <t>Harmoniser les mesures de sécurité par type d’actif</t>
  </si>
  <si>
    <t>Zones vulnérables</t>
  </si>
  <si>
    <t>Contrôles incohérents</t>
  </si>
  <si>
    <t>Politique de traitement par niveau</t>
  </si>
  <si>
    <t>Le niveau de contrôle est-il le même pour tous les actifs ?</t>
  </si>
  <si>
    <t>Niveau de contrôle homogène</t>
  </si>
  <si>
    <t>Adapter les règles aux objets connectés</t>
  </si>
  <si>
    <t>Failles invisibles</t>
  </si>
  <si>
    <t>Intrusions via objets connectés</t>
  </si>
  <si>
    <t>Analyse de risques spécifiques</t>
  </si>
  <si>
    <t>L’IoT est-il intégré dans les politiques de sécurité ?</t>
  </si>
  <si>
    <t>Prise en compte de l’IoT</t>
  </si>
  <si>
    <t>Étendre la sécurité aux systèmes techniques</t>
  </si>
  <si>
    <t>Risques physiques ou organisationnels</t>
  </si>
  <si>
    <t>Oubli de systèmes critiques</t>
  </si>
  <si>
    <t>Liste des équipements non IT classiques</t>
  </si>
  <si>
    <t>Les équipements techniques (ex. GTB, badgeuse) sont-ils inclus ?</t>
  </si>
  <si>
    <t>Intégration des systèmes techniques</t>
  </si>
  <si>
    <t>Définir un périmètre exhaustif</t>
  </si>
  <si>
    <t>Failles sur des équipements non pris en compte</t>
  </si>
  <si>
    <t>Périmètre incomplet</t>
  </si>
  <si>
    <t>Cartographie des équipements</t>
  </si>
  <si>
    <t>Le périmètre couvre-t-il tous les équipements ?</t>
  </si>
  <si>
    <t>Étendue du périmètre de sécurité</t>
  </si>
  <si>
    <t>S’assurer que la démarche de sécurité inclut la totalité de l’informatique et non les seuls réseaux, serveurs et applications. Les imprimantes et téléphones sous IP, l’informatique technique et industrielle, l’informatique de gestion technique des bâtiments, celle de gestion des accès et temps de travail, etc. bénéficient sans exception ni zone d’ombre du dispositif de sécurité.</t>
  </si>
  <si>
    <t>Impliquer les métiers dans les ajustements</t>
  </si>
  <si>
    <t>Rejet de la politique</t>
  </si>
  <si>
    <t>Politique déconnectée</t>
  </si>
  <si>
    <t>Comptes-rendus, enquêtes</t>
  </si>
  <si>
    <t>Les retours des utilisateurs sont-ils intégrés ?</t>
  </si>
  <si>
    <t>Intégration du retour terrain</t>
  </si>
  <si>
    <t>Conserver un registre daté et horodaté</t>
  </si>
  <si>
    <t>Conflit lors d’un audit</t>
  </si>
  <si>
    <t>Les revues sont-elles archivées ?</t>
  </si>
  <si>
    <t>Traçabilité des révisions</t>
  </si>
  <si>
    <t>Mettre en place une veille régulière</t>
  </si>
  <si>
    <t>Non-conformité, risque accru</t>
  </si>
  <si>
    <t>Inadéquation</t>
  </si>
  <si>
    <t>Liste des changements</t>
  </si>
  <si>
    <t>Les évolutions sont-elles prises en compte ?</t>
  </si>
  <si>
    <t>Suivi des évolutions réglementaires et techniques</t>
  </si>
  <si>
    <t>Désigner une équipe responsable</t>
  </si>
  <si>
    <t>Revue non effectuée</t>
  </si>
  <si>
    <t>Pas de pilote</t>
  </si>
  <si>
    <t>un responsables a t-ils été designees ?</t>
  </si>
  <si>
    <t>Responsabilités désignées</t>
  </si>
  <si>
    <t>Formaliser un calendrier de révision</t>
  </si>
  <si>
    <t>Politique obsolète</t>
  </si>
  <si>
    <t>Oubli de révision</t>
  </si>
  <si>
    <t>Planning / procédure</t>
  </si>
  <si>
    <t>La fréquence de revue est-elle formalisée ?</t>
  </si>
  <si>
    <t>Périodicité définie</t>
  </si>
  <si>
    <t>S’assurer qu’une revue régulière de la politique est réalisée afin de vérifier son adéquation avec ;</t>
  </si>
  <si>
    <t>Intégrer une vérification post-diffusion</t>
  </si>
  <si>
    <t>Application erronée des consignes</t>
  </si>
  <si>
    <t>Perception erronée</t>
  </si>
  <si>
    <t>Résultats de test, sondages</t>
  </si>
  <si>
    <t>Peut-on vérifier que le message est compris ?</t>
  </si>
  <si>
    <t>Feedback des utilisateurs</t>
  </si>
  <si>
    <t>Exiger une confirmation de réception</t>
  </si>
  <si>
    <t>Aucune preuve en cas de litige</t>
  </si>
  <si>
    <t>Logs d’envoi, confirmations</t>
  </si>
  <si>
    <t>Des preuves de communication sont-elles conservées ?</t>
  </si>
  <si>
    <t>Traces de communication</t>
  </si>
  <si>
    <t>Utiliser plusieurs moyens de diffusion</t>
  </si>
  <si>
    <t>Oublis de communication</t>
  </si>
  <si>
    <t>Information manquée</t>
  </si>
  <si>
    <t>Historique de diffusion</t>
  </si>
  <si>
    <t>Plusieurs canaux sont-ils utilisés ?</t>
  </si>
  <si>
    <t>Diffusion multicanale</t>
  </si>
  <si>
    <t>Multiplier les canaux d’accès</t>
  </si>
  <si>
    <t>Informations ignorées</t>
  </si>
  <si>
    <t>Accès limité</t>
  </si>
  <si>
    <t>Intranet, QR code</t>
  </si>
  <si>
    <t>Les documents sont-ils consultables facilement ?</t>
  </si>
  <si>
    <t>Accessibilité à tout moment</t>
  </si>
  <si>
    <t>Adapter les formats selon le public cible</t>
  </si>
  <si>
    <t>Mauvaise application des consignes</t>
  </si>
  <si>
    <t>Incompréhension</t>
  </si>
  <si>
    <t>Contenus adaptés</t>
  </si>
  <si>
    <t>La forme est-elle compréhensible selon les publics ?</t>
  </si>
  <si>
    <t>Formats de communication adaptés</t>
  </si>
  <si>
    <t>S’assurer que la communication se fait à tous les utilisateurs sous une forme pertinente, accessible et compréhensible au lecteur ;</t>
  </si>
  <si>
    <t>Assurer un accès simple et direct à la politique</t>
  </si>
  <si>
    <t>Non-application ou désengagement</t>
  </si>
  <si>
    <t>Manque d’information</t>
  </si>
  <si>
    <t>Lien de diffusion</t>
  </si>
  <si>
    <t>Le document est-il consultable par tous ?</t>
  </si>
  <si>
    <t>Accessibilité de la politique</t>
  </si>
  <si>
    <t>Spécifier les responsabilités dans chaque domaine</t>
  </si>
  <si>
    <t>Tâches critiques négligées</t>
  </si>
  <si>
    <t>Confusion dans la mise en œuvre</t>
  </si>
  <si>
    <t>Organigramme, annexe</t>
  </si>
  <si>
    <t>Les rôles sont-ils précisés dans la politique ?</t>
  </si>
  <si>
    <t>Responsabilités bien définies</t>
  </si>
  <si>
    <t>Organiser des comités incluant les décideurs</t>
  </si>
  <si>
    <t>Mauvais alignement sécurité / business</t>
  </si>
  <si>
    <t>Décalage stratégique</t>
  </si>
  <si>
    <t>Présence aux réunions</t>
  </si>
  <si>
    <t>La direction participe-t-elle aux décisions sécurité ?</t>
  </si>
  <si>
    <t>Implication dans la gouvernance</t>
  </si>
  <si>
    <t>Impliquer la direction dans le processus</t>
  </si>
  <si>
    <t>Perte de légitimité</t>
  </si>
  <si>
    <t>Politique non appliquée</t>
  </si>
  <si>
    <t>PV ou courriel d’approbation</t>
  </si>
  <si>
    <t>Le document est-il validé en haut niveau ?</t>
  </si>
  <si>
    <t>Approbation par la direction</t>
  </si>
  <si>
    <t>Rédiger et formaliser une politique validée par la direction</t>
  </si>
  <si>
    <t>Incohérences dans les pratiques de sécurité</t>
  </si>
  <si>
    <t>Absence de cadre</t>
  </si>
  <si>
    <t>Existe-t-il un document officiel ?</t>
  </si>
  <si>
    <t>Politique de sécurité documentée</t>
  </si>
  <si>
    <t>S’assurer qu’il existe une politique de sécurité formalisée avec une implication de la direction générale et une définition claire des responsabilités ;</t>
  </si>
  <si>
    <t>Politique de sécurité ;</t>
  </si>
  <si>
    <t>Créer un processus de remontée d’idées</t>
  </si>
  <si>
    <t>Manque d’évolution continue</t>
  </si>
  <si>
    <t>Rétroaction absente</t>
  </si>
  <si>
    <t>Plateforme de feedback</t>
  </si>
  <si>
    <t>Les utilisateurs peuvent-ils proposer des améliorations ?</t>
  </si>
  <si>
    <t>Collecte de suggestions</t>
  </si>
  <si>
    <t>Définir une fréquence régulière d’analyse</t>
  </si>
  <si>
    <t>Manque de réactivité</t>
  </si>
  <si>
    <t>Suivi irrégulier</t>
  </si>
  <si>
    <t xml:space="preserve"> les mesures sont-elles prises frequemment ?</t>
  </si>
  <si>
    <t>Fréquence des mesures</t>
  </si>
  <si>
    <t>Mettre en place des outils de reporting automatisés</t>
  </si>
  <si>
    <t>Décalage entre les données et la réalité</t>
  </si>
  <si>
    <t>Mesures manuelles, erreurs</t>
  </si>
  <si>
    <t>Accès aux outils</t>
  </si>
  <si>
    <t>Des outils permettent-ils d’agréger les données ?</t>
  </si>
  <si>
    <t>Outils de mesure disponibles</t>
  </si>
  <si>
    <t>Structurer la méthode de suivi</t>
  </si>
  <si>
    <t>Mauvaises décisions stratégiques</t>
  </si>
  <si>
    <t>Résultats non comparables</t>
  </si>
  <si>
    <t>Procédure de mesure</t>
  </si>
  <si>
    <t>La méthode de mesure est-elle documentée ?</t>
  </si>
  <si>
    <t>Méthodes d’évaluation claires</t>
  </si>
  <si>
    <t>Définir des KPI pertinents et mesurables</t>
  </si>
  <si>
    <t>Difficulté à évaluer les progrès</t>
  </si>
  <si>
    <t>Aucune mesure réelle</t>
  </si>
  <si>
    <t>Liste de KPIs</t>
  </si>
  <si>
    <t>Des KPI liés à la sécurité sont-ils en place ?</t>
  </si>
  <si>
    <t>Indicateurs de performance définis</t>
  </si>
  <si>
    <t>Vérifier qu’un système de mesure complet est mis en place afin d'évaluer l'efficacité de la gestion de la sécurité de l'information et pour collecter les suggestions d'amélioration.</t>
  </si>
  <si>
    <t>Intégrer la sécurité dès l’accueil</t>
  </si>
  <si>
    <t>Risque immédiat d’incident</t>
  </si>
  <si>
    <t>Période vulnérable non couverte</t>
  </si>
  <si>
    <t>Les nouveaux sont-ils formés dès l’arrivée ?</t>
  </si>
  <si>
    <t>Formation des nouveaux arrivants</t>
  </si>
  <si>
    <t>Évaluer les acquis et adapter les contenus</t>
  </si>
  <si>
    <t>Fausses certitudes sur le niveau</t>
  </si>
  <si>
    <t>Formations non assimilées</t>
  </si>
  <si>
    <t>Fiches d’évaluation</t>
  </si>
  <si>
    <t>Y a-t-il une évaluation des connaissances ?</t>
  </si>
  <si>
    <t>Validation des acquis</t>
  </si>
  <si>
    <t>Mettre en place des sessions régulières</t>
  </si>
  <si>
    <t>Pertes de connaissances</t>
  </si>
  <si>
    <t>Calendrier de formation</t>
  </si>
  <si>
    <t xml:space="preserve"> les formations sont elles frequemment organiser ?</t>
  </si>
  <si>
    <t>Fréquence des formations</t>
  </si>
  <si>
    <t>Définir un programme ciblé selon les rôles</t>
  </si>
  <si>
    <t>Acteurs inopérants en cas de crise</t>
  </si>
  <si>
    <t>Absence de montée en compétence</t>
  </si>
  <si>
    <t>Existe-t-il un plan de formation spécifique ?</t>
  </si>
  <si>
    <t>Plan de formation défini</t>
  </si>
  <si>
    <t>Maintenir une cartographie des fonctions sensibles</t>
  </si>
  <si>
    <t>Acteurs non formés</t>
  </si>
  <si>
    <t>Oublis dans le périmètre</t>
  </si>
  <si>
    <t>Liste des profils / missions</t>
  </si>
  <si>
    <t>Les acteurs sont-ils clairement identifiés ?</t>
  </si>
  <si>
    <t>Identification des acteurs</t>
  </si>
  <si>
    <t>Vérifier que les acteurs de la sécurité sont formés de manière appropriée ;</t>
  </si>
  <si>
    <t>Planifier une revue annuelle avec validation directionnelle</t>
  </si>
  <si>
    <t>Utilisation de règles dépassées</t>
  </si>
  <si>
    <t>Information obsolète</t>
  </si>
  <si>
    <t>Le document est-il révisé régulièrement ?</t>
  </si>
  <si>
    <t>Mise à jour des directives</t>
  </si>
  <si>
    <t>Adapter le contenu selon les profils des lecteurs</t>
  </si>
  <si>
    <t>Mauvaise application des directives</t>
  </si>
  <si>
    <t>Versions adaptées</t>
  </si>
  <si>
    <t>Le contenu est-il compréhensible par tous ?</t>
  </si>
  <si>
    <t>Compréhension des destinataires</t>
  </si>
  <si>
    <t>Inclure la sécurité dans les obligations contractuelles</t>
  </si>
  <si>
    <t>Failles externes</t>
  </si>
  <si>
    <t>Fournisseurs non conformes</t>
  </si>
  <si>
    <t>Clauses des contrats fournisseurs</t>
  </si>
  <si>
    <t>Les fournisseurs ont-ils également reçu les lignes ?</t>
  </si>
  <si>
    <t>Communication aux fournisseurs</t>
  </si>
  <si>
    <t>Assurer une diffusion systématique</t>
  </si>
  <si>
    <t>Violations involontaires de sécurité</t>
  </si>
  <si>
    <t>Manque d'information</t>
  </si>
  <si>
    <t>Journal de diffusion ou accusé</t>
  </si>
  <si>
    <t>Tous les employés ont-ils reçu ce document ?</t>
  </si>
  <si>
    <t>Distribution aux employés</t>
  </si>
  <si>
    <t>Rédiger un document de référence clair et structuré</t>
  </si>
  <si>
    <t>Comportements incohérents</t>
  </si>
  <si>
    <t>Absence de norme partagée</t>
  </si>
  <si>
    <t>Document politique de sécurité</t>
  </si>
  <si>
    <t>Les lignes directrices sont-elles formalisées ?</t>
  </si>
  <si>
    <t>Existence d’un document de lignes directrices</t>
  </si>
  <si>
    <t>Vérifier que les lignes directrices de la politique de sécurité et des normes de sécurité de l'information sont distribuées à tous les employés et à tous les fournisseurs ;</t>
  </si>
  <si>
    <t>Organiser des feedbacks après incidents</t>
  </si>
  <si>
    <t>Mauvaise amélioration continue</t>
  </si>
  <si>
    <t>Rapports d’incident</t>
  </si>
  <si>
    <t>Les utilisateurs participent-ils aux retours d’incidents ?</t>
  </si>
  <si>
    <t>Implication dans les retours d’expérience</t>
  </si>
  <si>
    <t>Distribuer des supports simples et faire signer une attestation</t>
  </si>
  <si>
    <t>Comportements inappropriés</t>
  </si>
  <si>
    <t>Règles ignorées</t>
  </si>
  <si>
    <t>Supports de formation, attestations</t>
  </si>
  <si>
    <t>Les consignes sont-elles bien reçues et comprises ?</t>
  </si>
  <si>
    <t>Réception des consignes de sécurité</t>
  </si>
  <si>
    <t>Renforcer la culture sécurité par la communication</t>
  </si>
  <si>
    <t>Climat de sécurité faible</t>
  </si>
  <si>
    <t>Enquête interne, charte</t>
  </si>
  <si>
    <t>La sécurité est-elle perçue comme une responsabilité partagée ?</t>
  </si>
  <si>
    <t>Existence d’une culture sécurité partagée</t>
  </si>
  <si>
    <t>Associer les métiers dès le début</t>
  </si>
  <si>
    <t>Rejet des mesures de sécurité</t>
  </si>
  <si>
    <t>Solutions non adaptées au métier</t>
  </si>
  <si>
    <t>PV de réunion, planning projet</t>
  </si>
  <si>
    <t>Les responsables métiers sont-ils intégrés aux projets ?</t>
  </si>
  <si>
    <t>Participation des responsables métiers</t>
  </si>
  <si>
    <t>Mettre en place une sensibilisation régulière</t>
  </si>
  <si>
    <t>Failles de sécurité par négligence</t>
  </si>
  <si>
    <t>Planning de formation</t>
  </si>
  <si>
    <t>Une campagne de sensibilisation est-elle réalisée ?</t>
  </si>
  <si>
    <t>Vérifier que l’ensemble des responsables et des employés sont sensibilisés et informés ;</t>
  </si>
  <si>
    <t>Communiquer et formaliser les rôles à tous les concernés</t>
  </si>
  <si>
    <t>Non-respect des exigences de sécurité</t>
  </si>
  <si>
    <t>Preuve de diffusion</t>
  </si>
  <si>
    <t>Les responsabilités sont-elles connues par les intéressés ?</t>
  </si>
  <si>
    <t>Communication des responsabilités</t>
  </si>
  <si>
    <t>Réviser les affectations à chaque changement organisationnel</t>
  </si>
  <si>
    <t>Zones de flou dans la couverture des risques</t>
  </si>
  <si>
    <t>Confusion lors des changements</t>
  </si>
  <si>
    <t>Historique des responsabilités</t>
  </si>
  <si>
    <t>Les responsabilités sont-elles révisées en cas de changement ?</t>
  </si>
  <si>
    <t>Mise à jour des responsabilités</t>
  </si>
  <si>
    <t>Assurer une formation adaptée aux responsabilités</t>
  </si>
  <si>
    <t>Décisions inadaptées ou non conformes</t>
  </si>
  <si>
    <t>Erreurs de gestion de la sécurité</t>
  </si>
  <si>
    <t>CV / fiches de poste / formations</t>
  </si>
  <si>
    <t>Les personnes sont-elles formées ou compétentes ?</t>
  </si>
  <si>
    <t>Adéquation des responsabilités aux compétences</t>
  </si>
  <si>
    <t>Affecter clairement chaque responsabilité</t>
  </si>
  <si>
    <t>Risques non traités correctement</t>
  </si>
  <si>
    <t>Tâches non assumées</t>
  </si>
  <si>
    <t>Matrice des responsabilités</t>
  </si>
  <si>
    <t>Chaque exigence a-t-elle un responsable identifié ?</t>
  </si>
  <si>
    <t>Attribution des responsabilités</t>
  </si>
  <si>
    <t>Rédiger un document formel des exigences</t>
  </si>
  <si>
    <t>Implémentation incomplète ou inadéquate</t>
  </si>
  <si>
    <t>Ambiguïté des attentes</t>
  </si>
  <si>
    <t>Cahier des charges / politique de sécurité</t>
  </si>
  <si>
    <t>Formalisation des exigences de sécurité</t>
  </si>
  <si>
    <t>Vérifier que les exigences de sécurité et les risques sont compris et évalués ;</t>
  </si>
  <si>
    <t>Renforcer la communication interne</t>
  </si>
  <si>
    <t>Résistance au changement chez les équipes</t>
  </si>
  <si>
    <t>Flou sur les priorités</t>
  </si>
  <si>
    <t>Extraits de communications</t>
  </si>
  <si>
    <t>La direction communique-t-elle sur ce sujet ?</t>
  </si>
  <si>
    <t>Communication de la vision sécurité</t>
  </si>
  <si>
    <t>Impliquer activement la direction</t>
  </si>
  <si>
    <t>Difficultés à faire remonter les besoins sécurité</t>
  </si>
  <si>
    <t>Déconnexion hiérarchique</t>
  </si>
  <si>
    <t>Comptes-rendus</t>
  </si>
  <si>
    <t>La direction participe-t-elle aux comités ?</t>
  </si>
  <si>
    <t>Implication dans les comités</t>
  </si>
  <si>
    <t>Aligner stratégie sécurité et stratégie d’entreprise</t>
  </si>
  <si>
    <t>Décalage entre enjeux réels et décisions prises</t>
  </si>
  <si>
    <t>Sécurité perçue comme secondaire</t>
  </si>
  <si>
    <t>Plans stratégiques</t>
  </si>
  <si>
    <t>La sécurité est-elle intégrée à la stratégie ?</t>
  </si>
  <si>
    <t>Intégration dans la stratégie globale</t>
  </si>
  <si>
    <t>Allouer explicitement des ressources</t>
  </si>
  <si>
    <t>Projets sécurité non réalisés</t>
  </si>
  <si>
    <t>Budget, fiches de poste</t>
  </si>
  <si>
    <t>Des moyens humains/financiers sont-ils dédiés ?</t>
  </si>
  <si>
    <t>Ressources allouées à la sécurité</t>
  </si>
  <si>
    <t>Rédiger une charte signée par la direction</t>
  </si>
  <si>
    <t>Doute sur la légitimité des actions</t>
  </si>
  <si>
    <t>Manque d’implication visible</t>
  </si>
  <si>
    <t>Déclaration ou charte de sécurité</t>
  </si>
  <si>
    <t>Une déclaration d’engagement est-elle disponible ?</t>
  </si>
  <si>
    <t>Engagement officiel de la direction</t>
  </si>
  <si>
    <t>Vérifier que la direction assure un soutien total et un engagement visible pour la sécurité;</t>
  </si>
  <si>
    <t>Réaliser des ajustements à chaque cycle de suivi</t>
  </si>
  <si>
    <t>Inefficacité durable des mesures</t>
  </si>
  <si>
    <t>Stagnation ou répétition des erreurs</t>
  </si>
  <si>
    <t>Le plan est-il ajusté selon les écarts constatés ?</t>
  </si>
  <si>
    <t>Adaptation en fonction des écarts</t>
  </si>
  <si>
    <t>Mettre en place des KPIs clairs</t>
  </si>
  <si>
    <t>Objectifs non atteints ou dépassés</t>
  </si>
  <si>
    <t>Aucune visibilité</t>
  </si>
  <si>
    <t>L’avancement est-il mesuré avec des indicateurs ?</t>
  </si>
  <si>
    <t>Mesure de l’avancement</t>
  </si>
  <si>
    <t>Instaurer un comité de pilotage</t>
  </si>
  <si>
    <t>Dérives non détectées</t>
  </si>
  <si>
    <t>Manque de contrôle</t>
  </si>
  <si>
    <t>PV de réunions de suivi</t>
  </si>
  <si>
    <t>Existe-t-il un dispositif de suivi ?</t>
  </si>
  <si>
    <t>Pilotage et suivi de la mise en œuvre</t>
  </si>
  <si>
    <t>Incohérences dans l’exécution des tâches</t>
  </si>
  <si>
    <t>Ambiguïté dans les actions</t>
  </si>
  <si>
    <t>Organigramme ou matrice RACI</t>
  </si>
  <si>
    <t>Les responsabilités sont-elles bien définies ?</t>
  </si>
  <si>
    <t>Affectation des responsabilités</t>
  </si>
  <si>
    <t>Élaborer un plan formel avec échéancier</t>
  </si>
  <si>
    <t>Retards ou échec dans la sécurisation</t>
  </si>
  <si>
    <t>Démarche non coordonnée</t>
  </si>
  <si>
    <t>Plan de sécurité</t>
  </si>
  <si>
    <t>Un plan structuré est-il disponible ?</t>
  </si>
  <si>
    <t>Existence d’un plan de mise en œuvre de la sécurité</t>
  </si>
  <si>
    <t>Vérifier qu’une démarche de mise en œuvre de la gestion de la sécurité est adoptée et compatible avec la culture de l'Organisation ;</t>
  </si>
  <si>
    <t>Assurer l’accès facile et permanent au document</t>
  </si>
  <si>
    <t>Manque de responsabilisation</t>
  </si>
  <si>
    <t>Politique ignorée ou inaccessible</t>
  </si>
  <si>
    <t>Preuve de publication (lien intranet)</t>
  </si>
  <si>
    <t>la politique est-elle accessible ?</t>
  </si>
  <si>
    <t>Accessibilité de la politique de sécurité</t>
  </si>
  <si>
    <t>Mettre en place un calendrier de révision</t>
  </si>
  <si>
    <t>Non-conformité avec les normes ou audits</t>
  </si>
  <si>
    <t>Planning de révision</t>
  </si>
  <si>
    <t>la politique est t-elle regulierement mise a jour ?</t>
  </si>
  <si>
    <t>Mise à jour régulière de la politique</t>
  </si>
  <si>
    <t>Diffuser la politique avec preuve de réception</t>
  </si>
  <si>
    <t>Failles de sécurité dues à l’ignorance</t>
  </si>
  <si>
    <t>Non-adhésion des employés</t>
  </si>
  <si>
    <t>Plan de communication ou attestation</t>
  </si>
  <si>
    <t>Les employés sont-ils informés de cette politique ?</t>
  </si>
  <si>
    <t>Communication de la politique à tous les employés</t>
  </si>
  <si>
    <t>Soumettre la politique à approbation formelle</t>
  </si>
  <si>
    <t>Non-respect des règles par manque de reconnaissance</t>
  </si>
  <si>
    <t>Manque de légitimité de la politique</t>
  </si>
  <si>
    <t>Compte-rendu de validation</t>
  </si>
  <si>
    <t>La direction a-t-elle validé la politique ?</t>
  </si>
  <si>
    <t>Validation de la politique par la direction</t>
  </si>
  <si>
    <t>Rédiger une politique claire et concise</t>
  </si>
  <si>
    <t>Comportements incohérents en matière de sécurité</t>
  </si>
  <si>
    <t>Absence de directives claires</t>
  </si>
  <si>
    <t>Document de politique de sécurité</t>
  </si>
  <si>
    <t>La politique de sécurité est-elle documentée ?</t>
  </si>
  <si>
    <t>Existence d’une politique de sécurité formalisée</t>
  </si>
  <si>
    <t>Vérifier qu’une politique de sécurité est définie et correspond à l'activité de l'Organisation ;</t>
  </si>
  <si>
    <t>Facteurs clés de succès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</si>
</sst>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1"/>
      <color theme="1"/>
      <name val="Calibri"/>
      <family val="2"/>
      <scheme val="minor"/>
    </font>
    <font>
      <sz val="11"/>
      <color theme="1"/>
      <name val="Calibri"/>
      <family val="2"/>
      <scheme val="minor"/>
    </font>
    <font>
      <sz val="11"/>
      <color rgb="FF000000"/>
      <name val="Calibri"/>
      <family val="2"/>
      <scheme val="minor"/>
    </font>
    <font>
      <sz val="12"/>
      <color rgb="FF000000"/>
      <name val="&quot;Calibri &quot;"/>
    </font>
    <font>
      <sz val="11"/>
      <name val="Aptos Narrow"/>
    </font>
    <font>
      <b/>
      <sz val="12"/>
      <color rgb="FF000000"/>
      <name val="&quot;Calibri &quot;"/>
    </font>
    <font>
      <sz val="12"/>
      <color theme="1"/>
      <name val="Calibri"/>
    </font>
    <font>
      <sz val="11"/>
      <color rgb="FF000000"/>
      <name val="&quot;Aptos Narrow&quot;"/>
    </font>
    <font>
      <sz val="11"/>
      <color rgb="FF000000"/>
      <name val="Arial"/>
    </font>
    <font>
      <sz val="11"/>
      <color theme="1"/>
      <name val="&quot;Aptos Narrow&quot;"/>
    </font>
    <font>
      <b/>
      <sz val="11"/>
      <color rgb="FF000000"/>
      <name val="&quot;Aptos Narrow&quot;"/>
    </font>
    <font>
      <b/>
      <sz val="11"/>
      <color rgb="FF000000"/>
      <name val="Arial"/>
    </font>
    <font>
      <b/>
      <sz val="11"/>
      <color theme="1"/>
      <name val="&quot;Aptos Narrow&quot;"/>
    </font>
    <font>
      <sz val="11"/>
      <color theme="1"/>
      <name val="Calibri"/>
      <family val="2"/>
    </font>
    <font>
      <b/>
      <sz val="11"/>
      <color rgb="FF000000"/>
      <name val="Calibri"/>
    </font>
    <font>
      <b/>
      <sz val="11"/>
      <color theme="1"/>
      <name val="Calibri"/>
    </font>
    <font>
      <sz val="11"/>
      <color theme="1"/>
      <name val="Calibri"/>
    </font>
    <font>
      <sz val="11"/>
      <color rgb="FF000000"/>
      <name val="Calibri"/>
    </font>
    <font>
      <i/>
      <sz val="11"/>
      <color theme="1"/>
      <name val="Calibri"/>
    </font>
    <font>
      <b/>
      <sz val="12"/>
      <color theme="1"/>
      <name val="Aptos"/>
      <family val="2"/>
    </font>
    <font>
      <b/>
      <sz val="16"/>
      <name val="Times New Roman"/>
      <family val="1"/>
    </font>
    <font>
      <sz val="12"/>
      <color theme="1"/>
      <name val="Segoe UI"/>
      <family val="2"/>
    </font>
    <font>
      <sz val="12"/>
      <color rgb="FF404040"/>
      <name val="Segoe UI"/>
      <family val="2"/>
    </font>
    <font>
      <b/>
      <sz val="14"/>
      <name val="Times New Roman"/>
      <family val="1"/>
    </font>
    <font>
      <b/>
      <sz val="14"/>
      <color theme="1"/>
      <name val="Calibri"/>
      <family val="2"/>
      <scheme val="minor"/>
    </font>
    <font>
      <sz val="12"/>
      <color theme="1"/>
      <name val="Calibri"/>
      <family val="2"/>
      <scheme val="minor"/>
    </font>
    <font>
      <sz val="12"/>
      <color theme="1"/>
      <name val="Cambria"/>
      <family val="1"/>
    </font>
    <font>
      <sz val="12"/>
      <color theme="1"/>
      <name val="Times New Roman"/>
      <family val="1"/>
    </font>
    <font>
      <b/>
      <sz val="12"/>
      <color theme="1"/>
      <name val="Calibri"/>
      <family val="2"/>
      <scheme val="minor"/>
    </font>
  </fonts>
  <fills count="13">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theme="4"/>
        <bgColor theme="4"/>
      </patternFill>
    </fill>
    <fill>
      <patternFill patternType="solid">
        <fgColor theme="5"/>
        <bgColor theme="5"/>
      </patternFill>
    </fill>
    <fill>
      <patternFill patternType="solid">
        <fgColor rgb="FFCC0000"/>
        <bgColor rgb="FFCC0000"/>
      </patternFill>
    </fill>
    <fill>
      <patternFill patternType="solid">
        <fgColor rgb="FFFF3300"/>
        <bgColor rgb="FFFF3300"/>
      </patternFill>
    </fill>
    <fill>
      <patternFill patternType="solid">
        <fgColor rgb="FF00B050"/>
        <bgColor rgb="FF00B050"/>
      </patternFill>
    </fill>
    <fill>
      <patternFill patternType="solid">
        <fgColor rgb="FFFFC000"/>
        <bgColor rgb="FFFFC000"/>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499984740745262"/>
        <bgColor indexed="64"/>
      </patternFill>
    </fill>
  </fills>
  <borders count="32">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auto="1"/>
      </left>
      <right style="thick">
        <color auto="1"/>
      </right>
      <top style="thin">
        <color auto="1"/>
      </top>
      <bottom style="thick">
        <color auto="1"/>
      </bottom>
      <diagonal/>
    </border>
    <border>
      <left style="thin">
        <color auto="1"/>
      </left>
      <right style="thin">
        <color auto="1"/>
      </right>
      <top style="thin">
        <color auto="1"/>
      </top>
      <bottom style="thick">
        <color auto="1"/>
      </bottom>
      <diagonal/>
    </border>
    <border>
      <left/>
      <right style="thin">
        <color auto="1"/>
      </right>
      <top style="thin">
        <color auto="1"/>
      </top>
      <bottom style="thick">
        <color auto="1"/>
      </bottom>
      <diagonal/>
    </border>
    <border>
      <left style="thick">
        <color auto="1"/>
      </left>
      <right/>
      <top style="thin">
        <color auto="1"/>
      </top>
      <bottom style="thick">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n">
        <color auto="1"/>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ck">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ck">
        <color auto="1"/>
      </top>
      <bottom style="thin">
        <color auto="1"/>
      </bottom>
      <diagonal/>
    </border>
  </borders>
  <cellStyleXfs count="2">
    <xf numFmtId="0" fontId="0" fillId="0" borderId="0"/>
    <xf numFmtId="9" fontId="2" fillId="0" borderId="0" applyFont="0" applyFill="0" applyBorder="0" applyAlignment="0" applyProtection="0"/>
  </cellStyleXfs>
  <cellXfs count="162">
    <xf numFmtId="0" fontId="0" fillId="0" borderId="0" xfId="0"/>
    <xf numFmtId="0" fontId="0" fillId="0" borderId="0" xfId="0" applyAlignment="1">
      <alignment vertical="center" wrapText="1"/>
    </xf>
    <xf numFmtId="0" fontId="3" fillId="0" borderId="0" xfId="0" applyFont="1" applyAlignment="1">
      <alignment vertical="center" wrapText="1"/>
    </xf>
    <xf numFmtId="0" fontId="0" fillId="0" borderId="0" xfId="0" applyAlignment="1">
      <alignment wrapText="1"/>
    </xf>
    <xf numFmtId="0" fontId="1" fillId="0" borderId="0" xfId="0" applyFont="1"/>
    <xf numFmtId="0" fontId="3" fillId="0" borderId="0" xfId="0" applyFont="1"/>
    <xf numFmtId="0" fontId="0" fillId="0" borderId="0" xfId="0" applyAlignment="1">
      <alignment horizontal="left" vertical="center" indent="1"/>
    </xf>
    <xf numFmtId="0" fontId="1" fillId="0" borderId="0" xfId="0" applyFont="1" applyAlignment="1">
      <alignment horizontal="left" vertical="center" indent="1"/>
    </xf>
    <xf numFmtId="0" fontId="4" fillId="0" borderId="3" xfId="0" applyFont="1" applyBorder="1"/>
    <xf numFmtId="0" fontId="5" fillId="0" borderId="4" xfId="0" applyFont="1" applyBorder="1"/>
    <xf numFmtId="0" fontId="5" fillId="0" borderId="5" xfId="0" applyFont="1" applyBorder="1"/>
    <xf numFmtId="0" fontId="4" fillId="0" borderId="5" xfId="0" applyFont="1" applyBorder="1"/>
    <xf numFmtId="0" fontId="4" fillId="2" borderId="5" xfId="0" applyFont="1" applyFill="1" applyBorder="1"/>
    <xf numFmtId="0" fontId="4" fillId="0" borderId="5" xfId="0" applyFont="1" applyBorder="1" applyAlignment="1">
      <alignment horizontal="left"/>
    </xf>
    <xf numFmtId="0" fontId="4" fillId="3" borderId="5" xfId="0" applyFont="1" applyFill="1" applyBorder="1"/>
    <xf numFmtId="0" fontId="4" fillId="4" borderId="5" xfId="0" applyFont="1" applyFill="1" applyBorder="1"/>
    <xf numFmtId="0" fontId="5" fillId="0" borderId="3" xfId="0" applyFont="1" applyBorder="1"/>
    <xf numFmtId="0" fontId="4" fillId="2" borderId="6" xfId="0" applyFont="1" applyFill="1" applyBorder="1"/>
    <xf numFmtId="0" fontId="4" fillId="3" borderId="3" xfId="0" applyFont="1" applyFill="1" applyBorder="1"/>
    <xf numFmtId="0" fontId="4" fillId="3" borderId="6" xfId="0" applyFont="1" applyFill="1" applyBorder="1"/>
    <xf numFmtId="0" fontId="4" fillId="0" borderId="5" xfId="0" applyFont="1" applyBorder="1" applyAlignment="1">
      <alignment horizontal="center"/>
    </xf>
    <xf numFmtId="0" fontId="4" fillId="5" borderId="5" xfId="0" applyFont="1" applyFill="1" applyBorder="1"/>
    <xf numFmtId="0" fontId="4" fillId="6" borderId="5" xfId="0" applyFont="1" applyFill="1" applyBorder="1"/>
    <xf numFmtId="0" fontId="6" fillId="3" borderId="5" xfId="0" applyFont="1" applyFill="1" applyBorder="1"/>
    <xf numFmtId="0" fontId="7" fillId="2" borderId="5" xfId="0" applyFont="1" applyFill="1" applyBorder="1"/>
    <xf numFmtId="0" fontId="4" fillId="0" borderId="7" xfId="0" applyFont="1" applyBorder="1"/>
    <xf numFmtId="0" fontId="4" fillId="0" borderId="8" xfId="0" applyFont="1" applyBorder="1"/>
    <xf numFmtId="0" fontId="4" fillId="4" borderId="8" xfId="0" applyFont="1" applyFill="1" applyBorder="1"/>
    <xf numFmtId="0" fontId="8" fillId="0" borderId="3" xfId="0" applyFont="1" applyBorder="1"/>
    <xf numFmtId="0" fontId="8" fillId="0" borderId="0" xfId="0" applyFont="1"/>
    <xf numFmtId="0" fontId="9" fillId="5" borderId="3" xfId="0" applyFont="1" applyFill="1" applyBorder="1"/>
    <xf numFmtId="0" fontId="8" fillId="0" borderId="6" xfId="0" applyFont="1" applyBorder="1" applyAlignment="1">
      <alignment horizontal="center"/>
    </xf>
    <xf numFmtId="0" fontId="8" fillId="0" borderId="5" xfId="0" applyFont="1" applyBorder="1" applyAlignment="1">
      <alignment horizontal="center"/>
    </xf>
    <xf numFmtId="0" fontId="10" fillId="0" borderId="5" xfId="0" applyFont="1" applyBorder="1" applyAlignment="1">
      <alignment horizontal="center"/>
    </xf>
    <xf numFmtId="0" fontId="5" fillId="0" borderId="6" xfId="0" applyFont="1" applyBorder="1"/>
    <xf numFmtId="0" fontId="8" fillId="0" borderId="8" xfId="0" applyFont="1" applyBorder="1" applyAlignment="1">
      <alignment horizontal="center"/>
    </xf>
    <xf numFmtId="0" fontId="8" fillId="0" borderId="9" xfId="0" applyFont="1" applyBorder="1" applyAlignment="1">
      <alignment horizontal="center"/>
    </xf>
    <xf numFmtId="0" fontId="8" fillId="0" borderId="7" xfId="0" applyFont="1" applyBorder="1"/>
    <xf numFmtId="0" fontId="9" fillId="3" borderId="3" xfId="0" applyFont="1" applyFill="1" applyBorder="1"/>
    <xf numFmtId="0" fontId="8" fillId="0" borderId="4" xfId="0" applyFont="1" applyBorder="1"/>
    <xf numFmtId="0" fontId="9" fillId="7" borderId="3" xfId="0" applyFont="1" applyFill="1" applyBorder="1"/>
    <xf numFmtId="0" fontId="9" fillId="4" borderId="3" xfId="0" applyFont="1" applyFill="1" applyBorder="1"/>
    <xf numFmtId="0" fontId="9" fillId="2" borderId="3" xfId="0" applyFont="1" applyFill="1" applyBorder="1"/>
    <xf numFmtId="0" fontId="10" fillId="2" borderId="4" xfId="0" applyFont="1" applyFill="1" applyBorder="1"/>
    <xf numFmtId="0" fontId="10" fillId="2" borderId="10" xfId="0" applyFont="1" applyFill="1" applyBorder="1"/>
    <xf numFmtId="0" fontId="8" fillId="3" borderId="4" xfId="0" applyFont="1" applyFill="1" applyBorder="1"/>
    <xf numFmtId="0" fontId="8" fillId="8" borderId="4" xfId="0" applyFont="1" applyFill="1" applyBorder="1"/>
    <xf numFmtId="0" fontId="8" fillId="2" borderId="4" xfId="0" applyFont="1" applyFill="1" applyBorder="1"/>
    <xf numFmtId="0" fontId="8" fillId="0" borderId="9" xfId="0" applyFont="1" applyBorder="1" applyAlignment="1">
      <alignment horizontal="center"/>
    </xf>
    <xf numFmtId="0" fontId="8" fillId="7" borderId="4" xfId="0" applyFont="1" applyFill="1" applyBorder="1"/>
    <xf numFmtId="0" fontId="8" fillId="0" borderId="3" xfId="0" applyFont="1" applyBorder="1" applyAlignment="1">
      <alignment horizontal="center" vertical="top"/>
    </xf>
    <xf numFmtId="0" fontId="8" fillId="0" borderId="5" xfId="0" applyFont="1" applyBorder="1" applyAlignment="1">
      <alignment horizontal="center" vertical="top"/>
    </xf>
    <xf numFmtId="0" fontId="8" fillId="0" borderId="8" xfId="0" applyFont="1" applyBorder="1" applyAlignment="1">
      <alignment horizontal="center" vertical="top"/>
    </xf>
    <xf numFmtId="0" fontId="8" fillId="0" borderId="4" xfId="0" applyFont="1" applyBorder="1" applyAlignment="1">
      <alignment horizontal="center"/>
    </xf>
    <xf numFmtId="0" fontId="10" fillId="7" borderId="4" xfId="0" applyFont="1" applyFill="1" applyBorder="1"/>
    <xf numFmtId="0" fontId="10" fillId="7" borderId="10" xfId="0" applyFont="1" applyFill="1" applyBorder="1"/>
    <xf numFmtId="0" fontId="8" fillId="0" borderId="10" xfId="0" applyFont="1" applyBorder="1"/>
    <xf numFmtId="0" fontId="8" fillId="0" borderId="6" xfId="0" applyFont="1" applyBorder="1" applyAlignment="1">
      <alignment horizontal="center"/>
    </xf>
    <xf numFmtId="0" fontId="11" fillId="0" borderId="3" xfId="0" applyFont="1" applyBorder="1"/>
    <xf numFmtId="0" fontId="12" fillId="0" borderId="3" xfId="0" applyFont="1" applyBorder="1"/>
    <xf numFmtId="0" fontId="13" fillId="0" borderId="3" xfId="0" applyFont="1" applyBorder="1"/>
    <xf numFmtId="0" fontId="0" fillId="0" borderId="0" xfId="0" applyAlignment="1">
      <alignment vertical="center"/>
    </xf>
    <xf numFmtId="0" fontId="14" fillId="0" borderId="0" xfId="0" applyFont="1" applyAlignment="1">
      <alignment vertical="center"/>
    </xf>
    <xf numFmtId="0" fontId="0" fillId="0" borderId="0" xfId="0" applyAlignment="1">
      <alignment horizontal="center" vertical="center" wrapText="1"/>
    </xf>
    <xf numFmtId="0" fontId="15" fillId="0" borderId="0" xfId="0" applyFont="1"/>
    <xf numFmtId="0" fontId="16" fillId="0" borderId="0" xfId="0" applyFont="1"/>
    <xf numFmtId="0" fontId="16" fillId="0" borderId="0" xfId="0" applyFont="1" applyAlignment="1">
      <alignment horizontal="left"/>
    </xf>
    <xf numFmtId="0" fontId="15" fillId="0" borderId="10" xfId="0" applyFont="1" applyBorder="1" applyAlignment="1">
      <alignment horizontal="center"/>
    </xf>
    <xf numFmtId="0" fontId="15" fillId="0" borderId="0" xfId="0" applyFont="1"/>
    <xf numFmtId="0" fontId="15" fillId="0" borderId="0" xfId="0" applyFont="1" applyAlignment="1">
      <alignment horizontal="center"/>
    </xf>
    <xf numFmtId="0" fontId="17" fillId="0" borderId="0" xfId="0" applyFont="1" applyAlignment="1">
      <alignment horizontal="center"/>
    </xf>
    <xf numFmtId="0" fontId="17" fillId="0" borderId="0" xfId="0" applyFont="1"/>
    <xf numFmtId="0" fontId="17" fillId="0" borderId="6" xfId="0" applyFont="1" applyBorder="1" applyAlignment="1">
      <alignment horizontal="left"/>
    </xf>
    <xf numFmtId="0" fontId="18" fillId="0" borderId="5" xfId="0" applyFont="1" applyBorder="1" applyAlignment="1">
      <alignment horizontal="center"/>
    </xf>
    <xf numFmtId="0" fontId="17" fillId="0" borderId="11" xfId="0" applyFont="1" applyBorder="1" applyAlignment="1">
      <alignment horizontal="left"/>
    </xf>
    <xf numFmtId="0" fontId="18" fillId="2" borderId="8" xfId="0" applyFont="1" applyFill="1" applyBorder="1" applyAlignment="1">
      <alignment horizontal="center"/>
    </xf>
    <xf numFmtId="0" fontId="17" fillId="0" borderId="11" xfId="0" applyFont="1" applyBorder="1" applyAlignment="1">
      <alignment horizontal="center"/>
    </xf>
    <xf numFmtId="0" fontId="17" fillId="0" borderId="0" xfId="0" applyFont="1" applyAlignment="1">
      <alignment horizontal="left"/>
    </xf>
    <xf numFmtId="0" fontId="0" fillId="0" borderId="0" xfId="0"/>
    <xf numFmtId="0" fontId="5" fillId="0" borderId="11" xfId="0" applyFont="1" applyBorder="1"/>
    <xf numFmtId="0" fontId="18" fillId="9" borderId="8" xfId="0" applyFont="1" applyFill="1" applyBorder="1" applyAlignment="1">
      <alignment horizontal="center"/>
    </xf>
    <xf numFmtId="0" fontId="18" fillId="8" borderId="8" xfId="0" applyFont="1" applyFill="1" applyBorder="1" applyAlignment="1">
      <alignment horizontal="center"/>
    </xf>
    <xf numFmtId="0" fontId="19" fillId="0" borderId="0" xfId="0" applyFont="1" applyAlignment="1">
      <alignment horizontal="left"/>
    </xf>
    <xf numFmtId="0" fontId="17" fillId="0" borderId="0" xfId="0" applyFont="1" applyAlignment="1">
      <alignment horizontal="left"/>
    </xf>
    <xf numFmtId="0" fontId="18" fillId="0" borderId="0" xfId="0" applyFont="1"/>
    <xf numFmtId="0" fontId="1" fillId="0" borderId="12" xfId="0" applyFont="1" applyBorder="1" applyAlignment="1">
      <alignment horizontal="center"/>
    </xf>
    <xf numFmtId="0" fontId="20" fillId="0" borderId="12" xfId="0" applyFont="1" applyBorder="1" applyAlignment="1">
      <alignment horizontal="center"/>
    </xf>
    <xf numFmtId="0" fontId="21" fillId="0" borderId="13" xfId="0" applyFont="1" applyBorder="1" applyAlignment="1">
      <alignment horizontal="center" vertical="center" wrapText="1"/>
    </xf>
    <xf numFmtId="0" fontId="21" fillId="0" borderId="0" xfId="0" applyFont="1" applyAlignment="1">
      <alignment horizontal="center" vertical="center" wrapText="1"/>
    </xf>
    <xf numFmtId="0" fontId="0" fillId="0" borderId="2" xfId="0" applyBorder="1" applyAlignment="1">
      <alignment horizontal="center" vertical="center"/>
    </xf>
    <xf numFmtId="0" fontId="0" fillId="0" borderId="2" xfId="0" applyBorder="1" applyAlignment="1">
      <alignment vertical="center" wrapText="1"/>
    </xf>
    <xf numFmtId="0" fontId="0" fillId="0" borderId="1" xfId="0" applyBorder="1"/>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vertical="center"/>
    </xf>
    <xf numFmtId="0" fontId="22" fillId="0" borderId="1" xfId="0" applyFont="1" applyBorder="1"/>
    <xf numFmtId="0" fontId="0" fillId="0" borderId="0" xfId="0" applyAlignment="1">
      <alignment horizontal="center" wrapText="1"/>
    </xf>
    <xf numFmtId="0" fontId="0" fillId="10" borderId="1" xfId="0" applyFill="1" applyBorder="1"/>
    <xf numFmtId="0" fontId="0" fillId="11" borderId="1" xfId="0" applyFill="1" applyBorder="1"/>
    <xf numFmtId="0" fontId="23" fillId="0" borderId="0" xfId="0" applyFont="1"/>
    <xf numFmtId="0" fontId="23" fillId="0" borderId="1" xfId="0" applyFont="1" applyBorder="1" applyAlignment="1">
      <alignment horizontal="center" vertical="center" wrapText="1"/>
    </xf>
    <xf numFmtId="0" fontId="0" fillId="11" borderId="1" xfId="0" applyFill="1" applyBorder="1" applyAlignment="1">
      <alignment horizontal="center" vertical="center"/>
    </xf>
    <xf numFmtId="0" fontId="0" fillId="11" borderId="1" xfId="0" applyFill="1" applyBorder="1" applyAlignment="1">
      <alignment horizontal="center"/>
    </xf>
    <xf numFmtId="0" fontId="0" fillId="12" borderId="1" xfId="0" applyFill="1" applyBorder="1" applyAlignment="1">
      <alignment horizontal="center" vertical="center"/>
    </xf>
    <xf numFmtId="0" fontId="23" fillId="0" borderId="14" xfId="0" applyFont="1" applyBorder="1" applyAlignment="1">
      <alignment horizontal="center" vertical="center" wrapText="1"/>
    </xf>
    <xf numFmtId="0" fontId="0" fillId="10" borderId="1" xfId="0" applyFill="1" applyBorder="1" applyAlignment="1">
      <alignment horizontal="center" vertical="center"/>
    </xf>
    <xf numFmtId="0" fontId="23" fillId="0" borderId="15" xfId="0" applyFont="1" applyBorder="1" applyAlignment="1">
      <alignment horizontal="center" vertical="center" wrapText="1"/>
    </xf>
    <xf numFmtId="0" fontId="0" fillId="10" borderId="1" xfId="0" applyFill="1" applyBorder="1" applyAlignment="1">
      <alignment horizontal="center"/>
    </xf>
    <xf numFmtId="0" fontId="0" fillId="11" borderId="1" xfId="0" applyFill="1" applyBorder="1" applyAlignment="1">
      <alignment horizontal="center" wrapText="1"/>
    </xf>
    <xf numFmtId="0" fontId="0" fillId="10" borderId="1" xfId="0" applyFill="1" applyBorder="1" applyAlignment="1">
      <alignment horizontal="center" wrapText="1"/>
    </xf>
    <xf numFmtId="0" fontId="24" fillId="12" borderId="14" xfId="0" applyFont="1" applyFill="1" applyBorder="1" applyAlignment="1">
      <alignment horizontal="center" vertical="center"/>
    </xf>
    <xf numFmtId="0" fontId="24" fillId="12" borderId="1" xfId="0" applyFont="1" applyFill="1" applyBorder="1" applyAlignment="1">
      <alignment horizontal="center" vertical="center"/>
    </xf>
    <xf numFmtId="0" fontId="1" fillId="0" borderId="0" xfId="0" applyFont="1" applyAlignment="1">
      <alignment horizontal="center"/>
    </xf>
    <xf numFmtId="0" fontId="25" fillId="0" borderId="0" xfId="0" applyFont="1" applyAlignment="1">
      <alignment horizontal="center"/>
    </xf>
    <xf numFmtId="0" fontId="0" fillId="0" borderId="16" xfId="0" applyBorder="1"/>
    <xf numFmtId="0" fontId="0" fillId="0" borderId="17" xfId="0" applyBorder="1"/>
    <xf numFmtId="0" fontId="0" fillId="0" borderId="17" xfId="0" applyBorder="1" applyAlignment="1">
      <alignment horizontal="left"/>
    </xf>
    <xf numFmtId="0" fontId="0" fillId="0" borderId="18" xfId="0" applyBorder="1"/>
    <xf numFmtId="9" fontId="0" fillId="0" borderId="19" xfId="1" applyFont="1" applyBorder="1"/>
    <xf numFmtId="0" fontId="0" fillId="0" borderId="20" xfId="0" applyBorder="1"/>
    <xf numFmtId="0" fontId="0" fillId="0" borderId="21" xfId="0" applyBorder="1" applyAlignment="1">
      <alignment horizontal="right"/>
    </xf>
    <xf numFmtId="0" fontId="1" fillId="0" borderId="22" xfId="0" applyFont="1" applyBorder="1" applyAlignment="1">
      <alignment horizontal="right"/>
    </xf>
    <xf numFmtId="0" fontId="0" fillId="0" borderId="23" xfId="0" applyBorder="1"/>
    <xf numFmtId="0" fontId="0" fillId="0" borderId="1" xfId="0" applyBorder="1" applyAlignment="1">
      <alignment horizontal="left"/>
    </xf>
    <xf numFmtId="0" fontId="0" fillId="0" borderId="24" xfId="0" applyBorder="1"/>
    <xf numFmtId="9" fontId="0" fillId="0" borderId="25" xfId="1" applyFont="1" applyBorder="1"/>
    <xf numFmtId="0" fontId="0" fillId="0" borderId="26" xfId="0" applyBorder="1"/>
    <xf numFmtId="0" fontId="0" fillId="0" borderId="27" xfId="0" applyBorder="1"/>
    <xf numFmtId="0" fontId="0" fillId="0" borderId="12" xfId="0" applyBorder="1"/>
    <xf numFmtId="0" fontId="0" fillId="0" borderId="28" xfId="0" applyBorder="1"/>
    <xf numFmtId="0" fontId="1" fillId="0" borderId="29" xfId="0" applyFont="1" applyBorder="1" applyAlignment="1">
      <alignment horizontal="left"/>
    </xf>
    <xf numFmtId="0" fontId="1" fillId="0" borderId="30" xfId="0" applyFont="1" applyBorder="1" applyAlignment="1">
      <alignment horizontal="left"/>
    </xf>
    <xf numFmtId="0" fontId="1" fillId="0" borderId="31" xfId="0" applyFont="1" applyBorder="1" applyAlignment="1">
      <alignment horizontal="left"/>
    </xf>
    <xf numFmtId="0" fontId="3" fillId="0" borderId="0" xfId="0" applyFont="1" applyAlignment="1">
      <alignment vertical="center"/>
    </xf>
    <xf numFmtId="0" fontId="1" fillId="0" borderId="0" xfId="0" applyFont="1" applyAlignment="1">
      <alignment horizontal="center" vertical="top"/>
    </xf>
    <xf numFmtId="0" fontId="3" fillId="0" borderId="0" xfId="0" applyFont="1" applyAlignment="1">
      <alignment horizontal="left" vertical="center"/>
    </xf>
    <xf numFmtId="0" fontId="3" fillId="0" borderId="0" xfId="0" applyFont="1" applyAlignment="1">
      <alignment horizontal="left"/>
    </xf>
    <xf numFmtId="0" fontId="0" fillId="0" borderId="0" xfId="0" applyAlignment="1">
      <alignment vertical="center"/>
    </xf>
    <xf numFmtId="0" fontId="26" fillId="0" borderId="16" xfId="0" applyFont="1" applyBorder="1" applyAlignment="1">
      <alignment vertical="center" wrapText="1"/>
    </xf>
    <xf numFmtId="0" fontId="26" fillId="0" borderId="17" xfId="0" applyFont="1" applyBorder="1" applyAlignment="1">
      <alignment vertical="center" wrapText="1"/>
    </xf>
    <xf numFmtId="0" fontId="26" fillId="0" borderId="17" xfId="0" applyFont="1" applyBorder="1" applyAlignment="1">
      <alignment vertical="center"/>
    </xf>
    <xf numFmtId="0" fontId="26" fillId="0" borderId="18" xfId="0" applyFont="1" applyBorder="1"/>
    <xf numFmtId="0" fontId="26" fillId="0" borderId="23" xfId="0" applyFont="1" applyBorder="1" applyAlignment="1">
      <alignment vertical="center" wrapText="1"/>
    </xf>
    <xf numFmtId="0" fontId="26" fillId="0" borderId="1" xfId="0" applyFont="1" applyBorder="1" applyAlignment="1">
      <alignment vertical="center" wrapText="1"/>
    </xf>
    <xf numFmtId="0" fontId="26" fillId="0" borderId="1" xfId="0" applyFont="1" applyBorder="1" applyAlignment="1">
      <alignment vertical="center"/>
    </xf>
    <xf numFmtId="0" fontId="26" fillId="0" borderId="24" xfId="0" applyFont="1" applyBorder="1"/>
    <xf numFmtId="0" fontId="26" fillId="0" borderId="23" xfId="0" applyFont="1" applyBorder="1" applyAlignment="1">
      <alignment vertical="center"/>
    </xf>
    <xf numFmtId="0" fontId="26" fillId="0" borderId="1" xfId="0" applyFont="1" applyBorder="1" applyAlignment="1">
      <alignment vertical="center"/>
    </xf>
    <xf numFmtId="0" fontId="26" fillId="0" borderId="23" xfId="0" applyFont="1" applyBorder="1"/>
    <xf numFmtId="0" fontId="26" fillId="0" borderId="1" xfId="0" applyFont="1" applyBorder="1"/>
    <xf numFmtId="0" fontId="27" fillId="0" borderId="23" xfId="0" applyFont="1" applyBorder="1" applyAlignment="1">
      <alignment vertical="center" wrapText="1"/>
    </xf>
    <xf numFmtId="0" fontId="27" fillId="0" borderId="1" xfId="0" applyFont="1" applyBorder="1" applyAlignment="1">
      <alignment vertical="center" wrapText="1"/>
    </xf>
    <xf numFmtId="0" fontId="27" fillId="0" borderId="23" xfId="0" applyFont="1" applyBorder="1" applyAlignment="1">
      <alignment vertical="center"/>
    </xf>
    <xf numFmtId="0" fontId="27" fillId="0" borderId="1" xfId="0" applyFont="1" applyBorder="1" applyAlignment="1">
      <alignment vertical="center"/>
    </xf>
    <xf numFmtId="0" fontId="28" fillId="0" borderId="23" xfId="0" applyFont="1" applyBorder="1" applyAlignment="1">
      <alignment vertical="center"/>
    </xf>
    <xf numFmtId="0" fontId="28" fillId="0" borderId="1" xfId="0" applyFont="1" applyBorder="1" applyAlignment="1">
      <alignment vertical="center"/>
    </xf>
    <xf numFmtId="0" fontId="26" fillId="0" borderId="1" xfId="0" applyFont="1" applyBorder="1" applyAlignment="1">
      <alignment horizontal="left" vertical="center"/>
    </xf>
    <xf numFmtId="0" fontId="29" fillId="0" borderId="24" xfId="0" applyFont="1" applyBorder="1"/>
    <xf numFmtId="0" fontId="29" fillId="0" borderId="27" xfId="0" applyFont="1" applyBorder="1"/>
    <xf numFmtId="0" fontId="29" fillId="0" borderId="12" xfId="0" applyFont="1" applyBorder="1"/>
    <xf numFmtId="0" fontId="29" fillId="0" borderId="28" xfId="0" applyFont="1" applyBorder="1"/>
  </cellXfs>
  <cellStyles count="2">
    <cellStyle name="Normal" xfId="0" builtinId="0"/>
    <cellStyle name="Pourcentage"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[1]Synthese!$D$6</c:f>
              <c:strCache>
                <c:ptCount val="1"/>
                <c:pt idx="0">
                  <c:v>Total OUI    </c:v>
                </c:pt>
              </c:strCache>
            </c:strRef>
          </c:tx>
          <c:spPr>
            <a:solidFill>
              <a:schemeClr val="accent1"/>
            </a:solidFill>
            <a:ln>
              <a:noFill/>
            </a:ln>
            <a:effectLst/>
          </c:spPr>
          <c:invertIfNegative val="0"/>
          <c:cat>
            <c:strRef>
              <c:f>[1]Synthese!$C$7:$C$13</c:f>
              <c:strCache>
                <c:ptCount val="7"/>
                <c:pt idx="0">
                  <c:v>COSO</c:v>
                </c:pt>
                <c:pt idx="1">
                  <c:v>Audit des applications en services</c:v>
                </c:pt>
                <c:pt idx="2">
                  <c:v>Audit de la fonction informatique</c:v>
                </c:pt>
                <c:pt idx="3">
                  <c:v>Audit et contrôle des projets  informatiques</c:v>
                </c:pt>
                <c:pt idx="4">
                  <c:v>Audit du Support Utilisateur et de la Gestion du Parc</c:v>
                </c:pt>
                <c:pt idx="5">
                  <c:v>Audit de Sécurité Informatique</c:v>
                </c:pt>
                <c:pt idx="6">
                  <c:v>Audit et Contrôle de la Fonction Etude </c:v>
                </c:pt>
              </c:strCache>
            </c:strRef>
          </c:cat>
          <c:val>
            <c:numRef>
              <c:f>[1]Synthese!$D$7:$D$13</c:f>
              <c:numCache>
                <c:formatCode>General</c:formatCode>
                <c:ptCount val="7"/>
                <c:pt idx="0">
                  <c:v>211</c:v>
                </c:pt>
                <c:pt idx="1">
                  <c:v>138</c:v>
                </c:pt>
                <c:pt idx="2">
                  <c:v>166</c:v>
                </c:pt>
                <c:pt idx="3">
                  <c:v>494</c:v>
                </c:pt>
                <c:pt idx="4">
                  <c:v>138</c:v>
                </c:pt>
                <c:pt idx="5">
                  <c:v>265</c:v>
                </c:pt>
                <c:pt idx="6">
                  <c:v>60</c:v>
                </c:pt>
              </c:numCache>
            </c:numRef>
          </c:val>
          <c:extLst>
            <c:ext xmlns:c16="http://schemas.microsoft.com/office/drawing/2014/chart" uri="{C3380CC4-5D6E-409C-BE32-E72D297353CC}">
              <c16:uniqueId val="{00000000-F84A-4CB2-B3DE-FE88F643210D}"/>
            </c:ext>
          </c:extLst>
        </c:ser>
        <c:ser>
          <c:idx val="1"/>
          <c:order val="1"/>
          <c:tx>
            <c:strRef>
              <c:f>[1]Synthese!$E$6</c:f>
              <c:strCache>
                <c:ptCount val="1"/>
                <c:pt idx="0">
                  <c:v>Total NON     </c:v>
                </c:pt>
              </c:strCache>
            </c:strRef>
          </c:tx>
          <c:spPr>
            <a:solidFill>
              <a:schemeClr val="accent2"/>
            </a:solidFill>
            <a:ln>
              <a:noFill/>
            </a:ln>
            <a:effectLst/>
          </c:spPr>
          <c:invertIfNegative val="0"/>
          <c:cat>
            <c:strRef>
              <c:f>[1]Synthese!$C$7:$C$13</c:f>
              <c:strCache>
                <c:ptCount val="7"/>
                <c:pt idx="0">
                  <c:v>COSO</c:v>
                </c:pt>
                <c:pt idx="1">
                  <c:v>Audit des applications en services</c:v>
                </c:pt>
                <c:pt idx="2">
                  <c:v>Audit de la fonction informatique</c:v>
                </c:pt>
                <c:pt idx="3">
                  <c:v>Audit et contrôle des projets  informatiques</c:v>
                </c:pt>
                <c:pt idx="4">
                  <c:v>Audit du Support Utilisateur et de la Gestion du Parc</c:v>
                </c:pt>
                <c:pt idx="5">
                  <c:v>Audit de Sécurité Informatique</c:v>
                </c:pt>
                <c:pt idx="6">
                  <c:v>Audit et Contrôle de la Fonction Etude </c:v>
                </c:pt>
              </c:strCache>
            </c:strRef>
          </c:cat>
          <c:val>
            <c:numRef>
              <c:f>[1]Synthese!$E$7:$E$13</c:f>
              <c:numCache>
                <c:formatCode>General</c:formatCode>
                <c:ptCount val="7"/>
                <c:pt idx="0">
                  <c:v>103</c:v>
                </c:pt>
                <c:pt idx="1">
                  <c:v>112</c:v>
                </c:pt>
                <c:pt idx="2">
                  <c:v>33</c:v>
                </c:pt>
                <c:pt idx="3">
                  <c:v>109</c:v>
                </c:pt>
                <c:pt idx="4">
                  <c:v>29</c:v>
                </c:pt>
                <c:pt idx="5">
                  <c:v>17</c:v>
                </c:pt>
                <c:pt idx="6">
                  <c:v>7</c:v>
                </c:pt>
              </c:numCache>
            </c:numRef>
          </c:val>
          <c:extLst>
            <c:ext xmlns:c16="http://schemas.microsoft.com/office/drawing/2014/chart" uri="{C3380CC4-5D6E-409C-BE32-E72D297353CC}">
              <c16:uniqueId val="{00000001-F84A-4CB2-B3DE-FE88F643210D}"/>
            </c:ext>
          </c:extLst>
        </c:ser>
        <c:ser>
          <c:idx val="2"/>
          <c:order val="2"/>
          <c:tx>
            <c:strRef>
              <c:f>[1]Synthese!$F$6</c:f>
              <c:strCache>
                <c:ptCount val="1"/>
                <c:pt idx="0">
                  <c:v>Total PAS    </c:v>
                </c:pt>
              </c:strCache>
            </c:strRef>
          </c:tx>
          <c:spPr>
            <a:solidFill>
              <a:schemeClr val="accent3"/>
            </a:solidFill>
            <a:ln>
              <a:noFill/>
            </a:ln>
            <a:effectLst/>
          </c:spPr>
          <c:invertIfNegative val="0"/>
          <c:cat>
            <c:strRef>
              <c:f>[1]Synthese!$C$7:$C$13</c:f>
              <c:strCache>
                <c:ptCount val="7"/>
                <c:pt idx="0">
                  <c:v>COSO</c:v>
                </c:pt>
                <c:pt idx="1">
                  <c:v>Audit des applications en services</c:v>
                </c:pt>
                <c:pt idx="2">
                  <c:v>Audit de la fonction informatique</c:v>
                </c:pt>
                <c:pt idx="3">
                  <c:v>Audit et contrôle des projets  informatiques</c:v>
                </c:pt>
                <c:pt idx="4">
                  <c:v>Audit du Support Utilisateur et de la Gestion du Parc</c:v>
                </c:pt>
                <c:pt idx="5">
                  <c:v>Audit de Sécurité Informatique</c:v>
                </c:pt>
                <c:pt idx="6">
                  <c:v>Audit et Contrôle de la Fonction Etude </c:v>
                </c:pt>
              </c:strCache>
            </c:strRef>
          </c:cat>
          <c:val>
            <c:numRef>
              <c:f>[1]Synthese!$F$7:$F$13</c:f>
              <c:numCache>
                <c:formatCode>General</c:formatCode>
                <c:ptCount val="7"/>
                <c:pt idx="0">
                  <c:v>166</c:v>
                </c:pt>
                <c:pt idx="1">
                  <c:v>0</c:v>
                </c:pt>
                <c:pt idx="2">
                  <c:v>6</c:v>
                </c:pt>
                <c:pt idx="3">
                  <c:v>36</c:v>
                </c:pt>
                <c:pt idx="4">
                  <c:v>3</c:v>
                </c:pt>
                <c:pt idx="5">
                  <c:v>8</c:v>
                </c:pt>
                <c:pt idx="6">
                  <c:v>3</c:v>
                </c:pt>
              </c:numCache>
            </c:numRef>
          </c:val>
          <c:extLst>
            <c:ext xmlns:c16="http://schemas.microsoft.com/office/drawing/2014/chart" uri="{C3380CC4-5D6E-409C-BE32-E72D297353CC}">
              <c16:uniqueId val="{00000002-F84A-4CB2-B3DE-FE88F643210D}"/>
            </c:ext>
          </c:extLst>
        </c:ser>
        <c:dLbls>
          <c:showLegendKey val="0"/>
          <c:showVal val="0"/>
          <c:showCatName val="0"/>
          <c:showSerName val="0"/>
          <c:showPercent val="0"/>
          <c:showBubbleSize val="0"/>
        </c:dLbls>
        <c:gapWidth val="182"/>
        <c:axId val="470780504"/>
        <c:axId val="470782144"/>
      </c:barChart>
      <c:catAx>
        <c:axId val="470780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70782144"/>
        <c:crosses val="autoZero"/>
        <c:auto val="1"/>
        <c:lblAlgn val="ctr"/>
        <c:lblOffset val="100"/>
        <c:noMultiLvlLbl val="0"/>
      </c:catAx>
      <c:valAx>
        <c:axId val="470782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70780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834206869652129"/>
          <c:y val="0.11815207548597098"/>
          <c:w val="0.41093196167816487"/>
          <c:h val="0.7032106233911285"/>
        </c:manualLayout>
      </c:layout>
      <c:radarChart>
        <c:radarStyle val="filled"/>
        <c:varyColors val="0"/>
        <c:ser>
          <c:idx val="0"/>
          <c:order val="0"/>
          <c:tx>
            <c:strRef>
              <c:f>[1]Synthese!$D$6</c:f>
              <c:strCache>
                <c:ptCount val="1"/>
                <c:pt idx="0">
                  <c:v>Total OUI    </c:v>
                </c:pt>
              </c:strCache>
            </c:strRef>
          </c:tx>
          <c:spPr>
            <a:solidFill>
              <a:schemeClr val="accent1"/>
            </a:solidFill>
            <a:ln>
              <a:noFill/>
            </a:ln>
            <a:effectLst/>
          </c:spPr>
          <c:cat>
            <c:strRef>
              <c:f>[1]Synthese!$C$7:$C$13</c:f>
              <c:strCache>
                <c:ptCount val="7"/>
                <c:pt idx="0">
                  <c:v>COSO</c:v>
                </c:pt>
                <c:pt idx="1">
                  <c:v>Audit des applications en services</c:v>
                </c:pt>
                <c:pt idx="2">
                  <c:v>Audit de la fonction informatique</c:v>
                </c:pt>
                <c:pt idx="3">
                  <c:v>Audit et contrôle des projets  informatiques</c:v>
                </c:pt>
                <c:pt idx="4">
                  <c:v>Audit du Support Utilisateur et de la Gestion du Parc</c:v>
                </c:pt>
                <c:pt idx="5">
                  <c:v>Audit de Sécurité Informatique</c:v>
                </c:pt>
                <c:pt idx="6">
                  <c:v>Audit et Contrôle de la Fonction Etude </c:v>
                </c:pt>
              </c:strCache>
            </c:strRef>
          </c:cat>
          <c:val>
            <c:numRef>
              <c:f>[1]Synthese!$D$7:$D$13</c:f>
              <c:numCache>
                <c:formatCode>General</c:formatCode>
                <c:ptCount val="7"/>
                <c:pt idx="0">
                  <c:v>211</c:v>
                </c:pt>
                <c:pt idx="1">
                  <c:v>138</c:v>
                </c:pt>
                <c:pt idx="2">
                  <c:v>166</c:v>
                </c:pt>
                <c:pt idx="3">
                  <c:v>494</c:v>
                </c:pt>
                <c:pt idx="4">
                  <c:v>138</c:v>
                </c:pt>
                <c:pt idx="5">
                  <c:v>265</c:v>
                </c:pt>
                <c:pt idx="6">
                  <c:v>60</c:v>
                </c:pt>
              </c:numCache>
            </c:numRef>
          </c:val>
          <c:extLst>
            <c:ext xmlns:c16="http://schemas.microsoft.com/office/drawing/2014/chart" uri="{C3380CC4-5D6E-409C-BE32-E72D297353CC}">
              <c16:uniqueId val="{00000000-E0D0-4A22-9C4E-C8D3D2DA6DF0}"/>
            </c:ext>
          </c:extLst>
        </c:ser>
        <c:ser>
          <c:idx val="1"/>
          <c:order val="1"/>
          <c:tx>
            <c:strRef>
              <c:f>[1]Synthese!$E$6</c:f>
              <c:strCache>
                <c:ptCount val="1"/>
                <c:pt idx="0">
                  <c:v>Total NON     </c:v>
                </c:pt>
              </c:strCache>
            </c:strRef>
          </c:tx>
          <c:spPr>
            <a:solidFill>
              <a:schemeClr val="accent2"/>
            </a:solidFill>
            <a:ln>
              <a:noFill/>
            </a:ln>
            <a:effectLst/>
          </c:spPr>
          <c:cat>
            <c:strRef>
              <c:f>[1]Synthese!$C$7:$C$13</c:f>
              <c:strCache>
                <c:ptCount val="7"/>
                <c:pt idx="0">
                  <c:v>COSO</c:v>
                </c:pt>
                <c:pt idx="1">
                  <c:v>Audit des applications en services</c:v>
                </c:pt>
                <c:pt idx="2">
                  <c:v>Audit de la fonction informatique</c:v>
                </c:pt>
                <c:pt idx="3">
                  <c:v>Audit et contrôle des projets  informatiques</c:v>
                </c:pt>
                <c:pt idx="4">
                  <c:v>Audit du Support Utilisateur et de la Gestion du Parc</c:v>
                </c:pt>
                <c:pt idx="5">
                  <c:v>Audit de Sécurité Informatique</c:v>
                </c:pt>
                <c:pt idx="6">
                  <c:v>Audit et Contrôle de la Fonction Etude </c:v>
                </c:pt>
              </c:strCache>
            </c:strRef>
          </c:cat>
          <c:val>
            <c:numRef>
              <c:f>[1]Synthese!$E$7:$E$13</c:f>
              <c:numCache>
                <c:formatCode>General</c:formatCode>
                <c:ptCount val="7"/>
                <c:pt idx="0">
                  <c:v>103</c:v>
                </c:pt>
                <c:pt idx="1">
                  <c:v>112</c:v>
                </c:pt>
                <c:pt idx="2">
                  <c:v>33</c:v>
                </c:pt>
                <c:pt idx="3">
                  <c:v>109</c:v>
                </c:pt>
                <c:pt idx="4">
                  <c:v>29</c:v>
                </c:pt>
                <c:pt idx="5">
                  <c:v>17</c:v>
                </c:pt>
                <c:pt idx="6">
                  <c:v>7</c:v>
                </c:pt>
              </c:numCache>
            </c:numRef>
          </c:val>
          <c:extLst>
            <c:ext xmlns:c16="http://schemas.microsoft.com/office/drawing/2014/chart" uri="{C3380CC4-5D6E-409C-BE32-E72D297353CC}">
              <c16:uniqueId val="{00000001-E0D0-4A22-9C4E-C8D3D2DA6DF0}"/>
            </c:ext>
          </c:extLst>
        </c:ser>
        <c:ser>
          <c:idx val="2"/>
          <c:order val="2"/>
          <c:tx>
            <c:strRef>
              <c:f>[1]Synthese!$F$6</c:f>
              <c:strCache>
                <c:ptCount val="1"/>
                <c:pt idx="0">
                  <c:v>Total PAS    </c:v>
                </c:pt>
              </c:strCache>
            </c:strRef>
          </c:tx>
          <c:spPr>
            <a:solidFill>
              <a:schemeClr val="accent3"/>
            </a:solidFill>
            <a:ln>
              <a:noFill/>
            </a:ln>
            <a:effectLst/>
          </c:spPr>
          <c:cat>
            <c:strRef>
              <c:f>[1]Synthese!$C$7:$C$13</c:f>
              <c:strCache>
                <c:ptCount val="7"/>
                <c:pt idx="0">
                  <c:v>COSO</c:v>
                </c:pt>
                <c:pt idx="1">
                  <c:v>Audit des applications en services</c:v>
                </c:pt>
                <c:pt idx="2">
                  <c:v>Audit de la fonction informatique</c:v>
                </c:pt>
                <c:pt idx="3">
                  <c:v>Audit et contrôle des projets  informatiques</c:v>
                </c:pt>
                <c:pt idx="4">
                  <c:v>Audit du Support Utilisateur et de la Gestion du Parc</c:v>
                </c:pt>
                <c:pt idx="5">
                  <c:v>Audit de Sécurité Informatique</c:v>
                </c:pt>
                <c:pt idx="6">
                  <c:v>Audit et Contrôle de la Fonction Etude </c:v>
                </c:pt>
              </c:strCache>
            </c:strRef>
          </c:cat>
          <c:val>
            <c:numRef>
              <c:f>[1]Synthese!$F$7:$F$13</c:f>
              <c:numCache>
                <c:formatCode>General</c:formatCode>
                <c:ptCount val="7"/>
                <c:pt idx="0">
                  <c:v>166</c:v>
                </c:pt>
                <c:pt idx="1">
                  <c:v>0</c:v>
                </c:pt>
                <c:pt idx="2">
                  <c:v>6</c:v>
                </c:pt>
                <c:pt idx="3">
                  <c:v>36</c:v>
                </c:pt>
                <c:pt idx="4">
                  <c:v>3</c:v>
                </c:pt>
                <c:pt idx="5">
                  <c:v>8</c:v>
                </c:pt>
                <c:pt idx="6">
                  <c:v>3</c:v>
                </c:pt>
              </c:numCache>
            </c:numRef>
          </c:val>
          <c:extLst>
            <c:ext xmlns:c16="http://schemas.microsoft.com/office/drawing/2014/chart" uri="{C3380CC4-5D6E-409C-BE32-E72D297353CC}">
              <c16:uniqueId val="{00000002-E0D0-4A22-9C4E-C8D3D2DA6DF0}"/>
            </c:ext>
          </c:extLst>
        </c:ser>
        <c:dLbls>
          <c:showLegendKey val="0"/>
          <c:showVal val="0"/>
          <c:showCatName val="0"/>
          <c:showSerName val="0"/>
          <c:showPercent val="0"/>
          <c:showBubbleSize val="0"/>
        </c:dLbls>
        <c:axId val="534325512"/>
        <c:axId val="534330760"/>
      </c:radarChart>
      <c:catAx>
        <c:axId val="534325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34330760"/>
        <c:crosses val="autoZero"/>
        <c:auto val="1"/>
        <c:lblAlgn val="ctr"/>
        <c:lblOffset val="100"/>
        <c:noMultiLvlLbl val="0"/>
      </c:catAx>
      <c:valAx>
        <c:axId val="534330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34325512"/>
        <c:crosses val="autoZero"/>
        <c:crossBetween val="between"/>
      </c:valAx>
      <c:spPr>
        <a:noFill/>
        <a:ln>
          <a:noFill/>
        </a:ln>
        <a:effectLst/>
      </c:spPr>
    </c:plotArea>
    <c:legend>
      <c:legendPos val="t"/>
      <c:layout>
        <c:manualLayout>
          <c:xMode val="edge"/>
          <c:yMode val="edge"/>
          <c:x val="0.33045789554943406"/>
          <c:y val="0.91157603218076777"/>
          <c:w val="0.3717545070204441"/>
          <c:h val="5.96030578848887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25541</xdr:colOff>
      <xdr:row>19</xdr:row>
      <xdr:rowOff>14286</xdr:rowOff>
    </xdr:from>
    <xdr:to>
      <xdr:col>17</xdr:col>
      <xdr:colOff>9524</xdr:colOff>
      <xdr:row>37</xdr:row>
      <xdr:rowOff>190499</xdr:rowOff>
    </xdr:to>
    <xdr:graphicFrame macro="">
      <xdr:nvGraphicFramePr>
        <xdr:cNvPr id="2" name="Graphique 1">
          <a:extLst>
            <a:ext uri="{FF2B5EF4-FFF2-40B4-BE49-F238E27FC236}">
              <a16:creationId xmlns:a16="http://schemas.microsoft.com/office/drawing/2014/main" id="{6C19547B-D252-40C5-82B5-2B0BD7403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17318</xdr:colOff>
      <xdr:row>19</xdr:row>
      <xdr:rowOff>14287</xdr:rowOff>
    </xdr:from>
    <xdr:to>
      <xdr:col>7</xdr:col>
      <xdr:colOff>332509</xdr:colOff>
      <xdr:row>37</xdr:row>
      <xdr:rowOff>180975</xdr:rowOff>
    </xdr:to>
    <xdr:graphicFrame macro="">
      <xdr:nvGraphicFramePr>
        <xdr:cNvPr id="3" name="Graphique 2">
          <a:extLst>
            <a:ext uri="{FF2B5EF4-FFF2-40B4-BE49-F238E27FC236}">
              <a16:creationId xmlns:a16="http://schemas.microsoft.com/office/drawing/2014/main" id="{B2FB3C47-A6B7-4656-80E4-680784050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iank\Downloads\COSO_AYONMENE_TIOBOU_Varese_devoir_audit.xlsx" TargetMode="External"/><Relationship Id="rId1" Type="http://schemas.openxmlformats.org/officeDocument/2006/relationships/externalLinkPath" Target="/Users/jiank/Downloads/COSO_AYONMENE_TIOBOU_Varese_devoir_aud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ynthese"/>
      <sheetName val="COSO"/>
      <sheetName val="4.1_Audit_des_applications_en_s"/>
      <sheetName val="4.2_Audit_fonction_informatiq"/>
      <sheetName val="4.3_Audit_des_projets_informati"/>
      <sheetName val="4.4_Audit_du_support_user "/>
      <sheetName val="4.5_Audit_securite_informatique"/>
      <sheetName val="4.6_Audit_et_controle_fonction"/>
    </sheetNames>
    <sheetDataSet>
      <sheetData sheetId="0">
        <row r="6">
          <cell r="D6" t="str">
            <v xml:space="preserve">Total OUI    </v>
          </cell>
          <cell r="E6" t="str">
            <v xml:space="preserve">Total NON     </v>
          </cell>
          <cell r="F6" t="str">
            <v xml:space="preserve">Total PAS    </v>
          </cell>
        </row>
        <row r="7">
          <cell r="C7" t="str">
            <v>COSO</v>
          </cell>
          <cell r="D7">
            <v>211</v>
          </cell>
          <cell r="E7">
            <v>103</v>
          </cell>
          <cell r="F7">
            <v>166</v>
          </cell>
        </row>
        <row r="8">
          <cell r="C8" t="str">
            <v>Audit des applications en services</v>
          </cell>
          <cell r="D8">
            <v>138</v>
          </cell>
          <cell r="E8">
            <v>112</v>
          </cell>
          <cell r="F8">
            <v>0</v>
          </cell>
        </row>
        <row r="9">
          <cell r="C9" t="str">
            <v>Audit de la fonction informatique</v>
          </cell>
          <cell r="D9">
            <v>166</v>
          </cell>
          <cell r="E9">
            <v>33</v>
          </cell>
          <cell r="F9">
            <v>6</v>
          </cell>
        </row>
        <row r="10">
          <cell r="C10" t="str">
            <v>Audit et contrôle des projets  informatiques</v>
          </cell>
          <cell r="D10">
            <v>494</v>
          </cell>
          <cell r="E10">
            <v>109</v>
          </cell>
          <cell r="F10">
            <v>36</v>
          </cell>
        </row>
        <row r="11">
          <cell r="C11" t="str">
            <v>Audit du Support Utilisateur et de la Gestion du Parc</v>
          </cell>
          <cell r="D11">
            <v>138</v>
          </cell>
          <cell r="E11">
            <v>29</v>
          </cell>
          <cell r="F11">
            <v>3</v>
          </cell>
        </row>
        <row r="12">
          <cell r="C12" t="str">
            <v>Audit de Sécurité Informatique</v>
          </cell>
          <cell r="D12">
            <v>265</v>
          </cell>
          <cell r="E12">
            <v>17</v>
          </cell>
          <cell r="F12">
            <v>8</v>
          </cell>
        </row>
        <row r="13">
          <cell r="C13" t="str">
            <v xml:space="preserve">Audit et Contrôle de la Fonction Etude </v>
          </cell>
          <cell r="D13">
            <v>60</v>
          </cell>
          <cell r="E13">
            <v>7</v>
          </cell>
          <cell r="F13">
            <v>3</v>
          </cell>
        </row>
      </sheetData>
      <sheetData sheetId="1">
        <row r="1">
          <cell r="F1" t="str">
            <v>Reponses</v>
          </cell>
        </row>
        <row r="2">
          <cell r="F2" t="str">
            <v>non</v>
          </cell>
        </row>
        <row r="3">
          <cell r="F3" t="str">
            <v>oui</v>
          </cell>
        </row>
        <row r="4">
          <cell r="F4" t="str">
            <v>pas</v>
          </cell>
        </row>
        <row r="5">
          <cell r="F5" t="str">
            <v>oui</v>
          </cell>
        </row>
        <row r="6">
          <cell r="F6" t="str">
            <v>oui</v>
          </cell>
        </row>
        <row r="7">
          <cell r="F7" t="str">
            <v>oui</v>
          </cell>
        </row>
        <row r="8">
          <cell r="F8" t="str">
            <v>oui</v>
          </cell>
        </row>
        <row r="9">
          <cell r="F9" t="str">
            <v>oui</v>
          </cell>
        </row>
        <row r="10">
          <cell r="F10" t="str">
            <v>oui</v>
          </cell>
        </row>
        <row r="11">
          <cell r="F11" t="str">
            <v>oui</v>
          </cell>
        </row>
        <row r="12">
          <cell r="F12" t="str">
            <v>oui</v>
          </cell>
        </row>
        <row r="13">
          <cell r="F13" t="str">
            <v>oui</v>
          </cell>
        </row>
        <row r="14">
          <cell r="F14" t="str">
            <v>oui</v>
          </cell>
        </row>
        <row r="15">
          <cell r="F15" t="str">
            <v>oui</v>
          </cell>
        </row>
        <row r="16">
          <cell r="F16" t="str">
            <v>oui</v>
          </cell>
        </row>
        <row r="17">
          <cell r="F17" t="str">
            <v>oui</v>
          </cell>
        </row>
        <row r="18">
          <cell r="F18" t="str">
            <v>oui</v>
          </cell>
        </row>
        <row r="19">
          <cell r="F19" t="str">
            <v>non</v>
          </cell>
        </row>
        <row r="20">
          <cell r="F20" t="str">
            <v>non</v>
          </cell>
        </row>
        <row r="21">
          <cell r="F21" t="str">
            <v>non</v>
          </cell>
        </row>
        <row r="22">
          <cell r="F22" t="str">
            <v>oui</v>
          </cell>
        </row>
        <row r="23">
          <cell r="F23" t="str">
            <v>oui</v>
          </cell>
        </row>
        <row r="24">
          <cell r="F24" t="str">
            <v>oui</v>
          </cell>
        </row>
        <row r="25">
          <cell r="F25" t="str">
            <v>oui</v>
          </cell>
        </row>
        <row r="26">
          <cell r="F26" t="str">
            <v>oui</v>
          </cell>
        </row>
        <row r="27">
          <cell r="F27" t="str">
            <v>oui</v>
          </cell>
        </row>
        <row r="28">
          <cell r="F28" t="str">
            <v>oui</v>
          </cell>
        </row>
        <row r="29">
          <cell r="F29" t="str">
            <v>oui</v>
          </cell>
        </row>
        <row r="30">
          <cell r="F30" t="str">
            <v>oui</v>
          </cell>
        </row>
        <row r="31">
          <cell r="F31" t="str">
            <v>oui</v>
          </cell>
        </row>
        <row r="32">
          <cell r="F32" t="str">
            <v>oui</v>
          </cell>
        </row>
        <row r="33">
          <cell r="F33" t="str">
            <v>oui</v>
          </cell>
        </row>
        <row r="34">
          <cell r="F34" t="str">
            <v>oui</v>
          </cell>
        </row>
        <row r="35">
          <cell r="F35" t="str">
            <v>oui</v>
          </cell>
        </row>
        <row r="36">
          <cell r="F36" t="str">
            <v>oui</v>
          </cell>
        </row>
        <row r="37">
          <cell r="F37" t="str">
            <v>oui</v>
          </cell>
        </row>
        <row r="38">
          <cell r="F38" t="str">
            <v>oui</v>
          </cell>
        </row>
        <row r="39">
          <cell r="F39" t="str">
            <v>oui</v>
          </cell>
        </row>
        <row r="40">
          <cell r="F40" t="str">
            <v>oui</v>
          </cell>
        </row>
        <row r="41">
          <cell r="F41" t="str">
            <v>oui</v>
          </cell>
        </row>
        <row r="42">
          <cell r="F42" t="str">
            <v>oui</v>
          </cell>
        </row>
        <row r="43">
          <cell r="F43" t="str">
            <v>oui</v>
          </cell>
        </row>
        <row r="44">
          <cell r="F44" t="str">
            <v>oui</v>
          </cell>
        </row>
        <row r="45">
          <cell r="F45" t="str">
            <v>oui</v>
          </cell>
        </row>
        <row r="46">
          <cell r="F46" t="str">
            <v>oui</v>
          </cell>
        </row>
        <row r="47">
          <cell r="F47" t="str">
            <v>oui</v>
          </cell>
        </row>
        <row r="48">
          <cell r="F48" t="str">
            <v>oui</v>
          </cell>
        </row>
        <row r="49">
          <cell r="F49" t="str">
            <v>oui</v>
          </cell>
        </row>
        <row r="50">
          <cell r="F50" t="str">
            <v>oui</v>
          </cell>
        </row>
        <row r="51">
          <cell r="F51" t="str">
            <v>oui</v>
          </cell>
        </row>
        <row r="52">
          <cell r="F52" t="str">
            <v>oui</v>
          </cell>
        </row>
        <row r="53">
          <cell r="F53" t="str">
            <v>non</v>
          </cell>
        </row>
        <row r="54">
          <cell r="F54" t="str">
            <v>non</v>
          </cell>
        </row>
        <row r="55">
          <cell r="F55" t="str">
            <v>non</v>
          </cell>
        </row>
        <row r="56">
          <cell r="F56" t="str">
            <v>non</v>
          </cell>
        </row>
        <row r="57">
          <cell r="F57" t="str">
            <v>non</v>
          </cell>
        </row>
        <row r="58">
          <cell r="F58" t="str">
            <v>non</v>
          </cell>
        </row>
        <row r="59">
          <cell r="F59" t="str">
            <v>non</v>
          </cell>
        </row>
        <row r="60">
          <cell r="F60" t="str">
            <v>non</v>
          </cell>
        </row>
        <row r="61">
          <cell r="F61" t="str">
            <v>non</v>
          </cell>
        </row>
        <row r="62">
          <cell r="F62" t="str">
            <v>non</v>
          </cell>
        </row>
        <row r="63">
          <cell r="F63" t="str">
            <v>non</v>
          </cell>
        </row>
        <row r="64">
          <cell r="F64" t="str">
            <v>non</v>
          </cell>
        </row>
        <row r="65">
          <cell r="F65" t="str">
            <v>non</v>
          </cell>
        </row>
        <row r="66">
          <cell r="F66" t="str">
            <v>non</v>
          </cell>
        </row>
        <row r="67">
          <cell r="F67" t="str">
            <v>non</v>
          </cell>
        </row>
        <row r="68">
          <cell r="F68" t="str">
            <v>non</v>
          </cell>
        </row>
        <row r="69">
          <cell r="F69" t="str">
            <v>non</v>
          </cell>
        </row>
        <row r="70">
          <cell r="F70" t="str">
            <v>non</v>
          </cell>
        </row>
        <row r="71">
          <cell r="F71" t="str">
            <v>non</v>
          </cell>
        </row>
        <row r="72">
          <cell r="F72" t="str">
            <v>non</v>
          </cell>
        </row>
        <row r="73">
          <cell r="F73" t="str">
            <v>non</v>
          </cell>
        </row>
        <row r="74">
          <cell r="F74" t="str">
            <v>non</v>
          </cell>
        </row>
        <row r="75">
          <cell r="F75" t="str">
            <v>non</v>
          </cell>
        </row>
        <row r="76">
          <cell r="F76" t="str">
            <v>non</v>
          </cell>
        </row>
        <row r="77">
          <cell r="F77" t="str">
            <v>non</v>
          </cell>
        </row>
        <row r="78">
          <cell r="F78" t="str">
            <v>non</v>
          </cell>
        </row>
        <row r="79">
          <cell r="F79" t="str">
            <v>pas</v>
          </cell>
        </row>
        <row r="80">
          <cell r="F80" t="str">
            <v>pas</v>
          </cell>
        </row>
        <row r="81">
          <cell r="F81" t="str">
            <v>pas</v>
          </cell>
        </row>
        <row r="82">
          <cell r="F82" t="str">
            <v>pas</v>
          </cell>
        </row>
        <row r="83">
          <cell r="F83" t="str">
            <v>pas</v>
          </cell>
        </row>
        <row r="84">
          <cell r="F84" t="str">
            <v>pas</v>
          </cell>
        </row>
        <row r="85">
          <cell r="F85" t="str">
            <v>pas</v>
          </cell>
        </row>
        <row r="86">
          <cell r="F86" t="str">
            <v>pas</v>
          </cell>
        </row>
        <row r="87">
          <cell r="F87" t="str">
            <v>pas</v>
          </cell>
        </row>
        <row r="88">
          <cell r="F88" t="str">
            <v>pas</v>
          </cell>
        </row>
        <row r="89">
          <cell r="F89" t="str">
            <v>pas</v>
          </cell>
        </row>
        <row r="90">
          <cell r="F90" t="str">
            <v>pas</v>
          </cell>
        </row>
        <row r="91">
          <cell r="F91" t="str">
            <v>pas</v>
          </cell>
        </row>
        <row r="92">
          <cell r="F92" t="str">
            <v>pas</v>
          </cell>
        </row>
        <row r="93">
          <cell r="F93" t="str">
            <v>pas</v>
          </cell>
        </row>
        <row r="94">
          <cell r="F94" t="str">
            <v>pas</v>
          </cell>
        </row>
        <row r="95">
          <cell r="F95" t="str">
            <v>pas</v>
          </cell>
        </row>
        <row r="96">
          <cell r="F96" t="str">
            <v>pas</v>
          </cell>
        </row>
        <row r="97">
          <cell r="F97" t="str">
            <v>pas</v>
          </cell>
        </row>
        <row r="98">
          <cell r="F98" t="str">
            <v>pas</v>
          </cell>
        </row>
        <row r="99">
          <cell r="F99" t="str">
            <v>pas</v>
          </cell>
        </row>
        <row r="100">
          <cell r="F100" t="str">
            <v>pas</v>
          </cell>
        </row>
        <row r="101">
          <cell r="F101" t="str">
            <v>pas</v>
          </cell>
        </row>
        <row r="102">
          <cell r="F102" t="str">
            <v>pas</v>
          </cell>
        </row>
        <row r="103">
          <cell r="F103" t="str">
            <v>pas</v>
          </cell>
        </row>
        <row r="104">
          <cell r="F104" t="str">
            <v>pas</v>
          </cell>
        </row>
        <row r="105">
          <cell r="F105" t="str">
            <v>pas</v>
          </cell>
        </row>
        <row r="106">
          <cell r="F106" t="str">
            <v>pas</v>
          </cell>
        </row>
        <row r="107">
          <cell r="F107" t="str">
            <v>pas</v>
          </cell>
        </row>
        <row r="108">
          <cell r="F108" t="str">
            <v>pas</v>
          </cell>
        </row>
        <row r="109">
          <cell r="F109" t="str">
            <v>pas</v>
          </cell>
        </row>
        <row r="110">
          <cell r="F110" t="str">
            <v>pas</v>
          </cell>
        </row>
        <row r="111">
          <cell r="F111" t="str">
            <v>pas</v>
          </cell>
        </row>
        <row r="112">
          <cell r="F112" t="str">
            <v>pas</v>
          </cell>
        </row>
        <row r="113">
          <cell r="F113" t="str">
            <v>pas</v>
          </cell>
        </row>
        <row r="114">
          <cell r="F114" t="str">
            <v>pas</v>
          </cell>
        </row>
        <row r="115">
          <cell r="F115" t="str">
            <v>pas</v>
          </cell>
        </row>
        <row r="116">
          <cell r="F116" t="str">
            <v>pas</v>
          </cell>
        </row>
        <row r="117">
          <cell r="F117" t="str">
            <v>pas</v>
          </cell>
        </row>
        <row r="118">
          <cell r="F118" t="str">
            <v>pas</v>
          </cell>
        </row>
        <row r="119">
          <cell r="F119" t="str">
            <v>pas</v>
          </cell>
        </row>
        <row r="120">
          <cell r="F120" t="str">
            <v>pas</v>
          </cell>
        </row>
        <row r="121">
          <cell r="F121" t="str">
            <v>pas</v>
          </cell>
        </row>
        <row r="122">
          <cell r="F122" t="str">
            <v>pas</v>
          </cell>
        </row>
        <row r="123">
          <cell r="F123" t="str">
            <v>pas</v>
          </cell>
        </row>
        <row r="124">
          <cell r="F124" t="str">
            <v>pas</v>
          </cell>
        </row>
        <row r="125">
          <cell r="F125" t="str">
            <v>pas</v>
          </cell>
        </row>
        <row r="126">
          <cell r="F126" t="str">
            <v>pas</v>
          </cell>
        </row>
        <row r="127">
          <cell r="F127" t="str">
            <v>pas</v>
          </cell>
        </row>
        <row r="128">
          <cell r="F128" t="str">
            <v>pas</v>
          </cell>
        </row>
        <row r="129">
          <cell r="F129" t="str">
            <v>pas</v>
          </cell>
        </row>
        <row r="130">
          <cell r="F130" t="str">
            <v>pas</v>
          </cell>
        </row>
        <row r="131">
          <cell r="F131" t="str">
            <v>oui</v>
          </cell>
        </row>
        <row r="132">
          <cell r="F132" t="str">
            <v>non</v>
          </cell>
        </row>
        <row r="133">
          <cell r="F133" t="str">
            <v>oui</v>
          </cell>
        </row>
        <row r="134">
          <cell r="F134" t="str">
            <v>oui</v>
          </cell>
        </row>
        <row r="135">
          <cell r="F135" t="str">
            <v>non</v>
          </cell>
        </row>
        <row r="136">
          <cell r="F136" t="str">
            <v>oui</v>
          </cell>
        </row>
        <row r="137">
          <cell r="F137" t="str">
            <v>oui</v>
          </cell>
        </row>
        <row r="138">
          <cell r="F138" t="str">
            <v>non</v>
          </cell>
        </row>
        <row r="139">
          <cell r="F139" t="str">
            <v>oui</v>
          </cell>
        </row>
        <row r="140">
          <cell r="F140" t="str">
            <v>oui</v>
          </cell>
        </row>
        <row r="141">
          <cell r="F141" t="str">
            <v>non</v>
          </cell>
        </row>
        <row r="142">
          <cell r="F142" t="str">
            <v>oui</v>
          </cell>
        </row>
        <row r="143">
          <cell r="F143" t="str">
            <v>oui</v>
          </cell>
        </row>
        <row r="144">
          <cell r="F144" t="str">
            <v>non</v>
          </cell>
        </row>
        <row r="145">
          <cell r="F145" t="str">
            <v>oui</v>
          </cell>
        </row>
        <row r="146">
          <cell r="F146" t="str">
            <v>oui</v>
          </cell>
        </row>
        <row r="147">
          <cell r="F147" t="str">
            <v>non</v>
          </cell>
        </row>
        <row r="148">
          <cell r="F148" t="str">
            <v>oui</v>
          </cell>
        </row>
        <row r="149">
          <cell r="F149" t="str">
            <v>oui</v>
          </cell>
        </row>
        <row r="150">
          <cell r="F150" t="str">
            <v>non</v>
          </cell>
        </row>
        <row r="151">
          <cell r="F151" t="str">
            <v>oui</v>
          </cell>
        </row>
        <row r="152">
          <cell r="F152" t="str">
            <v>oui</v>
          </cell>
        </row>
        <row r="153">
          <cell r="F153" t="str">
            <v>non</v>
          </cell>
        </row>
        <row r="154">
          <cell r="F154" t="str">
            <v>oui</v>
          </cell>
        </row>
        <row r="155">
          <cell r="F155" t="str">
            <v>oui</v>
          </cell>
        </row>
        <row r="156">
          <cell r="F156" t="str">
            <v>non</v>
          </cell>
        </row>
        <row r="157">
          <cell r="F157" t="str">
            <v>oui</v>
          </cell>
        </row>
        <row r="158">
          <cell r="F158" t="str">
            <v>oui</v>
          </cell>
        </row>
        <row r="159">
          <cell r="F159" t="str">
            <v>non</v>
          </cell>
        </row>
        <row r="160">
          <cell r="F160" t="str">
            <v>oui</v>
          </cell>
        </row>
        <row r="161">
          <cell r="F161" t="str">
            <v>oui</v>
          </cell>
        </row>
        <row r="162">
          <cell r="F162" t="str">
            <v>non</v>
          </cell>
        </row>
        <row r="163">
          <cell r="F163" t="str">
            <v>oui</v>
          </cell>
        </row>
        <row r="164">
          <cell r="F164" t="str">
            <v>oui</v>
          </cell>
        </row>
        <row r="165">
          <cell r="F165" t="str">
            <v>non</v>
          </cell>
        </row>
        <row r="166">
          <cell r="F166" t="str">
            <v>oui</v>
          </cell>
        </row>
        <row r="167">
          <cell r="F167" t="str">
            <v>oui</v>
          </cell>
        </row>
        <row r="168">
          <cell r="F168" t="str">
            <v>non</v>
          </cell>
        </row>
        <row r="169">
          <cell r="F169" t="str">
            <v>oui</v>
          </cell>
        </row>
        <row r="170">
          <cell r="F170" t="str">
            <v>oui</v>
          </cell>
        </row>
        <row r="171">
          <cell r="F171" t="str">
            <v>non</v>
          </cell>
        </row>
        <row r="172">
          <cell r="F172" t="str">
            <v>oui</v>
          </cell>
        </row>
        <row r="173">
          <cell r="F173" t="str">
            <v>oui</v>
          </cell>
        </row>
        <row r="174">
          <cell r="F174" t="str">
            <v>non</v>
          </cell>
        </row>
        <row r="175">
          <cell r="F175" t="str">
            <v>oui</v>
          </cell>
        </row>
        <row r="176">
          <cell r="F176" t="str">
            <v>oui</v>
          </cell>
        </row>
        <row r="177">
          <cell r="F177" t="str">
            <v>non</v>
          </cell>
        </row>
        <row r="178">
          <cell r="F178" t="str">
            <v>oui</v>
          </cell>
        </row>
        <row r="179">
          <cell r="F179" t="str">
            <v>oui</v>
          </cell>
        </row>
        <row r="180">
          <cell r="F180" t="str">
            <v>non</v>
          </cell>
        </row>
        <row r="181">
          <cell r="F181" t="str">
            <v>oui</v>
          </cell>
        </row>
        <row r="182">
          <cell r="F182" t="str">
            <v>oui</v>
          </cell>
        </row>
        <row r="183">
          <cell r="F183" t="str">
            <v>non</v>
          </cell>
        </row>
        <row r="184">
          <cell r="F184" t="str">
            <v>oui</v>
          </cell>
        </row>
        <row r="185">
          <cell r="F185" t="str">
            <v>oui</v>
          </cell>
        </row>
        <row r="186">
          <cell r="F186" t="str">
            <v>non</v>
          </cell>
        </row>
        <row r="187">
          <cell r="F187" t="str">
            <v>oui</v>
          </cell>
        </row>
        <row r="188">
          <cell r="F188" t="str">
            <v>oui</v>
          </cell>
        </row>
        <row r="189">
          <cell r="F189" t="str">
            <v>non</v>
          </cell>
        </row>
        <row r="190">
          <cell r="F190" t="str">
            <v>oui</v>
          </cell>
        </row>
        <row r="191">
          <cell r="F191" t="str">
            <v>oui</v>
          </cell>
        </row>
        <row r="192">
          <cell r="F192" t="str">
            <v>non</v>
          </cell>
        </row>
        <row r="193">
          <cell r="F193" t="str">
            <v>oui</v>
          </cell>
        </row>
        <row r="194">
          <cell r="F194" t="str">
            <v>oui</v>
          </cell>
        </row>
        <row r="195">
          <cell r="F195" t="str">
            <v>non</v>
          </cell>
        </row>
        <row r="196">
          <cell r="F196" t="str">
            <v>oui</v>
          </cell>
        </row>
        <row r="197">
          <cell r="F197" t="str">
            <v>oui</v>
          </cell>
        </row>
        <row r="198">
          <cell r="F198" t="str">
            <v>non</v>
          </cell>
        </row>
        <row r="199">
          <cell r="F199" t="str">
            <v>oui</v>
          </cell>
        </row>
        <row r="200">
          <cell r="F200" t="str">
            <v>oui</v>
          </cell>
        </row>
        <row r="201">
          <cell r="F201" t="str">
            <v>non</v>
          </cell>
        </row>
        <row r="202">
          <cell r="F202" t="str">
            <v>oui</v>
          </cell>
        </row>
        <row r="203">
          <cell r="F203" t="str">
            <v>oui</v>
          </cell>
        </row>
        <row r="204">
          <cell r="F204" t="str">
            <v>non</v>
          </cell>
        </row>
        <row r="205">
          <cell r="F205" t="str">
            <v>oui</v>
          </cell>
        </row>
        <row r="206">
          <cell r="F206" t="str">
            <v>oui</v>
          </cell>
        </row>
        <row r="207">
          <cell r="F207" t="str">
            <v>non</v>
          </cell>
        </row>
        <row r="208">
          <cell r="F208" t="str">
            <v>oui</v>
          </cell>
        </row>
        <row r="209">
          <cell r="F209" t="str">
            <v>oui</v>
          </cell>
        </row>
        <row r="210">
          <cell r="F210" t="str">
            <v>non</v>
          </cell>
        </row>
        <row r="211">
          <cell r="F211" t="str">
            <v>oui</v>
          </cell>
        </row>
        <row r="212">
          <cell r="F212" t="str">
            <v>oui</v>
          </cell>
        </row>
        <row r="213">
          <cell r="F213" t="str">
            <v>non</v>
          </cell>
        </row>
        <row r="214">
          <cell r="F214" t="str">
            <v>oui</v>
          </cell>
        </row>
        <row r="215">
          <cell r="F215" t="str">
            <v>oui</v>
          </cell>
        </row>
        <row r="216">
          <cell r="F216" t="str">
            <v>non</v>
          </cell>
        </row>
        <row r="217">
          <cell r="F217" t="str">
            <v>oui</v>
          </cell>
        </row>
        <row r="218">
          <cell r="F218" t="str">
            <v>oui</v>
          </cell>
        </row>
        <row r="219">
          <cell r="F219" t="str">
            <v>non</v>
          </cell>
        </row>
        <row r="220">
          <cell r="F220" t="str">
            <v>oui</v>
          </cell>
        </row>
        <row r="221">
          <cell r="F221" t="str">
            <v>oui</v>
          </cell>
        </row>
        <row r="222">
          <cell r="F222" t="str">
            <v>non</v>
          </cell>
        </row>
        <row r="223">
          <cell r="F223" t="str">
            <v>oui</v>
          </cell>
        </row>
        <row r="224">
          <cell r="F224" t="str">
            <v>oui</v>
          </cell>
        </row>
        <row r="225">
          <cell r="F225" t="str">
            <v>non</v>
          </cell>
        </row>
        <row r="226">
          <cell r="F226" t="str">
            <v>oui</v>
          </cell>
        </row>
        <row r="227">
          <cell r="F227" t="str">
            <v>oui</v>
          </cell>
        </row>
        <row r="228">
          <cell r="F228" t="str">
            <v>non</v>
          </cell>
        </row>
        <row r="229">
          <cell r="F229" t="str">
            <v>oui</v>
          </cell>
        </row>
        <row r="230">
          <cell r="F230" t="str">
            <v>oui</v>
          </cell>
        </row>
        <row r="231">
          <cell r="F231" t="str">
            <v>non</v>
          </cell>
        </row>
        <row r="232">
          <cell r="F232" t="str">
            <v>pas</v>
          </cell>
        </row>
        <row r="233">
          <cell r="F233" t="str">
            <v>pas</v>
          </cell>
        </row>
        <row r="234">
          <cell r="F234" t="str">
            <v>pas</v>
          </cell>
        </row>
        <row r="235">
          <cell r="F235" t="str">
            <v>oui</v>
          </cell>
        </row>
        <row r="236">
          <cell r="F236" t="str">
            <v>oui</v>
          </cell>
        </row>
        <row r="237">
          <cell r="F237" t="str">
            <v>oui</v>
          </cell>
        </row>
        <row r="238">
          <cell r="F238" t="str">
            <v>oui</v>
          </cell>
        </row>
        <row r="239">
          <cell r="F239" t="str">
            <v>oui</v>
          </cell>
        </row>
        <row r="240">
          <cell r="F240" t="str">
            <v>oui</v>
          </cell>
        </row>
        <row r="241">
          <cell r="F241" t="str">
            <v>oui</v>
          </cell>
        </row>
        <row r="242">
          <cell r="F242" t="str">
            <v>oui</v>
          </cell>
        </row>
        <row r="243">
          <cell r="F243" t="str">
            <v>oui</v>
          </cell>
        </row>
        <row r="244">
          <cell r="F244" t="str">
            <v>oui</v>
          </cell>
        </row>
        <row r="245">
          <cell r="F245" t="str">
            <v>oui</v>
          </cell>
        </row>
        <row r="246">
          <cell r="F246" t="str">
            <v>oui</v>
          </cell>
        </row>
        <row r="247">
          <cell r="F247" t="str">
            <v>oui</v>
          </cell>
        </row>
        <row r="248">
          <cell r="F248" t="str">
            <v>oui</v>
          </cell>
        </row>
        <row r="249">
          <cell r="F249" t="str">
            <v>oui</v>
          </cell>
        </row>
        <row r="250">
          <cell r="F250" t="str">
            <v>oui</v>
          </cell>
        </row>
        <row r="251">
          <cell r="F251" t="str">
            <v>oui</v>
          </cell>
        </row>
        <row r="252">
          <cell r="F252" t="str">
            <v>oui</v>
          </cell>
        </row>
        <row r="253">
          <cell r="F253" t="str">
            <v>oui</v>
          </cell>
        </row>
        <row r="254">
          <cell r="F254" t="str">
            <v>oui</v>
          </cell>
        </row>
        <row r="255">
          <cell r="F255" t="str">
            <v>oui</v>
          </cell>
        </row>
        <row r="256">
          <cell r="F256" t="str">
            <v>oui</v>
          </cell>
        </row>
        <row r="257">
          <cell r="F257" t="str">
            <v>oui</v>
          </cell>
        </row>
        <row r="258">
          <cell r="F258" t="str">
            <v>oui</v>
          </cell>
        </row>
        <row r="259">
          <cell r="F259" t="str">
            <v>oui</v>
          </cell>
        </row>
        <row r="260">
          <cell r="F260" t="str">
            <v>oui</v>
          </cell>
        </row>
        <row r="261">
          <cell r="F261" t="str">
            <v>oui</v>
          </cell>
        </row>
        <row r="262">
          <cell r="F262" t="str">
            <v>oui</v>
          </cell>
        </row>
        <row r="263">
          <cell r="F263" t="str">
            <v>oui</v>
          </cell>
        </row>
        <row r="264">
          <cell r="F264" t="str">
            <v>oui</v>
          </cell>
        </row>
        <row r="265">
          <cell r="F265" t="str">
            <v>oui</v>
          </cell>
        </row>
        <row r="266">
          <cell r="F266" t="str">
            <v>oui</v>
          </cell>
        </row>
        <row r="267">
          <cell r="F267" t="str">
            <v>oui</v>
          </cell>
        </row>
        <row r="268">
          <cell r="F268" t="str">
            <v>oui</v>
          </cell>
        </row>
        <row r="269">
          <cell r="F269" t="str">
            <v>oui</v>
          </cell>
        </row>
        <row r="270">
          <cell r="F270" t="str">
            <v>oui</v>
          </cell>
        </row>
        <row r="271">
          <cell r="F271" t="str">
            <v>oui</v>
          </cell>
        </row>
        <row r="272">
          <cell r="F272" t="str">
            <v>oui</v>
          </cell>
        </row>
        <row r="273">
          <cell r="F273" t="str">
            <v>oui</v>
          </cell>
        </row>
        <row r="274">
          <cell r="F274" t="str">
            <v>oui</v>
          </cell>
        </row>
        <row r="275">
          <cell r="F275" t="str">
            <v>oui</v>
          </cell>
        </row>
        <row r="276">
          <cell r="F276" t="str">
            <v>oui</v>
          </cell>
        </row>
        <row r="277">
          <cell r="F277" t="str">
            <v>oui</v>
          </cell>
        </row>
        <row r="278">
          <cell r="F278" t="str">
            <v>oui</v>
          </cell>
        </row>
        <row r="279">
          <cell r="F279" t="str">
            <v>oui</v>
          </cell>
        </row>
        <row r="280">
          <cell r="F280" t="str">
            <v>oui</v>
          </cell>
        </row>
        <row r="281">
          <cell r="F281" t="str">
            <v>oui</v>
          </cell>
        </row>
        <row r="282">
          <cell r="F282" t="str">
            <v>oui</v>
          </cell>
        </row>
        <row r="283">
          <cell r="F283" t="str">
            <v>oui</v>
          </cell>
        </row>
        <row r="284">
          <cell r="F284" t="str">
            <v>oui</v>
          </cell>
        </row>
        <row r="285">
          <cell r="F285" t="str">
            <v>oui</v>
          </cell>
        </row>
        <row r="286">
          <cell r="F286" t="str">
            <v>oui</v>
          </cell>
        </row>
        <row r="287">
          <cell r="F287" t="str">
            <v>oui</v>
          </cell>
        </row>
        <row r="288">
          <cell r="F288" t="str">
            <v>oui</v>
          </cell>
        </row>
        <row r="289">
          <cell r="F289" t="str">
            <v>oui</v>
          </cell>
        </row>
        <row r="290">
          <cell r="F290" t="str">
            <v>oui</v>
          </cell>
        </row>
        <row r="291">
          <cell r="F291" t="str">
            <v>oui</v>
          </cell>
        </row>
        <row r="292">
          <cell r="F292" t="str">
            <v>oui</v>
          </cell>
        </row>
        <row r="293">
          <cell r="F293" t="str">
            <v>oui</v>
          </cell>
        </row>
        <row r="294">
          <cell r="F294" t="str">
            <v>oui</v>
          </cell>
        </row>
        <row r="295">
          <cell r="F295" t="str">
            <v>oui</v>
          </cell>
        </row>
        <row r="296">
          <cell r="F296" t="str">
            <v>oui</v>
          </cell>
        </row>
        <row r="297">
          <cell r="F297" t="str">
            <v>oui</v>
          </cell>
        </row>
        <row r="298">
          <cell r="F298" t="str">
            <v>oui</v>
          </cell>
        </row>
        <row r="299">
          <cell r="F299" t="str">
            <v>oui</v>
          </cell>
        </row>
        <row r="300">
          <cell r="F300" t="str">
            <v>oui</v>
          </cell>
        </row>
        <row r="301">
          <cell r="F301" t="str">
            <v>oui</v>
          </cell>
        </row>
        <row r="302">
          <cell r="F302" t="str">
            <v>oui</v>
          </cell>
        </row>
        <row r="303">
          <cell r="F303" t="str">
            <v>oui</v>
          </cell>
        </row>
        <row r="304">
          <cell r="F304" t="str">
            <v>oui</v>
          </cell>
        </row>
        <row r="305">
          <cell r="F305" t="str">
            <v>oui</v>
          </cell>
        </row>
        <row r="306">
          <cell r="F306" t="str">
            <v>oui</v>
          </cell>
        </row>
        <row r="307">
          <cell r="F307" t="str">
            <v>oui</v>
          </cell>
        </row>
        <row r="308">
          <cell r="F308" t="str">
            <v>oui</v>
          </cell>
        </row>
        <row r="309">
          <cell r="F309" t="str">
            <v>oui</v>
          </cell>
        </row>
        <row r="310">
          <cell r="F310" t="str">
            <v>oui</v>
          </cell>
        </row>
        <row r="311">
          <cell r="F311" t="str">
            <v>oui</v>
          </cell>
        </row>
        <row r="312">
          <cell r="F312" t="str">
            <v>oui</v>
          </cell>
        </row>
        <row r="313">
          <cell r="F313" t="str">
            <v>oui</v>
          </cell>
        </row>
        <row r="314">
          <cell r="F314" t="str">
            <v>oui</v>
          </cell>
        </row>
        <row r="315">
          <cell r="F315" t="str">
            <v>oui</v>
          </cell>
        </row>
        <row r="316">
          <cell r="F316" t="str">
            <v>oui</v>
          </cell>
        </row>
        <row r="317">
          <cell r="F317" t="str">
            <v>oui</v>
          </cell>
        </row>
        <row r="318">
          <cell r="F318" t="str">
            <v>oui</v>
          </cell>
        </row>
        <row r="319">
          <cell r="F319" t="str">
            <v>oui</v>
          </cell>
        </row>
        <row r="320">
          <cell r="F320" t="str">
            <v>oui</v>
          </cell>
        </row>
        <row r="321">
          <cell r="F321" t="str">
            <v>oui</v>
          </cell>
        </row>
        <row r="322">
          <cell r="F322" t="str">
            <v>oui</v>
          </cell>
        </row>
        <row r="323">
          <cell r="F323" t="str">
            <v>oui</v>
          </cell>
        </row>
        <row r="324">
          <cell r="F324" t="str">
            <v>oui</v>
          </cell>
        </row>
        <row r="325">
          <cell r="F325" t="str">
            <v>oui</v>
          </cell>
        </row>
        <row r="326">
          <cell r="F326" t="str">
            <v>oui</v>
          </cell>
        </row>
        <row r="327">
          <cell r="F327" t="str">
            <v>oui</v>
          </cell>
        </row>
        <row r="328">
          <cell r="F328" t="str">
            <v>oui</v>
          </cell>
        </row>
        <row r="329">
          <cell r="F329" t="str">
            <v>oui</v>
          </cell>
        </row>
        <row r="330">
          <cell r="F330" t="str">
            <v>oui</v>
          </cell>
        </row>
        <row r="331">
          <cell r="F331" t="str">
            <v>oui</v>
          </cell>
        </row>
        <row r="332">
          <cell r="F332" t="str">
            <v>oui</v>
          </cell>
        </row>
        <row r="333">
          <cell r="F333" t="str">
            <v>pas</v>
          </cell>
        </row>
        <row r="334">
          <cell r="F334" t="str">
            <v>pas</v>
          </cell>
        </row>
        <row r="335">
          <cell r="F335" t="str">
            <v>pas</v>
          </cell>
        </row>
        <row r="336">
          <cell r="F336" t="str">
            <v>pas</v>
          </cell>
        </row>
        <row r="337">
          <cell r="F337" t="str">
            <v>pas</v>
          </cell>
        </row>
        <row r="338">
          <cell r="F338" t="str">
            <v>pas</v>
          </cell>
        </row>
        <row r="339">
          <cell r="F339" t="str">
            <v>pas</v>
          </cell>
        </row>
        <row r="340">
          <cell r="F340" t="str">
            <v>pas</v>
          </cell>
        </row>
        <row r="341">
          <cell r="F341" t="str">
            <v>pas</v>
          </cell>
        </row>
        <row r="342">
          <cell r="F342" t="str">
            <v>pas</v>
          </cell>
        </row>
        <row r="343">
          <cell r="F343" t="str">
            <v>pas</v>
          </cell>
        </row>
        <row r="344">
          <cell r="F344" t="str">
            <v>pas</v>
          </cell>
        </row>
        <row r="345">
          <cell r="F345" t="str">
            <v>pas</v>
          </cell>
        </row>
        <row r="346">
          <cell r="F346" t="str">
            <v>pas</v>
          </cell>
        </row>
        <row r="347">
          <cell r="F347" t="str">
            <v>pas</v>
          </cell>
        </row>
        <row r="348">
          <cell r="F348" t="str">
            <v>pas</v>
          </cell>
        </row>
        <row r="349">
          <cell r="F349" t="str">
            <v>pas</v>
          </cell>
        </row>
        <row r="350">
          <cell r="F350" t="str">
            <v>pas</v>
          </cell>
        </row>
        <row r="351">
          <cell r="F351" t="str">
            <v>pas</v>
          </cell>
        </row>
        <row r="352">
          <cell r="F352" t="str">
            <v>pas</v>
          </cell>
        </row>
        <row r="353">
          <cell r="F353" t="str">
            <v>pas</v>
          </cell>
        </row>
        <row r="354">
          <cell r="F354" t="str">
            <v>pas</v>
          </cell>
        </row>
        <row r="355">
          <cell r="F355" t="str">
            <v>pas</v>
          </cell>
        </row>
        <row r="356">
          <cell r="F356" t="str">
            <v>pas</v>
          </cell>
        </row>
        <row r="357">
          <cell r="F357" t="str">
            <v>pas</v>
          </cell>
        </row>
        <row r="358">
          <cell r="F358" t="str">
            <v>pas</v>
          </cell>
        </row>
        <row r="359">
          <cell r="F359" t="str">
            <v>pas</v>
          </cell>
        </row>
        <row r="360">
          <cell r="F360" t="str">
            <v>pas</v>
          </cell>
        </row>
        <row r="361">
          <cell r="F361" t="str">
            <v>pas</v>
          </cell>
        </row>
        <row r="362">
          <cell r="F362" t="str">
            <v>pas</v>
          </cell>
        </row>
        <row r="363">
          <cell r="F363" t="str">
            <v>pas</v>
          </cell>
        </row>
        <row r="364">
          <cell r="F364" t="str">
            <v>pas</v>
          </cell>
        </row>
        <row r="365">
          <cell r="F365" t="str">
            <v>pas</v>
          </cell>
        </row>
        <row r="366">
          <cell r="F366" t="str">
            <v>pas</v>
          </cell>
        </row>
        <row r="367">
          <cell r="F367" t="str">
            <v>pas</v>
          </cell>
        </row>
        <row r="368">
          <cell r="F368" t="str">
            <v>pas</v>
          </cell>
        </row>
        <row r="369">
          <cell r="F369" t="str">
            <v>pas</v>
          </cell>
        </row>
        <row r="370">
          <cell r="F370" t="str">
            <v>pas</v>
          </cell>
        </row>
        <row r="371">
          <cell r="F371" t="str">
            <v>pas</v>
          </cell>
        </row>
        <row r="372">
          <cell r="F372" t="str">
            <v>pas</v>
          </cell>
        </row>
        <row r="373">
          <cell r="F373" t="str">
            <v>pas</v>
          </cell>
        </row>
        <row r="374">
          <cell r="F374" t="str">
            <v>pas</v>
          </cell>
        </row>
        <row r="375">
          <cell r="F375" t="str">
            <v>pas</v>
          </cell>
        </row>
        <row r="376">
          <cell r="F376" t="str">
            <v>pas</v>
          </cell>
        </row>
        <row r="377">
          <cell r="F377" t="str">
            <v>pas</v>
          </cell>
        </row>
        <row r="378">
          <cell r="F378" t="str">
            <v>pas</v>
          </cell>
        </row>
        <row r="379">
          <cell r="F379" t="str">
            <v>pas</v>
          </cell>
        </row>
        <row r="380">
          <cell r="F380" t="str">
            <v>pas</v>
          </cell>
        </row>
        <row r="381">
          <cell r="F381" t="str">
            <v>pas</v>
          </cell>
        </row>
        <row r="382">
          <cell r="F382" t="str">
            <v>pas</v>
          </cell>
        </row>
        <row r="383">
          <cell r="F383" t="str">
            <v>pas</v>
          </cell>
        </row>
        <row r="384">
          <cell r="F384" t="str">
            <v>pas</v>
          </cell>
        </row>
        <row r="385">
          <cell r="F385" t="str">
            <v>pas</v>
          </cell>
        </row>
        <row r="386">
          <cell r="F386" t="str">
            <v>pas</v>
          </cell>
        </row>
        <row r="387">
          <cell r="F387" t="str">
            <v>pas</v>
          </cell>
        </row>
        <row r="388">
          <cell r="F388" t="str">
            <v>pas</v>
          </cell>
        </row>
        <row r="389">
          <cell r="F389" t="str">
            <v>pas</v>
          </cell>
        </row>
        <row r="390">
          <cell r="F390" t="str">
            <v>pas</v>
          </cell>
        </row>
        <row r="391">
          <cell r="F391" t="str">
            <v>pas</v>
          </cell>
        </row>
        <row r="392">
          <cell r="F392" t="str">
            <v>pas</v>
          </cell>
        </row>
        <row r="393">
          <cell r="F393" t="str">
            <v>pas</v>
          </cell>
        </row>
        <row r="394">
          <cell r="F394" t="str">
            <v>pas</v>
          </cell>
        </row>
        <row r="395">
          <cell r="F395" t="str">
            <v>pas</v>
          </cell>
        </row>
        <row r="396">
          <cell r="F396" t="str">
            <v>pas</v>
          </cell>
        </row>
        <row r="397">
          <cell r="F397" t="str">
            <v>pas</v>
          </cell>
        </row>
        <row r="398">
          <cell r="F398" t="str">
            <v>pas</v>
          </cell>
        </row>
        <row r="399">
          <cell r="F399" t="str">
            <v>pas</v>
          </cell>
        </row>
        <row r="400">
          <cell r="F400" t="str">
            <v>pas</v>
          </cell>
        </row>
        <row r="401">
          <cell r="F401" t="str">
            <v>pas</v>
          </cell>
        </row>
        <row r="402">
          <cell r="F402" t="str">
            <v>pas</v>
          </cell>
        </row>
        <row r="403">
          <cell r="F403" t="str">
            <v>pas</v>
          </cell>
        </row>
        <row r="404">
          <cell r="F404" t="str">
            <v>pas</v>
          </cell>
        </row>
        <row r="405">
          <cell r="F405" t="str">
            <v>pas</v>
          </cell>
        </row>
        <row r="406">
          <cell r="F406" t="str">
            <v>pas</v>
          </cell>
        </row>
        <row r="407">
          <cell r="F407" t="str">
            <v>pas</v>
          </cell>
        </row>
        <row r="408">
          <cell r="F408" t="str">
            <v>pas</v>
          </cell>
        </row>
        <row r="409">
          <cell r="F409" t="str">
            <v>pas</v>
          </cell>
        </row>
        <row r="410">
          <cell r="F410" t="str">
            <v>pas</v>
          </cell>
        </row>
        <row r="411">
          <cell r="F411" t="str">
            <v>pas</v>
          </cell>
        </row>
        <row r="412">
          <cell r="F412" t="str">
            <v>pas</v>
          </cell>
        </row>
        <row r="413">
          <cell r="F413" t="str">
            <v>pas</v>
          </cell>
        </row>
        <row r="414">
          <cell r="F414" t="str">
            <v>pas</v>
          </cell>
        </row>
        <row r="415">
          <cell r="F415" t="str">
            <v>pas</v>
          </cell>
        </row>
        <row r="416">
          <cell r="F416" t="str">
            <v>pas</v>
          </cell>
        </row>
        <row r="417">
          <cell r="F417" t="str">
            <v>pas</v>
          </cell>
        </row>
        <row r="418">
          <cell r="F418" t="str">
            <v>pas</v>
          </cell>
        </row>
        <row r="419">
          <cell r="F419" t="str">
            <v>pas</v>
          </cell>
        </row>
        <row r="420">
          <cell r="F420" t="str">
            <v>pas</v>
          </cell>
        </row>
        <row r="421">
          <cell r="F421" t="str">
            <v>pas</v>
          </cell>
        </row>
        <row r="422">
          <cell r="F422" t="str">
            <v>pas</v>
          </cell>
        </row>
        <row r="423">
          <cell r="F423" t="str">
            <v>pas</v>
          </cell>
        </row>
        <row r="424">
          <cell r="F424" t="str">
            <v>pas</v>
          </cell>
        </row>
        <row r="425">
          <cell r="F425" t="str">
            <v>pas</v>
          </cell>
        </row>
        <row r="426">
          <cell r="F426" t="str">
            <v>pas</v>
          </cell>
        </row>
        <row r="427">
          <cell r="F427" t="str">
            <v>pas</v>
          </cell>
        </row>
        <row r="428">
          <cell r="F428" t="str">
            <v>pas</v>
          </cell>
        </row>
        <row r="429">
          <cell r="F429" t="str">
            <v>pas</v>
          </cell>
        </row>
        <row r="430">
          <cell r="F430" t="str">
            <v>pas</v>
          </cell>
        </row>
        <row r="431">
          <cell r="F431" t="str">
            <v>pas</v>
          </cell>
        </row>
        <row r="432">
          <cell r="F432" t="str">
            <v>non</v>
          </cell>
        </row>
        <row r="433">
          <cell r="F433" t="str">
            <v>non</v>
          </cell>
        </row>
        <row r="434">
          <cell r="F434" t="str">
            <v>non</v>
          </cell>
        </row>
        <row r="435">
          <cell r="F435" t="str">
            <v>non</v>
          </cell>
        </row>
        <row r="436">
          <cell r="F436" t="str">
            <v>non</v>
          </cell>
        </row>
        <row r="437">
          <cell r="F437" t="str">
            <v>non</v>
          </cell>
        </row>
        <row r="438">
          <cell r="F438" t="str">
            <v>non</v>
          </cell>
        </row>
        <row r="439">
          <cell r="F439" t="str">
            <v>non</v>
          </cell>
        </row>
        <row r="440">
          <cell r="F440" t="str">
            <v>non</v>
          </cell>
        </row>
        <row r="441">
          <cell r="F441" t="str">
            <v>non</v>
          </cell>
        </row>
        <row r="442">
          <cell r="F442" t="str">
            <v>non</v>
          </cell>
        </row>
        <row r="443">
          <cell r="F443" t="str">
            <v>non</v>
          </cell>
        </row>
        <row r="444">
          <cell r="F444" t="str">
            <v>non</v>
          </cell>
        </row>
        <row r="445">
          <cell r="F445" t="str">
            <v>non</v>
          </cell>
        </row>
        <row r="446">
          <cell r="F446" t="str">
            <v>non</v>
          </cell>
        </row>
        <row r="447">
          <cell r="F447" t="str">
            <v>non</v>
          </cell>
        </row>
        <row r="448">
          <cell r="F448" t="str">
            <v>non</v>
          </cell>
        </row>
        <row r="449">
          <cell r="F449" t="str">
            <v>non</v>
          </cell>
        </row>
        <row r="450">
          <cell r="F450" t="str">
            <v>non</v>
          </cell>
        </row>
        <row r="451">
          <cell r="F451" t="str">
            <v>non</v>
          </cell>
        </row>
        <row r="452">
          <cell r="F452" t="str">
            <v>non</v>
          </cell>
        </row>
        <row r="453">
          <cell r="F453" t="str">
            <v>non</v>
          </cell>
        </row>
        <row r="454">
          <cell r="F454" t="str">
            <v>non</v>
          </cell>
        </row>
        <row r="455">
          <cell r="F455" t="str">
            <v>non</v>
          </cell>
        </row>
        <row r="456">
          <cell r="F456" t="str">
            <v>non</v>
          </cell>
        </row>
        <row r="457">
          <cell r="F457" t="str">
            <v>non</v>
          </cell>
        </row>
        <row r="458">
          <cell r="F458" t="str">
            <v>non</v>
          </cell>
        </row>
        <row r="459">
          <cell r="F459" t="str">
            <v>non</v>
          </cell>
        </row>
        <row r="460">
          <cell r="F460" t="str">
            <v>non</v>
          </cell>
        </row>
        <row r="461">
          <cell r="F461" t="str">
            <v>non</v>
          </cell>
        </row>
        <row r="462">
          <cell r="F462" t="str">
            <v>non</v>
          </cell>
        </row>
        <row r="463">
          <cell r="F463" t="str">
            <v>non</v>
          </cell>
        </row>
        <row r="464">
          <cell r="F464" t="str">
            <v>non</v>
          </cell>
        </row>
        <row r="465">
          <cell r="F465" t="str">
            <v>non</v>
          </cell>
        </row>
        <row r="466">
          <cell r="F466" t="str">
            <v>non</v>
          </cell>
        </row>
        <row r="467">
          <cell r="F467" t="str">
            <v>non</v>
          </cell>
        </row>
        <row r="468">
          <cell r="F468" t="str">
            <v>non</v>
          </cell>
        </row>
        <row r="469">
          <cell r="F469" t="str">
            <v>non</v>
          </cell>
        </row>
        <row r="470">
          <cell r="F470" t="str">
            <v>pas</v>
          </cell>
        </row>
        <row r="471">
          <cell r="F471" t="str">
            <v>pas</v>
          </cell>
        </row>
        <row r="472">
          <cell r="F472" t="str">
            <v>non</v>
          </cell>
        </row>
        <row r="473">
          <cell r="F473" t="str">
            <v>pas</v>
          </cell>
        </row>
        <row r="474">
          <cell r="F474" t="str">
            <v>pas</v>
          </cell>
        </row>
        <row r="475">
          <cell r="F475" t="str">
            <v>pas</v>
          </cell>
        </row>
        <row r="476">
          <cell r="F476" t="str">
            <v>pas</v>
          </cell>
        </row>
        <row r="477">
          <cell r="F477" t="str">
            <v>pas</v>
          </cell>
        </row>
        <row r="478">
          <cell r="F478" t="str">
            <v>pas</v>
          </cell>
        </row>
        <row r="479">
          <cell r="F479" t="str">
            <v>pas</v>
          </cell>
        </row>
        <row r="480">
          <cell r="F480" t="str">
            <v>pas</v>
          </cell>
        </row>
      </sheetData>
      <sheetData sheetId="2">
        <row r="1">
          <cell r="F1" t="str">
            <v>REPONSES</v>
          </cell>
        </row>
        <row r="2">
          <cell r="F2" t="str">
            <v>oui</v>
          </cell>
        </row>
        <row r="3">
          <cell r="F3" t="str">
            <v>oui</v>
          </cell>
        </row>
        <row r="4">
          <cell r="F4" t="str">
            <v>non</v>
          </cell>
        </row>
        <row r="5">
          <cell r="F5" t="str">
            <v>oui</v>
          </cell>
        </row>
        <row r="6">
          <cell r="F6" t="str">
            <v>oui</v>
          </cell>
        </row>
        <row r="7">
          <cell r="F7" t="str">
            <v>oui</v>
          </cell>
        </row>
        <row r="8">
          <cell r="F8" t="str">
            <v>oui</v>
          </cell>
        </row>
        <row r="9">
          <cell r="F9" t="str">
            <v>oui</v>
          </cell>
        </row>
        <row r="10">
          <cell r="F10" t="str">
            <v>oui</v>
          </cell>
        </row>
        <row r="11">
          <cell r="F11" t="str">
            <v>oui</v>
          </cell>
        </row>
        <row r="12">
          <cell r="F12" t="str">
            <v>oui</v>
          </cell>
        </row>
        <row r="13">
          <cell r="F13" t="str">
            <v>oui</v>
          </cell>
        </row>
        <row r="14">
          <cell r="F14" t="str">
            <v>oui</v>
          </cell>
        </row>
        <row r="15">
          <cell r="F15" t="str">
            <v>oui</v>
          </cell>
        </row>
        <row r="16">
          <cell r="F16" t="str">
            <v>oui</v>
          </cell>
        </row>
        <row r="17">
          <cell r="F17" t="str">
            <v>oui</v>
          </cell>
        </row>
        <row r="18">
          <cell r="F18" t="str">
            <v>oui</v>
          </cell>
        </row>
        <row r="19">
          <cell r="F19" t="str">
            <v>oui</v>
          </cell>
        </row>
        <row r="20">
          <cell r="F20" t="str">
            <v>oui</v>
          </cell>
        </row>
        <row r="21">
          <cell r="F21" t="str">
            <v>oui</v>
          </cell>
        </row>
        <row r="22">
          <cell r="F22" t="str">
            <v>oui</v>
          </cell>
        </row>
        <row r="23">
          <cell r="F23" t="str">
            <v>oui</v>
          </cell>
        </row>
        <row r="24">
          <cell r="F24" t="str">
            <v>oui</v>
          </cell>
        </row>
        <row r="25">
          <cell r="F25" t="str">
            <v>oui</v>
          </cell>
        </row>
        <row r="26">
          <cell r="F26" t="str">
            <v>oui</v>
          </cell>
        </row>
        <row r="27">
          <cell r="F27" t="str">
            <v>oui</v>
          </cell>
        </row>
        <row r="28">
          <cell r="F28" t="str">
            <v>oui</v>
          </cell>
        </row>
        <row r="29">
          <cell r="F29" t="str">
            <v>oui</v>
          </cell>
        </row>
        <row r="30">
          <cell r="F30" t="str">
            <v>oui</v>
          </cell>
        </row>
        <row r="31">
          <cell r="F31" t="str">
            <v>oui</v>
          </cell>
        </row>
        <row r="32">
          <cell r="F32" t="str">
            <v>oui</v>
          </cell>
        </row>
        <row r="33">
          <cell r="F33" t="str">
            <v>oui</v>
          </cell>
        </row>
        <row r="34">
          <cell r="F34" t="str">
            <v>oui</v>
          </cell>
        </row>
        <row r="35">
          <cell r="F35" t="str">
            <v>oui</v>
          </cell>
        </row>
        <row r="36">
          <cell r="F36" t="str">
            <v>oui</v>
          </cell>
        </row>
        <row r="37">
          <cell r="F37" t="str">
            <v>non</v>
          </cell>
        </row>
        <row r="38">
          <cell r="F38" t="str">
            <v>non</v>
          </cell>
        </row>
        <row r="39">
          <cell r="F39" t="str">
            <v>non</v>
          </cell>
        </row>
        <row r="40">
          <cell r="F40" t="str">
            <v>non</v>
          </cell>
        </row>
        <row r="41">
          <cell r="F41" t="str">
            <v>non</v>
          </cell>
        </row>
        <row r="42">
          <cell r="F42" t="str">
            <v>non</v>
          </cell>
        </row>
        <row r="43">
          <cell r="F43" t="str">
            <v>non</v>
          </cell>
        </row>
        <row r="44">
          <cell r="F44" t="str">
            <v>non</v>
          </cell>
        </row>
        <row r="45">
          <cell r="F45" t="str">
            <v>non</v>
          </cell>
        </row>
        <row r="46">
          <cell r="F46" t="str">
            <v>non</v>
          </cell>
        </row>
        <row r="47">
          <cell r="F47" t="str">
            <v>non</v>
          </cell>
        </row>
        <row r="48">
          <cell r="F48" t="str">
            <v>OUI</v>
          </cell>
        </row>
        <row r="49">
          <cell r="F49" t="str">
            <v>OUI</v>
          </cell>
        </row>
        <row r="50">
          <cell r="F50" t="str">
            <v>OUI</v>
          </cell>
        </row>
        <row r="51">
          <cell r="F51" t="str">
            <v>OUI</v>
          </cell>
        </row>
        <row r="52">
          <cell r="F52" t="str">
            <v>OUI</v>
          </cell>
        </row>
        <row r="53">
          <cell r="F53" t="str">
            <v>OUI</v>
          </cell>
        </row>
        <row r="54">
          <cell r="F54" t="str">
            <v>OUI</v>
          </cell>
        </row>
        <row r="55">
          <cell r="F55" t="str">
            <v>OUI</v>
          </cell>
        </row>
        <row r="56">
          <cell r="F56" t="str">
            <v>OUI</v>
          </cell>
        </row>
        <row r="57">
          <cell r="F57" t="str">
            <v>OUI</v>
          </cell>
        </row>
        <row r="58">
          <cell r="F58" t="str">
            <v>OUI</v>
          </cell>
        </row>
        <row r="59">
          <cell r="F59" t="str">
            <v>OUI</v>
          </cell>
        </row>
        <row r="60">
          <cell r="F60" t="str">
            <v>OUI</v>
          </cell>
        </row>
        <row r="61">
          <cell r="F61" t="str">
            <v>OUI</v>
          </cell>
        </row>
        <row r="62">
          <cell r="F62" t="str">
            <v>OUI</v>
          </cell>
        </row>
        <row r="63">
          <cell r="F63" t="str">
            <v>OUI</v>
          </cell>
        </row>
        <row r="64">
          <cell r="F64" t="str">
            <v>OUI</v>
          </cell>
        </row>
        <row r="65">
          <cell r="F65" t="str">
            <v>OUI</v>
          </cell>
        </row>
        <row r="66">
          <cell r="F66" t="str">
            <v>OUI</v>
          </cell>
        </row>
        <row r="67">
          <cell r="F67" t="str">
            <v>OUI</v>
          </cell>
        </row>
        <row r="68">
          <cell r="F68" t="str">
            <v>OUI</v>
          </cell>
        </row>
        <row r="69">
          <cell r="F69" t="str">
            <v>OUI</v>
          </cell>
        </row>
        <row r="70">
          <cell r="F70" t="str">
            <v>OUI</v>
          </cell>
        </row>
        <row r="71">
          <cell r="F71" t="str">
            <v>non</v>
          </cell>
        </row>
        <row r="72">
          <cell r="F72" t="str">
            <v>non</v>
          </cell>
        </row>
        <row r="73">
          <cell r="F73" t="str">
            <v>non</v>
          </cell>
        </row>
        <row r="74">
          <cell r="F74" t="str">
            <v>non</v>
          </cell>
        </row>
        <row r="75">
          <cell r="F75" t="str">
            <v>non</v>
          </cell>
        </row>
        <row r="76">
          <cell r="F76" t="str">
            <v>non</v>
          </cell>
        </row>
        <row r="77">
          <cell r="F77" t="str">
            <v>non</v>
          </cell>
        </row>
        <row r="78">
          <cell r="F78" t="str">
            <v>non</v>
          </cell>
        </row>
        <row r="79">
          <cell r="F79" t="str">
            <v>non</v>
          </cell>
        </row>
        <row r="80">
          <cell r="F80" t="str">
            <v>non</v>
          </cell>
        </row>
        <row r="81">
          <cell r="F81" t="str">
            <v>non</v>
          </cell>
        </row>
        <row r="82">
          <cell r="F82" t="str">
            <v>non</v>
          </cell>
        </row>
        <row r="83">
          <cell r="F83" t="str">
            <v>non</v>
          </cell>
        </row>
        <row r="84">
          <cell r="F84" t="str">
            <v>non</v>
          </cell>
        </row>
        <row r="85">
          <cell r="F85" t="str">
            <v>non</v>
          </cell>
        </row>
        <row r="86">
          <cell r="F86" t="str">
            <v>non</v>
          </cell>
        </row>
        <row r="87">
          <cell r="F87" t="str">
            <v>non</v>
          </cell>
        </row>
        <row r="88">
          <cell r="F88" t="str">
            <v>non</v>
          </cell>
        </row>
        <row r="89">
          <cell r="F89" t="str">
            <v>OUI</v>
          </cell>
        </row>
        <row r="90">
          <cell r="F90" t="str">
            <v>OUI</v>
          </cell>
        </row>
        <row r="91">
          <cell r="F91" t="str">
            <v>OUI</v>
          </cell>
        </row>
        <row r="92">
          <cell r="F92" t="str">
            <v>OUI</v>
          </cell>
        </row>
        <row r="93">
          <cell r="F93" t="str">
            <v>OUI</v>
          </cell>
        </row>
        <row r="94">
          <cell r="F94" t="str">
            <v>OUI</v>
          </cell>
        </row>
        <row r="95">
          <cell r="F95" t="str">
            <v>OUI</v>
          </cell>
        </row>
        <row r="96">
          <cell r="F96" t="str">
            <v>OUI</v>
          </cell>
        </row>
        <row r="97">
          <cell r="F97" t="str">
            <v>OUI</v>
          </cell>
        </row>
        <row r="98">
          <cell r="F98" t="str">
            <v>OUI</v>
          </cell>
        </row>
        <row r="99">
          <cell r="F99" t="str">
            <v>OUI</v>
          </cell>
        </row>
        <row r="100">
          <cell r="F100" t="str">
            <v>OUI</v>
          </cell>
        </row>
        <row r="101">
          <cell r="F101" t="str">
            <v>OUI</v>
          </cell>
        </row>
        <row r="102">
          <cell r="F102" t="str">
            <v>OUI</v>
          </cell>
        </row>
        <row r="103">
          <cell r="F103" t="str">
            <v>OUI</v>
          </cell>
        </row>
        <row r="104">
          <cell r="F104" t="str">
            <v>OUI</v>
          </cell>
        </row>
        <row r="105">
          <cell r="F105" t="str">
            <v>OUI</v>
          </cell>
        </row>
        <row r="106">
          <cell r="F106" t="str">
            <v>OUI</v>
          </cell>
        </row>
        <row r="107">
          <cell r="F107" t="str">
            <v>OUI</v>
          </cell>
        </row>
        <row r="108">
          <cell r="F108" t="str">
            <v>OUI</v>
          </cell>
        </row>
        <row r="109">
          <cell r="F109" t="str">
            <v>OUI</v>
          </cell>
        </row>
        <row r="110">
          <cell r="F110" t="str">
            <v>OUI</v>
          </cell>
        </row>
        <row r="111">
          <cell r="F111" t="str">
            <v>OUI</v>
          </cell>
        </row>
        <row r="112">
          <cell r="F112" t="str">
            <v>OUI</v>
          </cell>
        </row>
        <row r="113">
          <cell r="F113" t="str">
            <v>OUI</v>
          </cell>
        </row>
        <row r="114">
          <cell r="F114" t="str">
            <v>OUI</v>
          </cell>
        </row>
        <row r="115">
          <cell r="F115" t="str">
            <v>OUI</v>
          </cell>
        </row>
        <row r="116">
          <cell r="F116" t="str">
            <v>OUI</v>
          </cell>
        </row>
        <row r="117">
          <cell r="F117" t="str">
            <v>OUI</v>
          </cell>
        </row>
        <row r="118">
          <cell r="F118" t="str">
            <v>OUI</v>
          </cell>
        </row>
        <row r="119">
          <cell r="F119" t="str">
            <v>OUI</v>
          </cell>
        </row>
        <row r="120">
          <cell r="F120" t="str">
            <v>OUI</v>
          </cell>
        </row>
        <row r="121">
          <cell r="F121" t="str">
            <v>non</v>
          </cell>
        </row>
        <row r="122">
          <cell r="F122" t="str">
            <v>non</v>
          </cell>
        </row>
        <row r="123">
          <cell r="F123" t="str">
            <v>non</v>
          </cell>
        </row>
        <row r="124">
          <cell r="F124" t="str">
            <v>non</v>
          </cell>
        </row>
        <row r="125">
          <cell r="F125" t="str">
            <v>non</v>
          </cell>
        </row>
        <row r="126">
          <cell r="F126" t="str">
            <v>non</v>
          </cell>
        </row>
        <row r="127">
          <cell r="F127" t="str">
            <v>non</v>
          </cell>
        </row>
        <row r="128">
          <cell r="F128" t="str">
            <v>non</v>
          </cell>
        </row>
        <row r="129">
          <cell r="F129" t="str">
            <v>non</v>
          </cell>
        </row>
        <row r="130">
          <cell r="F130" t="str">
            <v>non</v>
          </cell>
        </row>
        <row r="131">
          <cell r="F131" t="str">
            <v>non</v>
          </cell>
        </row>
        <row r="132">
          <cell r="F132" t="str">
            <v>non</v>
          </cell>
        </row>
        <row r="133">
          <cell r="F133" t="str">
            <v>non</v>
          </cell>
        </row>
        <row r="134">
          <cell r="F134" t="str">
            <v>non</v>
          </cell>
        </row>
        <row r="135">
          <cell r="F135" t="str">
            <v>non</v>
          </cell>
        </row>
        <row r="136">
          <cell r="F136" t="str">
            <v>non</v>
          </cell>
        </row>
        <row r="137">
          <cell r="F137" t="str">
            <v>non</v>
          </cell>
        </row>
        <row r="138">
          <cell r="F138" t="str">
            <v>non</v>
          </cell>
        </row>
        <row r="139">
          <cell r="F139" t="str">
            <v>non</v>
          </cell>
        </row>
        <row r="140">
          <cell r="F140" t="str">
            <v>non</v>
          </cell>
        </row>
        <row r="141">
          <cell r="F141" t="str">
            <v>non</v>
          </cell>
        </row>
        <row r="142">
          <cell r="F142" t="str">
            <v>non</v>
          </cell>
        </row>
        <row r="143">
          <cell r="F143" t="str">
            <v>OUI</v>
          </cell>
        </row>
        <row r="144">
          <cell r="F144" t="str">
            <v>OUI</v>
          </cell>
        </row>
        <row r="145">
          <cell r="F145" t="str">
            <v>OUI</v>
          </cell>
        </row>
        <row r="146">
          <cell r="F146" t="str">
            <v>OUI</v>
          </cell>
        </row>
        <row r="147">
          <cell r="F147" t="str">
            <v>OUI</v>
          </cell>
        </row>
        <row r="148">
          <cell r="F148" t="str">
            <v>OUI</v>
          </cell>
        </row>
        <row r="149">
          <cell r="F149" t="str">
            <v>OUI</v>
          </cell>
        </row>
        <row r="150">
          <cell r="F150" t="str">
            <v>OUI</v>
          </cell>
        </row>
        <row r="151">
          <cell r="F151" t="str">
            <v>OUI</v>
          </cell>
        </row>
        <row r="152">
          <cell r="F152" t="str">
            <v>OUI</v>
          </cell>
        </row>
        <row r="153">
          <cell r="F153" t="str">
            <v>OUI</v>
          </cell>
        </row>
        <row r="154">
          <cell r="F154" t="str">
            <v>OUI</v>
          </cell>
        </row>
        <row r="155">
          <cell r="F155" t="str">
            <v>OUI</v>
          </cell>
        </row>
        <row r="156">
          <cell r="F156" t="str">
            <v>OUI</v>
          </cell>
        </row>
        <row r="157">
          <cell r="F157" t="str">
            <v>OUI</v>
          </cell>
        </row>
        <row r="158">
          <cell r="F158" t="str">
            <v>OUI</v>
          </cell>
        </row>
        <row r="159">
          <cell r="F159" t="str">
            <v>OUI</v>
          </cell>
        </row>
        <row r="160">
          <cell r="F160" t="str">
            <v>OUI</v>
          </cell>
        </row>
        <row r="161">
          <cell r="F161" t="str">
            <v>OUI</v>
          </cell>
        </row>
        <row r="162">
          <cell r="F162" t="str">
            <v>OUI</v>
          </cell>
        </row>
        <row r="163">
          <cell r="F163" t="str">
            <v>OUI</v>
          </cell>
        </row>
        <row r="164">
          <cell r="F164" t="str">
            <v>OUI</v>
          </cell>
        </row>
        <row r="165">
          <cell r="F165" t="str">
            <v>OUI</v>
          </cell>
        </row>
        <row r="166">
          <cell r="F166" t="str">
            <v>non</v>
          </cell>
        </row>
        <row r="167">
          <cell r="F167" t="str">
            <v>non</v>
          </cell>
        </row>
        <row r="168">
          <cell r="F168" t="str">
            <v>non</v>
          </cell>
        </row>
        <row r="169">
          <cell r="F169" t="str">
            <v>non</v>
          </cell>
        </row>
        <row r="170">
          <cell r="F170" t="str">
            <v>non</v>
          </cell>
        </row>
        <row r="171">
          <cell r="F171" t="str">
            <v>non</v>
          </cell>
        </row>
        <row r="172">
          <cell r="F172" t="str">
            <v>non</v>
          </cell>
        </row>
        <row r="173">
          <cell r="F173" t="str">
            <v>non</v>
          </cell>
        </row>
        <row r="174">
          <cell r="F174" t="str">
            <v>non</v>
          </cell>
        </row>
        <row r="175">
          <cell r="F175" t="str">
            <v>non</v>
          </cell>
        </row>
        <row r="176">
          <cell r="F176" t="str">
            <v>non</v>
          </cell>
        </row>
        <row r="177">
          <cell r="F177" t="str">
            <v>non</v>
          </cell>
        </row>
        <row r="178">
          <cell r="F178" t="str">
            <v>non</v>
          </cell>
        </row>
        <row r="179">
          <cell r="F179" t="str">
            <v>non</v>
          </cell>
        </row>
        <row r="180">
          <cell r="F180" t="str">
            <v>non</v>
          </cell>
        </row>
        <row r="181">
          <cell r="F181" t="str">
            <v>non</v>
          </cell>
        </row>
        <row r="182">
          <cell r="F182" t="str">
            <v>non</v>
          </cell>
        </row>
        <row r="183">
          <cell r="F183" t="str">
            <v>non</v>
          </cell>
        </row>
        <row r="184">
          <cell r="F184" t="str">
            <v>non</v>
          </cell>
        </row>
        <row r="185">
          <cell r="F185" t="str">
            <v>non</v>
          </cell>
        </row>
        <row r="186">
          <cell r="F186" t="str">
            <v>non</v>
          </cell>
        </row>
        <row r="187">
          <cell r="F187" t="str">
            <v>non</v>
          </cell>
        </row>
        <row r="188">
          <cell r="F188" t="str">
            <v>non</v>
          </cell>
        </row>
        <row r="189">
          <cell r="F189" t="str">
            <v>non</v>
          </cell>
        </row>
        <row r="190">
          <cell r="F190" t="str">
            <v>non</v>
          </cell>
        </row>
        <row r="191">
          <cell r="F191" t="str">
            <v>non</v>
          </cell>
        </row>
        <row r="192">
          <cell r="F192" t="str">
            <v>non</v>
          </cell>
        </row>
        <row r="193">
          <cell r="F193" t="str">
            <v>non</v>
          </cell>
        </row>
        <row r="194">
          <cell r="F194" t="str">
            <v>non</v>
          </cell>
        </row>
        <row r="195">
          <cell r="F195" t="str">
            <v>OUI</v>
          </cell>
        </row>
        <row r="196">
          <cell r="F196" t="str">
            <v>OUI</v>
          </cell>
        </row>
        <row r="197">
          <cell r="F197" t="str">
            <v>OUI</v>
          </cell>
        </row>
        <row r="198">
          <cell r="F198" t="str">
            <v>OUI</v>
          </cell>
        </row>
        <row r="199">
          <cell r="F199" t="str">
            <v>OUI</v>
          </cell>
        </row>
        <row r="200">
          <cell r="F200" t="str">
            <v>OUI</v>
          </cell>
        </row>
        <row r="201">
          <cell r="F201" t="str">
            <v>OUI</v>
          </cell>
        </row>
        <row r="202">
          <cell r="F202" t="str">
            <v>OUI</v>
          </cell>
        </row>
        <row r="203">
          <cell r="F203" t="str">
            <v>OUI</v>
          </cell>
        </row>
        <row r="204">
          <cell r="F204" t="str">
            <v>OUI</v>
          </cell>
        </row>
        <row r="205">
          <cell r="F205" t="str">
            <v>OUI</v>
          </cell>
        </row>
        <row r="206">
          <cell r="F206" t="str">
            <v>OUI</v>
          </cell>
        </row>
        <row r="207">
          <cell r="F207" t="str">
            <v>OUI</v>
          </cell>
        </row>
        <row r="208">
          <cell r="F208" t="str">
            <v>OUI</v>
          </cell>
        </row>
        <row r="209">
          <cell r="F209" t="str">
            <v>OUI</v>
          </cell>
        </row>
        <row r="210">
          <cell r="F210" t="str">
            <v>OUI</v>
          </cell>
        </row>
        <row r="211">
          <cell r="F211" t="str">
            <v>non</v>
          </cell>
        </row>
        <row r="212">
          <cell r="F212" t="str">
            <v>non</v>
          </cell>
        </row>
        <row r="213">
          <cell r="F213" t="str">
            <v>non</v>
          </cell>
        </row>
        <row r="214">
          <cell r="F214" t="str">
            <v>non</v>
          </cell>
        </row>
        <row r="215">
          <cell r="F215" t="str">
            <v>non</v>
          </cell>
        </row>
        <row r="216">
          <cell r="F216" t="str">
            <v>non</v>
          </cell>
        </row>
        <row r="217">
          <cell r="F217" t="str">
            <v>non</v>
          </cell>
        </row>
        <row r="218">
          <cell r="F218" t="str">
            <v>non</v>
          </cell>
        </row>
        <row r="219">
          <cell r="F219" t="str">
            <v>non</v>
          </cell>
        </row>
        <row r="220">
          <cell r="F220" t="str">
            <v>non</v>
          </cell>
        </row>
        <row r="221">
          <cell r="F221" t="str">
            <v>non</v>
          </cell>
        </row>
        <row r="222">
          <cell r="F222" t="str">
            <v>non</v>
          </cell>
        </row>
        <row r="223">
          <cell r="F223" t="str">
            <v>non</v>
          </cell>
        </row>
        <row r="224">
          <cell r="F224" t="str">
            <v>non</v>
          </cell>
        </row>
        <row r="225">
          <cell r="F225" t="str">
            <v>non</v>
          </cell>
        </row>
        <row r="226">
          <cell r="F226" t="str">
            <v>non</v>
          </cell>
        </row>
        <row r="227">
          <cell r="F227" t="str">
            <v>non</v>
          </cell>
        </row>
        <row r="228">
          <cell r="F228" t="str">
            <v>non</v>
          </cell>
        </row>
        <row r="229">
          <cell r="F229" t="str">
            <v>OUI</v>
          </cell>
        </row>
        <row r="230">
          <cell r="F230" t="str">
            <v>OUI</v>
          </cell>
        </row>
        <row r="231">
          <cell r="F231" t="str">
            <v>OUI</v>
          </cell>
        </row>
        <row r="232">
          <cell r="F232" t="str">
            <v>OUI</v>
          </cell>
        </row>
        <row r="233">
          <cell r="F233" t="str">
            <v>OUI</v>
          </cell>
        </row>
        <row r="234">
          <cell r="F234" t="str">
            <v>OUI</v>
          </cell>
        </row>
        <row r="235">
          <cell r="F235" t="str">
            <v>OUI</v>
          </cell>
        </row>
        <row r="236">
          <cell r="F236" t="str">
            <v>OUI</v>
          </cell>
        </row>
        <row r="237">
          <cell r="F237" t="str">
            <v>OUI</v>
          </cell>
        </row>
        <row r="238">
          <cell r="F238" t="str">
            <v>OUI</v>
          </cell>
        </row>
        <row r="239">
          <cell r="F239" t="str">
            <v>non</v>
          </cell>
        </row>
        <row r="240">
          <cell r="F240" t="str">
            <v>non</v>
          </cell>
        </row>
        <row r="241">
          <cell r="F241" t="str">
            <v>non</v>
          </cell>
        </row>
        <row r="242">
          <cell r="F242" t="str">
            <v>non</v>
          </cell>
        </row>
        <row r="243">
          <cell r="F243" t="str">
            <v>non</v>
          </cell>
        </row>
        <row r="244">
          <cell r="F244" t="str">
            <v>non</v>
          </cell>
        </row>
        <row r="245">
          <cell r="F245" t="str">
            <v>non</v>
          </cell>
        </row>
        <row r="246">
          <cell r="F246" t="str">
            <v>non</v>
          </cell>
        </row>
        <row r="247">
          <cell r="F247" t="str">
            <v>non</v>
          </cell>
        </row>
        <row r="248">
          <cell r="F248" t="str">
            <v>non</v>
          </cell>
        </row>
        <row r="249">
          <cell r="F249" t="str">
            <v>non</v>
          </cell>
        </row>
        <row r="250">
          <cell r="F250" t="str">
            <v>non</v>
          </cell>
        </row>
      </sheetData>
      <sheetData sheetId="3">
        <row r="1">
          <cell r="F1" t="str">
            <v>Reponses</v>
          </cell>
        </row>
        <row r="2">
          <cell r="F2" t="str">
            <v>OUI</v>
          </cell>
        </row>
        <row r="3">
          <cell r="F3" t="str">
            <v>OUI</v>
          </cell>
        </row>
        <row r="4">
          <cell r="F4" t="str">
            <v>OUI</v>
          </cell>
        </row>
        <row r="5">
          <cell r="F5" t="str">
            <v>OUI</v>
          </cell>
        </row>
        <row r="6">
          <cell r="F6" t="str">
            <v>OUI</v>
          </cell>
        </row>
        <row r="7">
          <cell r="F7" t="str">
            <v>OUI</v>
          </cell>
        </row>
        <row r="8">
          <cell r="F8" t="str">
            <v>OUI</v>
          </cell>
        </row>
        <row r="9">
          <cell r="F9" t="str">
            <v>OUI</v>
          </cell>
        </row>
        <row r="10">
          <cell r="F10" t="str">
            <v>OUI</v>
          </cell>
        </row>
        <row r="11">
          <cell r="F11" t="str">
            <v>OUI</v>
          </cell>
        </row>
        <row r="12">
          <cell r="F12" t="str">
            <v>OUI</v>
          </cell>
        </row>
        <row r="13">
          <cell r="F13" t="str">
            <v>OUI</v>
          </cell>
        </row>
        <row r="14">
          <cell r="F14" t="str">
            <v>OUI</v>
          </cell>
        </row>
        <row r="15">
          <cell r="F15" t="str">
            <v>OUI</v>
          </cell>
        </row>
        <row r="16">
          <cell r="F16" t="str">
            <v>Non</v>
          </cell>
        </row>
        <row r="17">
          <cell r="F17" t="str">
            <v>Non</v>
          </cell>
        </row>
        <row r="18">
          <cell r="F18" t="str">
            <v>Non</v>
          </cell>
        </row>
        <row r="19">
          <cell r="F19" t="str">
            <v>Non</v>
          </cell>
        </row>
        <row r="20">
          <cell r="F20" t="str">
            <v>Non</v>
          </cell>
        </row>
        <row r="21">
          <cell r="F21" t="str">
            <v>Non</v>
          </cell>
        </row>
        <row r="22">
          <cell r="F22" t="str">
            <v>Oui</v>
          </cell>
        </row>
        <row r="23">
          <cell r="F23" t="str">
            <v>Oui</v>
          </cell>
        </row>
        <row r="24">
          <cell r="F24" t="str">
            <v>Oui</v>
          </cell>
        </row>
        <row r="25">
          <cell r="F25" t="str">
            <v>Oui</v>
          </cell>
        </row>
        <row r="26">
          <cell r="F26" t="str">
            <v>Oui</v>
          </cell>
        </row>
        <row r="27">
          <cell r="F27" t="str">
            <v>Oui</v>
          </cell>
        </row>
        <row r="28">
          <cell r="F28" t="str">
            <v>Oui</v>
          </cell>
        </row>
        <row r="29">
          <cell r="F29" t="str">
            <v>Oui</v>
          </cell>
        </row>
        <row r="30">
          <cell r="F30" t="str">
            <v>Oui</v>
          </cell>
        </row>
        <row r="31">
          <cell r="F31" t="str">
            <v>Oui</v>
          </cell>
        </row>
        <row r="32">
          <cell r="F32" t="str">
            <v>Oui</v>
          </cell>
        </row>
        <row r="33">
          <cell r="F33" t="str">
            <v>Oui</v>
          </cell>
        </row>
        <row r="34">
          <cell r="F34" t="str">
            <v>Oui</v>
          </cell>
        </row>
        <row r="35">
          <cell r="F35" t="str">
            <v>Oui</v>
          </cell>
        </row>
        <row r="36">
          <cell r="F36" t="str">
            <v>Oui</v>
          </cell>
        </row>
        <row r="37">
          <cell r="F37" t="str">
            <v>Oui</v>
          </cell>
        </row>
        <row r="38">
          <cell r="F38" t="str">
            <v>Oui</v>
          </cell>
        </row>
        <row r="39">
          <cell r="F39" t="str">
            <v>Oui</v>
          </cell>
        </row>
        <row r="40">
          <cell r="F40" t="str">
            <v>Oui</v>
          </cell>
        </row>
        <row r="41">
          <cell r="F41" t="str">
            <v>Oui</v>
          </cell>
        </row>
        <row r="42">
          <cell r="F42" t="str">
            <v>Oui</v>
          </cell>
        </row>
        <row r="43">
          <cell r="F43" t="str">
            <v>Oui</v>
          </cell>
        </row>
        <row r="44">
          <cell r="F44" t="str">
            <v>pas</v>
          </cell>
        </row>
        <row r="45">
          <cell r="F45" t="str">
            <v>pas</v>
          </cell>
        </row>
        <row r="46">
          <cell r="F46" t="str">
            <v>pas</v>
          </cell>
        </row>
        <row r="47">
          <cell r="F47" t="str">
            <v>Non</v>
          </cell>
        </row>
        <row r="48">
          <cell r="F48" t="str">
            <v>Non</v>
          </cell>
        </row>
        <row r="49">
          <cell r="F49" t="str">
            <v>Non</v>
          </cell>
        </row>
        <row r="50">
          <cell r="F50" t="str">
            <v>Non</v>
          </cell>
        </row>
        <row r="51">
          <cell r="F51" t="str">
            <v>oui</v>
          </cell>
        </row>
        <row r="52">
          <cell r="F52" t="str">
            <v>oui</v>
          </cell>
        </row>
        <row r="53">
          <cell r="F53" t="str">
            <v>oui</v>
          </cell>
        </row>
        <row r="54">
          <cell r="F54" t="str">
            <v>oui</v>
          </cell>
        </row>
        <row r="55">
          <cell r="F55" t="str">
            <v>oui</v>
          </cell>
        </row>
        <row r="56">
          <cell r="F56" t="str">
            <v>oui</v>
          </cell>
        </row>
        <row r="57">
          <cell r="F57" t="str">
            <v>oui</v>
          </cell>
        </row>
        <row r="58">
          <cell r="F58" t="str">
            <v>oui</v>
          </cell>
        </row>
        <row r="59">
          <cell r="F59" t="str">
            <v>oui</v>
          </cell>
        </row>
        <row r="60">
          <cell r="F60" t="str">
            <v>oui</v>
          </cell>
        </row>
        <row r="61">
          <cell r="F61" t="str">
            <v>oui</v>
          </cell>
        </row>
        <row r="62">
          <cell r="F62" t="str">
            <v>oui</v>
          </cell>
        </row>
        <row r="63">
          <cell r="F63" t="str">
            <v>oui</v>
          </cell>
        </row>
        <row r="64">
          <cell r="F64" t="str">
            <v>oui</v>
          </cell>
        </row>
        <row r="65">
          <cell r="F65" t="str">
            <v>oui</v>
          </cell>
        </row>
        <row r="66">
          <cell r="F66" t="str">
            <v>oui</v>
          </cell>
        </row>
        <row r="67">
          <cell r="F67" t="str">
            <v>oui</v>
          </cell>
        </row>
        <row r="68">
          <cell r="F68" t="str">
            <v>oui</v>
          </cell>
        </row>
        <row r="69">
          <cell r="F69" t="str">
            <v>oui</v>
          </cell>
        </row>
        <row r="70">
          <cell r="F70" t="str">
            <v>oui</v>
          </cell>
        </row>
        <row r="71">
          <cell r="F71" t="str">
            <v>oui</v>
          </cell>
        </row>
        <row r="72">
          <cell r="F72" t="str">
            <v>oui</v>
          </cell>
        </row>
        <row r="73">
          <cell r="F73" t="str">
            <v>oui</v>
          </cell>
        </row>
        <row r="74">
          <cell r="F74" t="str">
            <v>oui</v>
          </cell>
        </row>
        <row r="75">
          <cell r="F75" t="str">
            <v>oui</v>
          </cell>
        </row>
        <row r="76">
          <cell r="F76" t="str">
            <v>oui</v>
          </cell>
        </row>
        <row r="77">
          <cell r="F77" t="str">
            <v>oui</v>
          </cell>
        </row>
        <row r="78">
          <cell r="F78" t="str">
            <v>oui</v>
          </cell>
        </row>
        <row r="79">
          <cell r="F79" t="str">
            <v>oui</v>
          </cell>
        </row>
        <row r="80">
          <cell r="F80" t="str">
            <v>oui</v>
          </cell>
        </row>
        <row r="81">
          <cell r="F81" t="str">
            <v>oui</v>
          </cell>
        </row>
        <row r="82">
          <cell r="F82" t="str">
            <v>oui</v>
          </cell>
        </row>
        <row r="83">
          <cell r="F83" t="str">
            <v>oui</v>
          </cell>
        </row>
        <row r="84">
          <cell r="F84" t="str">
            <v>oui</v>
          </cell>
        </row>
        <row r="85">
          <cell r="F85" t="str">
            <v>oui</v>
          </cell>
        </row>
        <row r="86">
          <cell r="F86" t="str">
            <v>oui</v>
          </cell>
        </row>
        <row r="87">
          <cell r="F87" t="str">
            <v>oui</v>
          </cell>
        </row>
        <row r="88">
          <cell r="F88" t="str">
            <v>oui</v>
          </cell>
        </row>
        <row r="89">
          <cell r="F89" t="str">
            <v>oui</v>
          </cell>
        </row>
        <row r="90">
          <cell r="F90" t="str">
            <v>oui</v>
          </cell>
        </row>
        <row r="91">
          <cell r="F91" t="str">
            <v>oui</v>
          </cell>
        </row>
        <row r="92">
          <cell r="F92" t="str">
            <v>oui</v>
          </cell>
        </row>
        <row r="93">
          <cell r="F93" t="str">
            <v>oui</v>
          </cell>
        </row>
        <row r="94">
          <cell r="F94" t="str">
            <v>oui</v>
          </cell>
        </row>
        <row r="95">
          <cell r="F95" t="str">
            <v>oui</v>
          </cell>
        </row>
        <row r="96">
          <cell r="F96" t="str">
            <v>oui</v>
          </cell>
        </row>
        <row r="97">
          <cell r="F97" t="str">
            <v>oui</v>
          </cell>
        </row>
        <row r="98">
          <cell r="F98" t="str">
            <v>oui</v>
          </cell>
        </row>
        <row r="99">
          <cell r="F99" t="str">
            <v>oui</v>
          </cell>
        </row>
        <row r="100">
          <cell r="F100" t="str">
            <v>oui</v>
          </cell>
        </row>
        <row r="101">
          <cell r="F101" t="str">
            <v>oui</v>
          </cell>
        </row>
        <row r="102">
          <cell r="F102" t="str">
            <v>oui</v>
          </cell>
        </row>
        <row r="103">
          <cell r="F103" t="str">
            <v>oui</v>
          </cell>
        </row>
        <row r="104">
          <cell r="F104" t="str">
            <v>oui</v>
          </cell>
        </row>
        <row r="105">
          <cell r="F105" t="str">
            <v>oui</v>
          </cell>
        </row>
        <row r="106">
          <cell r="F106" t="str">
            <v>oui</v>
          </cell>
        </row>
        <row r="107">
          <cell r="F107" t="str">
            <v>oui</v>
          </cell>
        </row>
        <row r="108">
          <cell r="F108" t="str">
            <v>oui</v>
          </cell>
        </row>
        <row r="109">
          <cell r="F109" t="str">
            <v>oui</v>
          </cell>
        </row>
        <row r="110">
          <cell r="F110" t="str">
            <v>oui</v>
          </cell>
        </row>
        <row r="111">
          <cell r="F111" t="str">
            <v>oui</v>
          </cell>
        </row>
        <row r="112">
          <cell r="F112" t="str">
            <v>oui</v>
          </cell>
        </row>
        <row r="113">
          <cell r="F113" t="str">
            <v>oui</v>
          </cell>
        </row>
        <row r="114">
          <cell r="F114" t="str">
            <v>oui</v>
          </cell>
        </row>
        <row r="115">
          <cell r="F115" t="str">
            <v>oui</v>
          </cell>
        </row>
        <row r="116">
          <cell r="F116" t="str">
            <v>oui</v>
          </cell>
        </row>
        <row r="117">
          <cell r="F117" t="str">
            <v>oui</v>
          </cell>
        </row>
        <row r="118">
          <cell r="F118" t="str">
            <v>oui</v>
          </cell>
        </row>
        <row r="119">
          <cell r="F119" t="str">
            <v>oui</v>
          </cell>
        </row>
        <row r="120">
          <cell r="F120" t="str">
            <v>oui</v>
          </cell>
        </row>
        <row r="121">
          <cell r="F121" t="str">
            <v>oui</v>
          </cell>
        </row>
        <row r="122">
          <cell r="F122" t="str">
            <v>oui</v>
          </cell>
        </row>
        <row r="123">
          <cell r="F123" t="str">
            <v>oui</v>
          </cell>
        </row>
        <row r="124">
          <cell r="F124" t="str">
            <v>oui</v>
          </cell>
        </row>
        <row r="125">
          <cell r="F125" t="str">
            <v>oui</v>
          </cell>
        </row>
        <row r="126">
          <cell r="F126" t="str">
            <v>oui</v>
          </cell>
        </row>
        <row r="127">
          <cell r="F127" t="str">
            <v>oui</v>
          </cell>
        </row>
        <row r="128">
          <cell r="F128" t="str">
            <v>oui</v>
          </cell>
        </row>
        <row r="129">
          <cell r="F129" t="str">
            <v>oui</v>
          </cell>
        </row>
        <row r="130">
          <cell r="F130" t="str">
            <v>oui</v>
          </cell>
        </row>
        <row r="131">
          <cell r="F131" t="str">
            <v>oui</v>
          </cell>
        </row>
        <row r="132">
          <cell r="F132" t="str">
            <v>oui</v>
          </cell>
        </row>
        <row r="133">
          <cell r="F133" t="str">
            <v>oui</v>
          </cell>
        </row>
        <row r="134">
          <cell r="F134" t="str">
            <v>oui</v>
          </cell>
        </row>
        <row r="135">
          <cell r="F135" t="str">
            <v>oui</v>
          </cell>
        </row>
        <row r="136">
          <cell r="F136" t="str">
            <v>oui</v>
          </cell>
        </row>
        <row r="137">
          <cell r="F137" t="str">
            <v>oui</v>
          </cell>
        </row>
        <row r="138">
          <cell r="F138" t="str">
            <v>oui</v>
          </cell>
        </row>
        <row r="139">
          <cell r="F139" t="str">
            <v>oui</v>
          </cell>
        </row>
        <row r="140">
          <cell r="F140" t="str">
            <v>oui</v>
          </cell>
        </row>
        <row r="141">
          <cell r="F141" t="str">
            <v>oui</v>
          </cell>
        </row>
        <row r="142">
          <cell r="F142" t="str">
            <v>oui</v>
          </cell>
        </row>
        <row r="143">
          <cell r="F143" t="str">
            <v>oui</v>
          </cell>
        </row>
        <row r="144">
          <cell r="F144" t="str">
            <v>oui</v>
          </cell>
        </row>
        <row r="145">
          <cell r="F145" t="str">
            <v>oui</v>
          </cell>
        </row>
        <row r="146">
          <cell r="F146" t="str">
            <v>oui</v>
          </cell>
        </row>
        <row r="147">
          <cell r="F147" t="str">
            <v>oui</v>
          </cell>
        </row>
        <row r="148">
          <cell r="F148" t="str">
            <v>oui</v>
          </cell>
        </row>
        <row r="149">
          <cell r="F149" t="str">
            <v>oui</v>
          </cell>
        </row>
        <row r="150">
          <cell r="F150" t="str">
            <v>oui</v>
          </cell>
        </row>
        <row r="151">
          <cell r="F151" t="str">
            <v>oui</v>
          </cell>
        </row>
        <row r="152">
          <cell r="F152" t="str">
            <v>oui</v>
          </cell>
        </row>
        <row r="153">
          <cell r="F153" t="str">
            <v>oui</v>
          </cell>
        </row>
        <row r="154">
          <cell r="F154" t="str">
            <v>oui</v>
          </cell>
        </row>
        <row r="155">
          <cell r="F155" t="str">
            <v>oui</v>
          </cell>
        </row>
        <row r="156">
          <cell r="F156" t="str">
            <v>oui</v>
          </cell>
        </row>
        <row r="157">
          <cell r="F157" t="str">
            <v>oui</v>
          </cell>
        </row>
        <row r="158">
          <cell r="F158" t="str">
            <v>non</v>
          </cell>
        </row>
        <row r="159">
          <cell r="F159" t="str">
            <v>non</v>
          </cell>
        </row>
        <row r="160">
          <cell r="F160" t="str">
            <v>non</v>
          </cell>
        </row>
        <row r="161">
          <cell r="F161" t="str">
            <v>non</v>
          </cell>
        </row>
        <row r="162">
          <cell r="F162" t="str">
            <v>non</v>
          </cell>
        </row>
        <row r="163">
          <cell r="F163" t="str">
            <v>non</v>
          </cell>
        </row>
        <row r="164">
          <cell r="F164" t="str">
            <v>non</v>
          </cell>
        </row>
        <row r="165">
          <cell r="F165" t="str">
            <v>non</v>
          </cell>
        </row>
        <row r="166">
          <cell r="F166" t="str">
            <v>non</v>
          </cell>
        </row>
        <row r="167">
          <cell r="F167" t="str">
            <v>non</v>
          </cell>
        </row>
        <row r="168">
          <cell r="F168" t="str">
            <v>non</v>
          </cell>
        </row>
        <row r="169">
          <cell r="F169" t="str">
            <v>non</v>
          </cell>
        </row>
        <row r="170">
          <cell r="F170" t="str">
            <v>non</v>
          </cell>
        </row>
        <row r="171">
          <cell r="F171" t="str">
            <v>non</v>
          </cell>
        </row>
        <row r="172">
          <cell r="F172" t="str">
            <v>non</v>
          </cell>
        </row>
        <row r="173">
          <cell r="F173" t="str">
            <v>non</v>
          </cell>
        </row>
        <row r="174">
          <cell r="F174" t="str">
            <v>oui</v>
          </cell>
        </row>
        <row r="175">
          <cell r="F175" t="str">
            <v>oui</v>
          </cell>
        </row>
        <row r="176">
          <cell r="F176" t="str">
            <v>oui</v>
          </cell>
        </row>
        <row r="177">
          <cell r="F177" t="str">
            <v>oui</v>
          </cell>
        </row>
        <row r="178">
          <cell r="F178" t="str">
            <v>pas</v>
          </cell>
        </row>
        <row r="179">
          <cell r="F179" t="str">
            <v>pas</v>
          </cell>
        </row>
        <row r="180">
          <cell r="F180" t="str">
            <v>non</v>
          </cell>
        </row>
        <row r="181">
          <cell r="F181" t="str">
            <v>oui</v>
          </cell>
        </row>
        <row r="182">
          <cell r="F182" t="str">
            <v>oui</v>
          </cell>
        </row>
        <row r="183">
          <cell r="F183" t="str">
            <v>oui</v>
          </cell>
        </row>
        <row r="184">
          <cell r="F184" t="str">
            <v>non</v>
          </cell>
        </row>
        <row r="185">
          <cell r="F185" t="str">
            <v>non</v>
          </cell>
        </row>
        <row r="186">
          <cell r="F186" t="str">
            <v>pas</v>
          </cell>
        </row>
        <row r="187">
          <cell r="F187" t="str">
            <v>non</v>
          </cell>
        </row>
        <row r="188">
          <cell r="F188" t="str">
            <v>oui</v>
          </cell>
        </row>
        <row r="189">
          <cell r="F189" t="str">
            <v>oui</v>
          </cell>
        </row>
        <row r="190">
          <cell r="F190" t="str">
            <v>oui</v>
          </cell>
        </row>
        <row r="191">
          <cell r="F191" t="str">
            <v>non</v>
          </cell>
        </row>
        <row r="192">
          <cell r="F192" t="str">
            <v>non</v>
          </cell>
        </row>
        <row r="193">
          <cell r="F193" t="str">
            <v>oui</v>
          </cell>
        </row>
        <row r="194">
          <cell r="F194" t="str">
            <v>oui</v>
          </cell>
        </row>
        <row r="195">
          <cell r="F195" t="str">
            <v>oui</v>
          </cell>
        </row>
        <row r="196">
          <cell r="F196" t="str">
            <v>oui</v>
          </cell>
        </row>
        <row r="197">
          <cell r="F197" t="str">
            <v>oui</v>
          </cell>
        </row>
        <row r="198">
          <cell r="F198" t="str">
            <v>oui</v>
          </cell>
        </row>
        <row r="199">
          <cell r="F199" t="str">
            <v>oui</v>
          </cell>
        </row>
        <row r="200">
          <cell r="F200" t="str">
            <v>oui</v>
          </cell>
        </row>
        <row r="201">
          <cell r="F201" t="str">
            <v>oui</v>
          </cell>
        </row>
        <row r="202">
          <cell r="F202" t="str">
            <v>oui</v>
          </cell>
        </row>
        <row r="203">
          <cell r="F203" t="str">
            <v>oui</v>
          </cell>
        </row>
        <row r="204">
          <cell r="F204" t="str">
            <v>oui</v>
          </cell>
        </row>
        <row r="205">
          <cell r="F205" t="str">
            <v>oui</v>
          </cell>
        </row>
        <row r="206">
          <cell r="F206" t="str">
            <v>non</v>
          </cell>
        </row>
      </sheetData>
      <sheetData sheetId="4">
        <row r="1">
          <cell r="F1" t="str">
            <v>Reponses</v>
          </cell>
        </row>
        <row r="2">
          <cell r="F2" t="str">
            <v>oui</v>
          </cell>
        </row>
        <row r="3">
          <cell r="F3" t="str">
            <v>oui</v>
          </cell>
        </row>
        <row r="4">
          <cell r="F4" t="str">
            <v>oui</v>
          </cell>
        </row>
        <row r="5">
          <cell r="F5" t="str">
            <v>oui</v>
          </cell>
        </row>
        <row r="6">
          <cell r="F6" t="str">
            <v>oui</v>
          </cell>
        </row>
        <row r="7">
          <cell r="F7" t="str">
            <v>oui</v>
          </cell>
        </row>
        <row r="8">
          <cell r="F8" t="str">
            <v>oui</v>
          </cell>
        </row>
        <row r="9">
          <cell r="F9" t="str">
            <v>oui</v>
          </cell>
        </row>
        <row r="10">
          <cell r="F10" t="str">
            <v>oui</v>
          </cell>
        </row>
        <row r="11">
          <cell r="F11" t="str">
            <v>oui</v>
          </cell>
        </row>
        <row r="12">
          <cell r="F12" t="str">
            <v>oui</v>
          </cell>
        </row>
        <row r="13">
          <cell r="F13" t="str">
            <v>oui</v>
          </cell>
        </row>
        <row r="14">
          <cell r="F14" t="str">
            <v>oui</v>
          </cell>
        </row>
        <row r="15">
          <cell r="F15" t="str">
            <v>oui</v>
          </cell>
        </row>
        <row r="16">
          <cell r="F16" t="str">
            <v>oui</v>
          </cell>
        </row>
        <row r="17">
          <cell r="F17" t="str">
            <v>oui</v>
          </cell>
        </row>
        <row r="18">
          <cell r="F18" t="str">
            <v>oui</v>
          </cell>
        </row>
        <row r="19">
          <cell r="F19" t="str">
            <v>oui</v>
          </cell>
        </row>
        <row r="20">
          <cell r="F20" t="str">
            <v>oui</v>
          </cell>
        </row>
        <row r="21">
          <cell r="F21" t="str">
            <v>oui</v>
          </cell>
        </row>
        <row r="22">
          <cell r="F22" t="str">
            <v>oui</v>
          </cell>
        </row>
        <row r="23">
          <cell r="F23" t="str">
            <v>oui</v>
          </cell>
        </row>
        <row r="24">
          <cell r="F24" t="str">
            <v>oui</v>
          </cell>
        </row>
        <row r="25">
          <cell r="F25" t="str">
            <v>oui</v>
          </cell>
        </row>
        <row r="26">
          <cell r="F26" t="str">
            <v>oui</v>
          </cell>
        </row>
        <row r="27">
          <cell r="F27" t="str">
            <v>oui</v>
          </cell>
        </row>
        <row r="28">
          <cell r="F28" t="str">
            <v>oui</v>
          </cell>
        </row>
        <row r="29">
          <cell r="F29" t="str">
            <v>oui</v>
          </cell>
        </row>
        <row r="30">
          <cell r="F30" t="str">
            <v>oui</v>
          </cell>
        </row>
        <row r="31">
          <cell r="F31" t="str">
            <v>oui</v>
          </cell>
        </row>
        <row r="32">
          <cell r="F32" t="str">
            <v>oui</v>
          </cell>
        </row>
        <row r="33">
          <cell r="F33" t="str">
            <v>oui</v>
          </cell>
        </row>
        <row r="34">
          <cell r="F34" t="str">
            <v>oui</v>
          </cell>
        </row>
        <row r="35">
          <cell r="F35" t="str">
            <v>oui</v>
          </cell>
        </row>
        <row r="36">
          <cell r="F36" t="str">
            <v>oui</v>
          </cell>
        </row>
        <row r="37">
          <cell r="F37" t="str">
            <v>oui</v>
          </cell>
        </row>
        <row r="38">
          <cell r="F38" t="str">
            <v>oui</v>
          </cell>
        </row>
        <row r="39">
          <cell r="F39" t="str">
            <v>oui</v>
          </cell>
        </row>
        <row r="40">
          <cell r="F40" t="str">
            <v>oui</v>
          </cell>
        </row>
        <row r="41">
          <cell r="F41" t="str">
            <v>oui</v>
          </cell>
        </row>
        <row r="42">
          <cell r="F42" t="str">
            <v>oui</v>
          </cell>
        </row>
        <row r="43">
          <cell r="F43" t="str">
            <v>oui</v>
          </cell>
        </row>
        <row r="44">
          <cell r="F44" t="str">
            <v>oui</v>
          </cell>
        </row>
        <row r="45">
          <cell r="F45" t="str">
            <v>oui</v>
          </cell>
        </row>
        <row r="46">
          <cell r="F46" t="str">
            <v>oui</v>
          </cell>
        </row>
        <row r="47">
          <cell r="F47" t="str">
            <v>non</v>
          </cell>
        </row>
        <row r="48">
          <cell r="F48" t="str">
            <v>oui</v>
          </cell>
        </row>
        <row r="49">
          <cell r="F49" t="str">
            <v>oui</v>
          </cell>
        </row>
        <row r="50">
          <cell r="F50" t="str">
            <v>oui</v>
          </cell>
        </row>
        <row r="51">
          <cell r="F51" t="str">
            <v>oui</v>
          </cell>
        </row>
        <row r="52">
          <cell r="F52" t="str">
            <v>oui</v>
          </cell>
        </row>
        <row r="53">
          <cell r="F53" t="str">
            <v>oui</v>
          </cell>
        </row>
        <row r="54">
          <cell r="F54" t="str">
            <v>oui</v>
          </cell>
        </row>
        <row r="55">
          <cell r="F55" t="str">
            <v>oui</v>
          </cell>
        </row>
        <row r="56">
          <cell r="F56" t="str">
            <v>oui</v>
          </cell>
        </row>
        <row r="57">
          <cell r="F57" t="str">
            <v>oui</v>
          </cell>
        </row>
        <row r="58">
          <cell r="F58" t="str">
            <v>oui</v>
          </cell>
        </row>
        <row r="59">
          <cell r="F59" t="str">
            <v>oui</v>
          </cell>
        </row>
        <row r="60">
          <cell r="F60" t="str">
            <v>oui</v>
          </cell>
        </row>
        <row r="61">
          <cell r="F61" t="str">
            <v>oui</v>
          </cell>
        </row>
        <row r="62">
          <cell r="F62" t="str">
            <v>oui</v>
          </cell>
        </row>
        <row r="63">
          <cell r="F63" t="str">
            <v>oui</v>
          </cell>
        </row>
        <row r="64">
          <cell r="F64" t="str">
            <v>oui</v>
          </cell>
        </row>
        <row r="65">
          <cell r="F65" t="str">
            <v>oui</v>
          </cell>
        </row>
        <row r="66">
          <cell r="F66" t="str">
            <v>oui</v>
          </cell>
        </row>
        <row r="67">
          <cell r="F67" t="str">
            <v>oui</v>
          </cell>
        </row>
        <row r="68">
          <cell r="F68" t="str">
            <v>oui</v>
          </cell>
        </row>
        <row r="69">
          <cell r="F69" t="str">
            <v>oui</v>
          </cell>
        </row>
        <row r="70">
          <cell r="F70" t="str">
            <v>oui</v>
          </cell>
        </row>
        <row r="71">
          <cell r="F71" t="str">
            <v>oui</v>
          </cell>
        </row>
        <row r="72">
          <cell r="F72" t="str">
            <v>oui</v>
          </cell>
        </row>
        <row r="73">
          <cell r="F73" t="str">
            <v>oui</v>
          </cell>
        </row>
        <row r="74">
          <cell r="F74" t="str">
            <v xml:space="preserve">non </v>
          </cell>
        </row>
        <row r="75">
          <cell r="F75" t="str">
            <v>non</v>
          </cell>
        </row>
        <row r="76">
          <cell r="F76" t="str">
            <v>oui</v>
          </cell>
        </row>
        <row r="77">
          <cell r="F77" t="str">
            <v>oui</v>
          </cell>
        </row>
        <row r="78">
          <cell r="F78" t="str">
            <v>oui</v>
          </cell>
        </row>
        <row r="79">
          <cell r="F79" t="str">
            <v>oui</v>
          </cell>
        </row>
        <row r="80">
          <cell r="F80" t="str">
            <v>oui</v>
          </cell>
        </row>
        <row r="81">
          <cell r="F81" t="str">
            <v>oui</v>
          </cell>
        </row>
        <row r="82">
          <cell r="F82" t="str">
            <v>oui</v>
          </cell>
        </row>
        <row r="83">
          <cell r="F83" t="str">
            <v>oui</v>
          </cell>
        </row>
        <row r="84">
          <cell r="F84" t="str">
            <v>oui</v>
          </cell>
        </row>
        <row r="85">
          <cell r="F85" t="str">
            <v>oui</v>
          </cell>
        </row>
        <row r="86">
          <cell r="F86" t="str">
            <v>oui</v>
          </cell>
        </row>
        <row r="87">
          <cell r="F87" t="str">
            <v>oui</v>
          </cell>
        </row>
        <row r="88">
          <cell r="F88" t="str">
            <v>oui</v>
          </cell>
        </row>
        <row r="89">
          <cell r="F89" t="str">
            <v>oui</v>
          </cell>
        </row>
        <row r="90">
          <cell r="F90" t="str">
            <v>oui</v>
          </cell>
        </row>
        <row r="91">
          <cell r="F91" t="str">
            <v>oui</v>
          </cell>
        </row>
        <row r="92">
          <cell r="F92" t="str">
            <v>oui</v>
          </cell>
        </row>
        <row r="93">
          <cell r="F93" t="str">
            <v>oui</v>
          </cell>
        </row>
        <row r="94">
          <cell r="F94" t="str">
            <v>oui</v>
          </cell>
        </row>
        <row r="95">
          <cell r="F95" t="str">
            <v>oui</v>
          </cell>
        </row>
        <row r="96">
          <cell r="F96" t="str">
            <v>oui</v>
          </cell>
        </row>
        <row r="97">
          <cell r="F97" t="str">
            <v>oui</v>
          </cell>
        </row>
        <row r="98">
          <cell r="F98" t="str">
            <v>oui</v>
          </cell>
        </row>
        <row r="99">
          <cell r="F99" t="str">
            <v>oui</v>
          </cell>
        </row>
        <row r="100">
          <cell r="F100" t="str">
            <v>oui</v>
          </cell>
        </row>
        <row r="101">
          <cell r="F101" t="str">
            <v>oui</v>
          </cell>
        </row>
        <row r="102">
          <cell r="F102" t="str">
            <v>oui</v>
          </cell>
        </row>
        <row r="103">
          <cell r="F103" t="str">
            <v>oui</v>
          </cell>
        </row>
        <row r="104">
          <cell r="F104" t="str">
            <v>oui</v>
          </cell>
        </row>
        <row r="105">
          <cell r="F105" t="str">
            <v>oui</v>
          </cell>
        </row>
        <row r="106">
          <cell r="F106" t="str">
            <v>oui</v>
          </cell>
        </row>
        <row r="107">
          <cell r="F107" t="str">
            <v>oui</v>
          </cell>
        </row>
        <row r="108">
          <cell r="F108" t="str">
            <v>oui</v>
          </cell>
        </row>
        <row r="109">
          <cell r="F109" t="str">
            <v>oui</v>
          </cell>
        </row>
        <row r="110">
          <cell r="F110" t="str">
            <v>oui</v>
          </cell>
        </row>
        <row r="111">
          <cell r="F111" t="str">
            <v>oui</v>
          </cell>
        </row>
        <row r="112">
          <cell r="F112" t="str">
            <v>oui</v>
          </cell>
        </row>
        <row r="113">
          <cell r="F113" t="str">
            <v>oui</v>
          </cell>
        </row>
        <row r="114">
          <cell r="F114" t="str">
            <v>oui</v>
          </cell>
        </row>
        <row r="115">
          <cell r="F115" t="str">
            <v>oui</v>
          </cell>
        </row>
        <row r="116">
          <cell r="F116" t="str">
            <v>oui</v>
          </cell>
        </row>
        <row r="117">
          <cell r="F117" t="str">
            <v>oui</v>
          </cell>
        </row>
        <row r="118">
          <cell r="F118" t="str">
            <v>oui</v>
          </cell>
        </row>
        <row r="119">
          <cell r="F119" t="str">
            <v>oui</v>
          </cell>
        </row>
        <row r="120">
          <cell r="F120" t="str">
            <v>oui</v>
          </cell>
        </row>
        <row r="121">
          <cell r="F121" t="str">
            <v>oui</v>
          </cell>
        </row>
        <row r="122">
          <cell r="F122" t="str">
            <v>oui</v>
          </cell>
        </row>
        <row r="123">
          <cell r="F123" t="str">
            <v>oui</v>
          </cell>
        </row>
        <row r="124">
          <cell r="F124" t="str">
            <v>oui</v>
          </cell>
        </row>
        <row r="125">
          <cell r="F125" t="str">
            <v>oui</v>
          </cell>
        </row>
        <row r="126">
          <cell r="F126" t="str">
            <v>oui</v>
          </cell>
        </row>
        <row r="127">
          <cell r="F127" t="str">
            <v>oui</v>
          </cell>
        </row>
        <row r="128">
          <cell r="F128" t="str">
            <v>oui</v>
          </cell>
        </row>
        <row r="129">
          <cell r="F129" t="str">
            <v>oui</v>
          </cell>
        </row>
        <row r="130">
          <cell r="F130" t="str">
            <v>oui</v>
          </cell>
        </row>
        <row r="131">
          <cell r="F131" t="str">
            <v>oui</v>
          </cell>
        </row>
        <row r="132">
          <cell r="F132" t="str">
            <v>oui</v>
          </cell>
        </row>
        <row r="133">
          <cell r="F133" t="str">
            <v>oui</v>
          </cell>
        </row>
        <row r="134">
          <cell r="F134" t="str">
            <v>oui</v>
          </cell>
        </row>
        <row r="135">
          <cell r="F135" t="str">
            <v>oui</v>
          </cell>
        </row>
        <row r="136">
          <cell r="F136" t="str">
            <v>oui</v>
          </cell>
        </row>
        <row r="137">
          <cell r="F137" t="str">
            <v>oui</v>
          </cell>
        </row>
        <row r="138">
          <cell r="F138" t="str">
            <v>oui</v>
          </cell>
        </row>
        <row r="139">
          <cell r="F139" t="str">
            <v>oui</v>
          </cell>
        </row>
        <row r="140">
          <cell r="F140" t="str">
            <v>oui</v>
          </cell>
        </row>
        <row r="141">
          <cell r="F141" t="str">
            <v>oui</v>
          </cell>
        </row>
        <row r="142">
          <cell r="F142" t="str">
            <v>oui</v>
          </cell>
        </row>
        <row r="143">
          <cell r="F143" t="str">
            <v>oui</v>
          </cell>
        </row>
        <row r="144">
          <cell r="F144" t="str">
            <v>oui</v>
          </cell>
        </row>
        <row r="145">
          <cell r="F145" t="str">
            <v>oui</v>
          </cell>
        </row>
        <row r="146">
          <cell r="F146" t="str">
            <v>oui</v>
          </cell>
        </row>
        <row r="147">
          <cell r="F147" t="str">
            <v>oui</v>
          </cell>
        </row>
        <row r="148">
          <cell r="F148" t="str">
            <v>oui</v>
          </cell>
        </row>
        <row r="149">
          <cell r="F149" t="str">
            <v>oui</v>
          </cell>
        </row>
        <row r="150">
          <cell r="F150" t="str">
            <v>oui</v>
          </cell>
        </row>
        <row r="151">
          <cell r="F151" t="str">
            <v>oui</v>
          </cell>
        </row>
        <row r="152">
          <cell r="F152" t="str">
            <v>non</v>
          </cell>
        </row>
        <row r="153">
          <cell r="F153" t="str">
            <v>non</v>
          </cell>
        </row>
        <row r="154">
          <cell r="F154" t="str">
            <v>non</v>
          </cell>
        </row>
        <row r="155">
          <cell r="F155" t="str">
            <v>non</v>
          </cell>
        </row>
        <row r="156">
          <cell r="F156" t="str">
            <v>non</v>
          </cell>
        </row>
        <row r="157">
          <cell r="F157" t="str">
            <v>non</v>
          </cell>
        </row>
        <row r="158">
          <cell r="F158" t="str">
            <v>pas</v>
          </cell>
        </row>
        <row r="159">
          <cell r="F159" t="str">
            <v>pas</v>
          </cell>
        </row>
        <row r="160">
          <cell r="F160" t="str">
            <v>non</v>
          </cell>
        </row>
        <row r="161">
          <cell r="F161" t="str">
            <v>non</v>
          </cell>
        </row>
        <row r="162">
          <cell r="F162" t="str">
            <v>oui</v>
          </cell>
        </row>
        <row r="163">
          <cell r="F163" t="str">
            <v>oui</v>
          </cell>
        </row>
        <row r="164">
          <cell r="F164" t="str">
            <v>oui</v>
          </cell>
        </row>
        <row r="165">
          <cell r="F165" t="str">
            <v>oui</v>
          </cell>
        </row>
        <row r="166">
          <cell r="F166" t="str">
            <v>oui</v>
          </cell>
        </row>
        <row r="167">
          <cell r="F167" t="str">
            <v>oui</v>
          </cell>
        </row>
        <row r="168">
          <cell r="F168" t="str">
            <v>oui</v>
          </cell>
        </row>
        <row r="169">
          <cell r="F169" t="str">
            <v>oui</v>
          </cell>
        </row>
        <row r="170">
          <cell r="F170" t="str">
            <v>oui</v>
          </cell>
        </row>
        <row r="171">
          <cell r="F171" t="str">
            <v>oui</v>
          </cell>
        </row>
        <row r="172">
          <cell r="F172" t="str">
            <v>oui</v>
          </cell>
        </row>
        <row r="173">
          <cell r="F173" t="str">
            <v>oui</v>
          </cell>
        </row>
        <row r="174">
          <cell r="F174" t="str">
            <v>oui</v>
          </cell>
        </row>
        <row r="175">
          <cell r="F175" t="str">
            <v>oui</v>
          </cell>
        </row>
        <row r="176">
          <cell r="F176" t="str">
            <v>oui</v>
          </cell>
        </row>
        <row r="177">
          <cell r="F177" t="str">
            <v>oui</v>
          </cell>
        </row>
        <row r="178">
          <cell r="F178" t="str">
            <v>oui</v>
          </cell>
        </row>
        <row r="179">
          <cell r="F179" t="str">
            <v>oui</v>
          </cell>
        </row>
        <row r="180">
          <cell r="F180" t="str">
            <v>oui</v>
          </cell>
        </row>
        <row r="181">
          <cell r="F181" t="str">
            <v>oui</v>
          </cell>
        </row>
        <row r="182">
          <cell r="F182" t="str">
            <v>oui</v>
          </cell>
        </row>
        <row r="183">
          <cell r="F183" t="str">
            <v>oui</v>
          </cell>
        </row>
        <row r="184">
          <cell r="F184" t="str">
            <v>oui</v>
          </cell>
        </row>
        <row r="185">
          <cell r="F185" t="str">
            <v>oui</v>
          </cell>
        </row>
        <row r="186">
          <cell r="F186" t="str">
            <v>oui</v>
          </cell>
        </row>
        <row r="187">
          <cell r="F187" t="str">
            <v>oui</v>
          </cell>
        </row>
        <row r="188">
          <cell r="F188" t="str">
            <v>oui</v>
          </cell>
        </row>
        <row r="189">
          <cell r="F189" t="str">
            <v>oui</v>
          </cell>
        </row>
        <row r="190">
          <cell r="F190" t="str">
            <v>oui</v>
          </cell>
        </row>
        <row r="191">
          <cell r="F191" t="str">
            <v>oui</v>
          </cell>
        </row>
        <row r="192">
          <cell r="F192" t="str">
            <v>oui</v>
          </cell>
        </row>
        <row r="193">
          <cell r="F193" t="str">
            <v>oui</v>
          </cell>
        </row>
        <row r="194">
          <cell r="F194" t="str">
            <v>oui</v>
          </cell>
        </row>
        <row r="195">
          <cell r="F195" t="str">
            <v>oui</v>
          </cell>
        </row>
        <row r="196">
          <cell r="F196" t="str">
            <v>oui</v>
          </cell>
        </row>
        <row r="197">
          <cell r="F197" t="str">
            <v>oui</v>
          </cell>
        </row>
        <row r="198">
          <cell r="F198" t="str">
            <v>oui</v>
          </cell>
        </row>
        <row r="199">
          <cell r="F199" t="str">
            <v>oui</v>
          </cell>
        </row>
        <row r="200">
          <cell r="F200" t="str">
            <v>oui</v>
          </cell>
        </row>
        <row r="201">
          <cell r="F201" t="str">
            <v>oui</v>
          </cell>
        </row>
        <row r="202">
          <cell r="F202" t="str">
            <v>oui</v>
          </cell>
        </row>
        <row r="203">
          <cell r="F203" t="str">
            <v>oui</v>
          </cell>
        </row>
        <row r="204">
          <cell r="F204" t="str">
            <v>oui</v>
          </cell>
        </row>
        <row r="205">
          <cell r="F205" t="str">
            <v>oui</v>
          </cell>
        </row>
        <row r="206">
          <cell r="F206" t="str">
            <v>oui</v>
          </cell>
        </row>
        <row r="207">
          <cell r="F207" t="str">
            <v>non</v>
          </cell>
        </row>
        <row r="208">
          <cell r="F208" t="str">
            <v>oui</v>
          </cell>
        </row>
        <row r="209">
          <cell r="F209" t="str">
            <v>oui</v>
          </cell>
        </row>
        <row r="210">
          <cell r="F210" t="str">
            <v>oui</v>
          </cell>
        </row>
        <row r="211">
          <cell r="F211" t="str">
            <v>oui</v>
          </cell>
        </row>
        <row r="212">
          <cell r="F212" t="str">
            <v>oui</v>
          </cell>
        </row>
        <row r="213">
          <cell r="F213" t="str">
            <v>oui</v>
          </cell>
        </row>
        <row r="214">
          <cell r="F214" t="str">
            <v>oui</v>
          </cell>
        </row>
        <row r="215">
          <cell r="F215" t="str">
            <v>oui</v>
          </cell>
        </row>
        <row r="216">
          <cell r="F216" t="str">
            <v>oui</v>
          </cell>
        </row>
        <row r="217">
          <cell r="F217" t="str">
            <v>oui</v>
          </cell>
        </row>
        <row r="218">
          <cell r="F218" t="str">
            <v>oui</v>
          </cell>
        </row>
        <row r="219">
          <cell r="F219" t="str">
            <v>oui</v>
          </cell>
        </row>
        <row r="220">
          <cell r="F220" t="str">
            <v>oui</v>
          </cell>
        </row>
        <row r="221">
          <cell r="F221" t="str">
            <v>oui</v>
          </cell>
        </row>
        <row r="222">
          <cell r="F222" t="str">
            <v>oui</v>
          </cell>
        </row>
        <row r="223">
          <cell r="F223" t="str">
            <v>oui</v>
          </cell>
        </row>
        <row r="224">
          <cell r="F224" t="str">
            <v>oui</v>
          </cell>
        </row>
        <row r="225">
          <cell r="F225" t="str">
            <v>oui</v>
          </cell>
        </row>
        <row r="226">
          <cell r="F226" t="str">
            <v>oui</v>
          </cell>
        </row>
        <row r="227">
          <cell r="F227" t="str">
            <v>oui</v>
          </cell>
        </row>
        <row r="228">
          <cell r="F228" t="str">
            <v>oui</v>
          </cell>
        </row>
        <row r="229">
          <cell r="F229" t="str">
            <v>oui</v>
          </cell>
        </row>
        <row r="230">
          <cell r="F230" t="str">
            <v>oui</v>
          </cell>
        </row>
        <row r="231">
          <cell r="F231" t="str">
            <v>oui</v>
          </cell>
        </row>
        <row r="232">
          <cell r="F232" t="str">
            <v>oui</v>
          </cell>
        </row>
        <row r="233">
          <cell r="F233" t="str">
            <v>oui</v>
          </cell>
        </row>
        <row r="234">
          <cell r="F234" t="str">
            <v>oui</v>
          </cell>
        </row>
        <row r="235">
          <cell r="F235" t="str">
            <v>oui</v>
          </cell>
        </row>
        <row r="236">
          <cell r="F236" t="str">
            <v>oui</v>
          </cell>
        </row>
        <row r="237">
          <cell r="F237" t="str">
            <v>oui</v>
          </cell>
        </row>
        <row r="238">
          <cell r="F238" t="str">
            <v>oui</v>
          </cell>
        </row>
        <row r="239">
          <cell r="F239" t="str">
            <v>oui</v>
          </cell>
        </row>
        <row r="240">
          <cell r="F240" t="str">
            <v>oui</v>
          </cell>
        </row>
        <row r="241">
          <cell r="F241" t="str">
            <v>oui</v>
          </cell>
        </row>
        <row r="242">
          <cell r="F242" t="str">
            <v>oui</v>
          </cell>
        </row>
        <row r="243">
          <cell r="F243" t="str">
            <v>oui</v>
          </cell>
        </row>
        <row r="244">
          <cell r="F244" t="str">
            <v>oui</v>
          </cell>
        </row>
        <row r="245">
          <cell r="F245" t="str">
            <v>oui</v>
          </cell>
        </row>
        <row r="246">
          <cell r="F246" t="str">
            <v>oui</v>
          </cell>
        </row>
        <row r="247">
          <cell r="F247" t="str">
            <v>oui</v>
          </cell>
        </row>
        <row r="248">
          <cell r="F248" t="str">
            <v>oui</v>
          </cell>
        </row>
        <row r="249">
          <cell r="F249" t="str">
            <v>non</v>
          </cell>
        </row>
        <row r="250">
          <cell r="F250" t="str">
            <v>non</v>
          </cell>
        </row>
        <row r="251">
          <cell r="F251" t="str">
            <v>non</v>
          </cell>
        </row>
        <row r="252">
          <cell r="F252" t="str">
            <v>non</v>
          </cell>
        </row>
        <row r="253">
          <cell r="F253" t="str">
            <v>non</v>
          </cell>
        </row>
        <row r="254">
          <cell r="F254" t="str">
            <v>pas</v>
          </cell>
        </row>
        <row r="255">
          <cell r="F255" t="str">
            <v>oui</v>
          </cell>
        </row>
        <row r="256">
          <cell r="F256" t="str">
            <v>oui</v>
          </cell>
        </row>
        <row r="257">
          <cell r="F257" t="str">
            <v>oui</v>
          </cell>
        </row>
        <row r="258">
          <cell r="F258" t="str">
            <v>oui</v>
          </cell>
        </row>
        <row r="259">
          <cell r="F259" t="str">
            <v>oui</v>
          </cell>
        </row>
        <row r="260">
          <cell r="F260" t="str">
            <v>oui</v>
          </cell>
        </row>
        <row r="261">
          <cell r="F261" t="str">
            <v>oui</v>
          </cell>
        </row>
        <row r="262">
          <cell r="F262" t="str">
            <v>oui</v>
          </cell>
        </row>
        <row r="263">
          <cell r="F263" t="str">
            <v>oui</v>
          </cell>
        </row>
        <row r="264">
          <cell r="F264" t="str">
            <v>oui</v>
          </cell>
        </row>
        <row r="265">
          <cell r="F265" t="str">
            <v>oui</v>
          </cell>
        </row>
        <row r="266">
          <cell r="F266" t="str">
            <v>oui</v>
          </cell>
        </row>
        <row r="267">
          <cell r="F267" t="str">
            <v>oui</v>
          </cell>
        </row>
        <row r="268">
          <cell r="F268" t="str">
            <v>oui</v>
          </cell>
        </row>
        <row r="269">
          <cell r="F269" t="str">
            <v>oui</v>
          </cell>
        </row>
        <row r="270">
          <cell r="F270" t="str">
            <v>oui</v>
          </cell>
        </row>
        <row r="271">
          <cell r="F271" t="str">
            <v>oui</v>
          </cell>
        </row>
        <row r="272">
          <cell r="F272" t="str">
            <v>oui</v>
          </cell>
        </row>
        <row r="273">
          <cell r="F273" t="str">
            <v>oui</v>
          </cell>
        </row>
        <row r="274">
          <cell r="F274" t="str">
            <v>oui</v>
          </cell>
        </row>
        <row r="275">
          <cell r="F275" t="str">
            <v>oui</v>
          </cell>
        </row>
        <row r="276">
          <cell r="F276" t="str">
            <v>oui</v>
          </cell>
        </row>
        <row r="277">
          <cell r="F277" t="str">
            <v>oui</v>
          </cell>
        </row>
        <row r="278">
          <cell r="F278" t="str">
            <v>oui</v>
          </cell>
        </row>
        <row r="279">
          <cell r="F279" t="str">
            <v>oui</v>
          </cell>
        </row>
        <row r="280">
          <cell r="F280" t="str">
            <v>oui</v>
          </cell>
        </row>
        <row r="281">
          <cell r="F281" t="str">
            <v>oui</v>
          </cell>
        </row>
        <row r="282">
          <cell r="F282" t="str">
            <v>oui</v>
          </cell>
        </row>
        <row r="283">
          <cell r="F283" t="str">
            <v>oui</v>
          </cell>
        </row>
        <row r="284">
          <cell r="F284" t="str">
            <v>oui</v>
          </cell>
        </row>
        <row r="285">
          <cell r="F285" t="str">
            <v>oui</v>
          </cell>
        </row>
        <row r="286">
          <cell r="F286" t="str">
            <v>oui</v>
          </cell>
        </row>
        <row r="287">
          <cell r="F287" t="str">
            <v>oui</v>
          </cell>
        </row>
        <row r="288">
          <cell r="F288" t="str">
            <v>oui</v>
          </cell>
        </row>
        <row r="289">
          <cell r="F289" t="str">
            <v>oui</v>
          </cell>
        </row>
        <row r="290">
          <cell r="F290" t="str">
            <v>oui</v>
          </cell>
        </row>
        <row r="291">
          <cell r="F291" t="str">
            <v>oui</v>
          </cell>
        </row>
        <row r="292">
          <cell r="F292" t="str">
            <v>oui</v>
          </cell>
        </row>
        <row r="293">
          <cell r="F293" t="str">
            <v>oui</v>
          </cell>
        </row>
        <row r="294">
          <cell r="F294" t="str">
            <v>oui</v>
          </cell>
        </row>
        <row r="295">
          <cell r="F295" t="str">
            <v>oui</v>
          </cell>
        </row>
        <row r="296">
          <cell r="F296" t="str">
            <v>oui</v>
          </cell>
        </row>
        <row r="297">
          <cell r="F297" t="str">
            <v>oui</v>
          </cell>
        </row>
        <row r="298">
          <cell r="F298" t="str">
            <v>oui</v>
          </cell>
        </row>
        <row r="299">
          <cell r="F299" t="str">
            <v>oui</v>
          </cell>
        </row>
        <row r="300">
          <cell r="F300" t="str">
            <v>oui</v>
          </cell>
        </row>
        <row r="301">
          <cell r="F301" t="str">
            <v>oui</v>
          </cell>
        </row>
        <row r="302">
          <cell r="F302" t="str">
            <v>oui</v>
          </cell>
        </row>
        <row r="303">
          <cell r="F303" t="str">
            <v>oui</v>
          </cell>
        </row>
        <row r="304">
          <cell r="F304" t="str">
            <v>non</v>
          </cell>
        </row>
        <row r="305">
          <cell r="F305" t="str">
            <v>non</v>
          </cell>
        </row>
        <row r="306">
          <cell r="F306" t="str">
            <v>non</v>
          </cell>
        </row>
        <row r="307">
          <cell r="F307" t="str">
            <v>non</v>
          </cell>
        </row>
        <row r="308">
          <cell r="F308" t="str">
            <v>non</v>
          </cell>
        </row>
        <row r="309">
          <cell r="F309" t="str">
            <v>non</v>
          </cell>
        </row>
        <row r="310">
          <cell r="F310" t="str">
            <v>oui</v>
          </cell>
        </row>
        <row r="311">
          <cell r="F311" t="str">
            <v>pas</v>
          </cell>
        </row>
        <row r="312">
          <cell r="F312" t="str">
            <v>pas</v>
          </cell>
        </row>
        <row r="313">
          <cell r="F313" t="str">
            <v>pas</v>
          </cell>
        </row>
        <row r="314">
          <cell r="F314" t="str">
            <v>pas</v>
          </cell>
        </row>
        <row r="315">
          <cell r="F315" t="str">
            <v>oui</v>
          </cell>
        </row>
        <row r="316">
          <cell r="F316" t="str">
            <v>oui</v>
          </cell>
        </row>
        <row r="317">
          <cell r="F317" t="str">
            <v>oui</v>
          </cell>
        </row>
        <row r="318">
          <cell r="F318" t="str">
            <v>oui</v>
          </cell>
        </row>
        <row r="319">
          <cell r="F319" t="str">
            <v>oui</v>
          </cell>
        </row>
        <row r="320">
          <cell r="F320" t="str">
            <v>oui</v>
          </cell>
        </row>
        <row r="321">
          <cell r="F321" t="str">
            <v>oui</v>
          </cell>
        </row>
        <row r="322">
          <cell r="F322" t="str">
            <v>oui</v>
          </cell>
        </row>
        <row r="323">
          <cell r="F323" t="str">
            <v>oui</v>
          </cell>
        </row>
        <row r="324">
          <cell r="F324" t="str">
            <v>oui</v>
          </cell>
        </row>
        <row r="325">
          <cell r="F325" t="str">
            <v>oui</v>
          </cell>
        </row>
        <row r="326">
          <cell r="F326" t="str">
            <v>oui</v>
          </cell>
        </row>
        <row r="327">
          <cell r="F327" t="str">
            <v>oui</v>
          </cell>
        </row>
        <row r="328">
          <cell r="F328" t="str">
            <v>oui</v>
          </cell>
        </row>
        <row r="329">
          <cell r="F329" t="str">
            <v>oui</v>
          </cell>
        </row>
        <row r="330">
          <cell r="F330" t="str">
            <v>oui</v>
          </cell>
        </row>
        <row r="331">
          <cell r="F331" t="str">
            <v>oui</v>
          </cell>
        </row>
        <row r="332">
          <cell r="F332" t="str">
            <v>oui</v>
          </cell>
        </row>
        <row r="333">
          <cell r="F333" t="str">
            <v>oui</v>
          </cell>
        </row>
        <row r="334">
          <cell r="F334" t="str">
            <v>oui</v>
          </cell>
        </row>
        <row r="335">
          <cell r="F335" t="str">
            <v>oui</v>
          </cell>
        </row>
        <row r="336">
          <cell r="F336" t="str">
            <v>oui</v>
          </cell>
        </row>
        <row r="337">
          <cell r="F337" t="str">
            <v>oui</v>
          </cell>
        </row>
        <row r="338">
          <cell r="F338" t="str">
            <v>oui</v>
          </cell>
        </row>
        <row r="339">
          <cell r="F339" t="str">
            <v>oui</v>
          </cell>
        </row>
        <row r="340">
          <cell r="F340" t="str">
            <v>oui</v>
          </cell>
        </row>
        <row r="341">
          <cell r="F341" t="str">
            <v>oui</v>
          </cell>
        </row>
        <row r="342">
          <cell r="F342" t="str">
            <v>oui</v>
          </cell>
        </row>
        <row r="343">
          <cell r="F343" t="str">
            <v>oui</v>
          </cell>
        </row>
        <row r="344">
          <cell r="F344" t="str">
            <v>oui</v>
          </cell>
        </row>
        <row r="345">
          <cell r="F345" t="str">
            <v>oui</v>
          </cell>
        </row>
        <row r="346">
          <cell r="F346" t="str">
            <v>oui</v>
          </cell>
        </row>
        <row r="347">
          <cell r="F347" t="str">
            <v>oui</v>
          </cell>
        </row>
        <row r="348">
          <cell r="F348" t="str">
            <v>oui</v>
          </cell>
        </row>
        <row r="349">
          <cell r="F349" t="str">
            <v>oui</v>
          </cell>
        </row>
        <row r="350">
          <cell r="F350" t="str">
            <v>oui</v>
          </cell>
        </row>
        <row r="351">
          <cell r="F351" t="str">
            <v>oui</v>
          </cell>
        </row>
        <row r="352">
          <cell r="F352" t="str">
            <v>oui</v>
          </cell>
        </row>
        <row r="353">
          <cell r="F353" t="str">
            <v>oui</v>
          </cell>
        </row>
        <row r="354">
          <cell r="F354" t="str">
            <v>oui</v>
          </cell>
        </row>
        <row r="355">
          <cell r="F355" t="str">
            <v>oui</v>
          </cell>
        </row>
        <row r="356">
          <cell r="F356" t="str">
            <v>oui</v>
          </cell>
        </row>
        <row r="357">
          <cell r="F357" t="str">
            <v>oui</v>
          </cell>
        </row>
        <row r="358">
          <cell r="F358" t="str">
            <v>oui</v>
          </cell>
        </row>
        <row r="359">
          <cell r="F359" t="str">
            <v>oui</v>
          </cell>
        </row>
        <row r="360">
          <cell r="F360" t="str">
            <v>oui</v>
          </cell>
        </row>
        <row r="361">
          <cell r="F361" t="str">
            <v>oui</v>
          </cell>
        </row>
        <row r="362">
          <cell r="F362" t="str">
            <v>oui</v>
          </cell>
        </row>
        <row r="363">
          <cell r="F363" t="str">
            <v>non</v>
          </cell>
        </row>
        <row r="364">
          <cell r="F364" t="str">
            <v>oui</v>
          </cell>
        </row>
        <row r="365">
          <cell r="F365" t="str">
            <v>oui</v>
          </cell>
        </row>
        <row r="366">
          <cell r="F366" t="str">
            <v>oui</v>
          </cell>
        </row>
        <row r="367">
          <cell r="F367" t="str">
            <v>oui</v>
          </cell>
        </row>
        <row r="368">
          <cell r="F368" t="str">
            <v>oui</v>
          </cell>
        </row>
        <row r="369">
          <cell r="F369" t="str">
            <v>oui</v>
          </cell>
        </row>
        <row r="370">
          <cell r="F370" t="str">
            <v>oui</v>
          </cell>
        </row>
        <row r="371">
          <cell r="F371" t="str">
            <v>oui</v>
          </cell>
        </row>
        <row r="372">
          <cell r="F372" t="str">
            <v>oui</v>
          </cell>
        </row>
        <row r="373">
          <cell r="F373" t="str">
            <v>oui</v>
          </cell>
        </row>
        <row r="374">
          <cell r="F374" t="str">
            <v>oui</v>
          </cell>
        </row>
        <row r="375">
          <cell r="F375" t="str">
            <v>oui</v>
          </cell>
        </row>
        <row r="376">
          <cell r="F376" t="str">
            <v>oui</v>
          </cell>
        </row>
        <row r="377">
          <cell r="F377" t="str">
            <v>oui</v>
          </cell>
        </row>
        <row r="378">
          <cell r="F378" t="str">
            <v>oui</v>
          </cell>
        </row>
        <row r="379">
          <cell r="F379" t="str">
            <v>oui</v>
          </cell>
        </row>
        <row r="380">
          <cell r="F380" t="str">
            <v>oui</v>
          </cell>
        </row>
        <row r="381">
          <cell r="F381" t="str">
            <v>oui</v>
          </cell>
        </row>
        <row r="382">
          <cell r="F382" t="str">
            <v>oui</v>
          </cell>
        </row>
        <row r="383">
          <cell r="F383" t="str">
            <v>oui</v>
          </cell>
        </row>
        <row r="384">
          <cell r="F384" t="str">
            <v>oui</v>
          </cell>
        </row>
        <row r="385">
          <cell r="F385" t="str">
            <v>oui</v>
          </cell>
        </row>
        <row r="386">
          <cell r="F386" t="str">
            <v>oui</v>
          </cell>
        </row>
        <row r="387">
          <cell r="F387" t="str">
            <v>oui</v>
          </cell>
        </row>
        <row r="388">
          <cell r="F388" t="str">
            <v>oui</v>
          </cell>
        </row>
        <row r="389">
          <cell r="F389" t="str">
            <v>oui</v>
          </cell>
        </row>
        <row r="390">
          <cell r="F390" t="str">
            <v>oui</v>
          </cell>
        </row>
        <row r="391">
          <cell r="F391" t="str">
            <v>oui</v>
          </cell>
        </row>
        <row r="392">
          <cell r="F392" t="str">
            <v>oui</v>
          </cell>
        </row>
        <row r="393">
          <cell r="F393" t="str">
            <v>oui</v>
          </cell>
        </row>
        <row r="394">
          <cell r="F394" t="str">
            <v>oui</v>
          </cell>
        </row>
        <row r="395">
          <cell r="F395" t="str">
            <v>oui</v>
          </cell>
        </row>
        <row r="396">
          <cell r="F396" t="str">
            <v>oui</v>
          </cell>
        </row>
        <row r="397">
          <cell r="F397" t="str">
            <v>oui</v>
          </cell>
        </row>
        <row r="398">
          <cell r="F398" t="str">
            <v>oui</v>
          </cell>
        </row>
        <row r="399">
          <cell r="F399" t="str">
            <v>oui</v>
          </cell>
        </row>
        <row r="400">
          <cell r="F400" t="str">
            <v>oui</v>
          </cell>
        </row>
        <row r="401">
          <cell r="F401" t="str">
            <v>oui</v>
          </cell>
        </row>
        <row r="402">
          <cell r="F402" t="str">
            <v>oui</v>
          </cell>
        </row>
        <row r="403">
          <cell r="F403" t="str">
            <v>oui</v>
          </cell>
        </row>
        <row r="404">
          <cell r="F404" t="str">
            <v>oui</v>
          </cell>
        </row>
        <row r="405">
          <cell r="F405" t="str">
            <v>oui</v>
          </cell>
        </row>
        <row r="406">
          <cell r="F406" t="str">
            <v>oui</v>
          </cell>
        </row>
        <row r="407">
          <cell r="F407" t="str">
            <v>oui</v>
          </cell>
        </row>
        <row r="408">
          <cell r="F408" t="str">
            <v>oui</v>
          </cell>
        </row>
        <row r="409">
          <cell r="F409" t="str">
            <v>non</v>
          </cell>
        </row>
        <row r="410">
          <cell r="F410" t="str">
            <v>non</v>
          </cell>
        </row>
        <row r="411">
          <cell r="F411" t="str">
            <v>non</v>
          </cell>
        </row>
        <row r="412">
          <cell r="F412" t="str">
            <v>non</v>
          </cell>
        </row>
        <row r="413">
          <cell r="F413" t="str">
            <v>non</v>
          </cell>
        </row>
        <row r="414">
          <cell r="F414" t="str">
            <v>oui</v>
          </cell>
        </row>
        <row r="415">
          <cell r="F415" t="str">
            <v>oui</v>
          </cell>
        </row>
        <row r="416">
          <cell r="F416" t="str">
            <v>oui</v>
          </cell>
        </row>
        <row r="417">
          <cell r="F417" t="str">
            <v>oui</v>
          </cell>
        </row>
        <row r="418">
          <cell r="F418" t="str">
            <v>oui</v>
          </cell>
        </row>
        <row r="419">
          <cell r="F419" t="str">
            <v>oui</v>
          </cell>
        </row>
        <row r="420">
          <cell r="F420" t="str">
            <v>oui</v>
          </cell>
        </row>
        <row r="421">
          <cell r="F421" t="str">
            <v>oui</v>
          </cell>
        </row>
        <row r="422">
          <cell r="F422" t="str">
            <v>oui</v>
          </cell>
        </row>
        <row r="423">
          <cell r="F423" t="str">
            <v>oui</v>
          </cell>
        </row>
        <row r="424">
          <cell r="F424" t="str">
            <v>oui</v>
          </cell>
        </row>
        <row r="425">
          <cell r="F425" t="str">
            <v>oui</v>
          </cell>
        </row>
        <row r="426">
          <cell r="F426" t="str">
            <v>oui</v>
          </cell>
        </row>
        <row r="427">
          <cell r="F427" t="str">
            <v>oui</v>
          </cell>
        </row>
        <row r="428">
          <cell r="F428" t="str">
            <v>non</v>
          </cell>
        </row>
        <row r="429">
          <cell r="F429" t="str">
            <v>non</v>
          </cell>
        </row>
        <row r="430">
          <cell r="F430" t="str">
            <v>non</v>
          </cell>
        </row>
        <row r="431">
          <cell r="F431" t="str">
            <v>non</v>
          </cell>
        </row>
        <row r="432">
          <cell r="F432" t="str">
            <v>non</v>
          </cell>
        </row>
        <row r="433">
          <cell r="F433" t="str">
            <v>non</v>
          </cell>
        </row>
        <row r="434">
          <cell r="F434" t="str">
            <v>non</v>
          </cell>
        </row>
        <row r="435">
          <cell r="F435" t="str">
            <v>non</v>
          </cell>
        </row>
        <row r="436">
          <cell r="F436" t="str">
            <v>non</v>
          </cell>
        </row>
        <row r="437">
          <cell r="F437" t="str">
            <v>non</v>
          </cell>
        </row>
        <row r="438">
          <cell r="F438" t="str">
            <v>oui</v>
          </cell>
        </row>
        <row r="439">
          <cell r="F439" t="str">
            <v>non</v>
          </cell>
        </row>
        <row r="440">
          <cell r="F440" t="str">
            <v>oui</v>
          </cell>
        </row>
        <row r="441">
          <cell r="F441" t="str">
            <v>oui</v>
          </cell>
        </row>
        <row r="442">
          <cell r="F442" t="str">
            <v>non</v>
          </cell>
        </row>
        <row r="443">
          <cell r="F443" t="str">
            <v>oui</v>
          </cell>
        </row>
        <row r="444">
          <cell r="F444" t="str">
            <v>oui</v>
          </cell>
        </row>
        <row r="445">
          <cell r="F445" t="str">
            <v>non</v>
          </cell>
        </row>
        <row r="446">
          <cell r="F446" t="str">
            <v>oui</v>
          </cell>
        </row>
        <row r="447">
          <cell r="F447" t="str">
            <v>oui</v>
          </cell>
        </row>
        <row r="448">
          <cell r="F448" t="str">
            <v>non</v>
          </cell>
        </row>
        <row r="449">
          <cell r="F449" t="str">
            <v>oui</v>
          </cell>
        </row>
        <row r="450">
          <cell r="F450" t="str">
            <v>oui</v>
          </cell>
        </row>
        <row r="451">
          <cell r="F451" t="str">
            <v>non</v>
          </cell>
        </row>
        <row r="452">
          <cell r="F452" t="str">
            <v>oui</v>
          </cell>
        </row>
        <row r="453">
          <cell r="F453" t="str">
            <v>oui</v>
          </cell>
        </row>
        <row r="454">
          <cell r="F454" t="str">
            <v>non</v>
          </cell>
        </row>
        <row r="455">
          <cell r="F455" t="str">
            <v>oui</v>
          </cell>
        </row>
        <row r="456">
          <cell r="F456" t="str">
            <v>oui</v>
          </cell>
        </row>
        <row r="457">
          <cell r="F457" t="str">
            <v>non</v>
          </cell>
        </row>
        <row r="458">
          <cell r="F458" t="str">
            <v>oui</v>
          </cell>
        </row>
        <row r="459">
          <cell r="F459" t="str">
            <v>oui</v>
          </cell>
        </row>
        <row r="460">
          <cell r="F460" t="str">
            <v>non</v>
          </cell>
        </row>
        <row r="461">
          <cell r="F461" t="str">
            <v>oui</v>
          </cell>
        </row>
        <row r="462">
          <cell r="F462" t="str">
            <v>oui</v>
          </cell>
        </row>
        <row r="463">
          <cell r="F463" t="str">
            <v xml:space="preserve">non </v>
          </cell>
        </row>
        <row r="464">
          <cell r="F464" t="str">
            <v>non</v>
          </cell>
        </row>
        <row r="465">
          <cell r="F465" t="str">
            <v>non</v>
          </cell>
        </row>
        <row r="466">
          <cell r="F466" t="str">
            <v>non</v>
          </cell>
        </row>
        <row r="467">
          <cell r="F467" t="str">
            <v>non</v>
          </cell>
        </row>
        <row r="468">
          <cell r="F468" t="str">
            <v>oui</v>
          </cell>
        </row>
        <row r="469">
          <cell r="F469" t="str">
            <v>oui</v>
          </cell>
        </row>
        <row r="470">
          <cell r="F470" t="str">
            <v>oui</v>
          </cell>
        </row>
        <row r="471">
          <cell r="F471" t="str">
            <v>oui</v>
          </cell>
        </row>
        <row r="472">
          <cell r="F472" t="str">
            <v>oui</v>
          </cell>
        </row>
        <row r="473">
          <cell r="F473" t="str">
            <v>oui</v>
          </cell>
        </row>
        <row r="474">
          <cell r="F474" t="str">
            <v>oui</v>
          </cell>
        </row>
        <row r="475">
          <cell r="F475" t="str">
            <v>oui</v>
          </cell>
        </row>
        <row r="476">
          <cell r="F476" t="str">
            <v>oui</v>
          </cell>
        </row>
        <row r="477">
          <cell r="F477" t="str">
            <v>oui</v>
          </cell>
        </row>
        <row r="478">
          <cell r="F478" t="str">
            <v>oui</v>
          </cell>
        </row>
        <row r="479">
          <cell r="F479" t="str">
            <v>oui</v>
          </cell>
        </row>
        <row r="480">
          <cell r="F480" t="str">
            <v>oui</v>
          </cell>
        </row>
        <row r="481">
          <cell r="F481" t="str">
            <v>oui</v>
          </cell>
        </row>
        <row r="482">
          <cell r="F482" t="str">
            <v>oui</v>
          </cell>
        </row>
        <row r="483">
          <cell r="F483" t="str">
            <v>oui</v>
          </cell>
        </row>
        <row r="484">
          <cell r="F484" t="str">
            <v>oui</v>
          </cell>
        </row>
        <row r="485">
          <cell r="F485" t="str">
            <v>oui</v>
          </cell>
        </row>
        <row r="486">
          <cell r="F486" t="str">
            <v>oui</v>
          </cell>
        </row>
        <row r="487">
          <cell r="F487" t="str">
            <v>oui</v>
          </cell>
        </row>
        <row r="488">
          <cell r="F488" t="str">
            <v>oui</v>
          </cell>
        </row>
        <row r="489">
          <cell r="F489" t="str">
            <v>oui</v>
          </cell>
        </row>
        <row r="490">
          <cell r="F490" t="str">
            <v>oui</v>
          </cell>
        </row>
        <row r="491">
          <cell r="F491" t="str">
            <v>oui</v>
          </cell>
        </row>
        <row r="492">
          <cell r="F492" t="str">
            <v>oui</v>
          </cell>
        </row>
        <row r="493">
          <cell r="F493" t="str">
            <v>oui</v>
          </cell>
        </row>
        <row r="494">
          <cell r="F494" t="str">
            <v>oui</v>
          </cell>
        </row>
        <row r="495">
          <cell r="F495" t="str">
            <v>oui</v>
          </cell>
        </row>
        <row r="496">
          <cell r="F496" t="str">
            <v>oui</v>
          </cell>
        </row>
        <row r="497">
          <cell r="F497" t="str">
            <v>oui</v>
          </cell>
        </row>
        <row r="498">
          <cell r="F498" t="str">
            <v>oui</v>
          </cell>
        </row>
        <row r="499">
          <cell r="F499" t="str">
            <v>non</v>
          </cell>
        </row>
        <row r="500">
          <cell r="F500" t="str">
            <v>non</v>
          </cell>
        </row>
        <row r="501">
          <cell r="F501" t="str">
            <v>non</v>
          </cell>
        </row>
        <row r="502">
          <cell r="F502" t="str">
            <v>non</v>
          </cell>
        </row>
        <row r="503">
          <cell r="F503" t="str">
            <v>non</v>
          </cell>
        </row>
        <row r="504">
          <cell r="F504" t="str">
            <v>non</v>
          </cell>
        </row>
        <row r="505">
          <cell r="F505" t="str">
            <v>non</v>
          </cell>
        </row>
        <row r="506">
          <cell r="F506" t="str">
            <v>non</v>
          </cell>
        </row>
        <row r="507">
          <cell r="F507" t="str">
            <v>non</v>
          </cell>
        </row>
        <row r="508">
          <cell r="F508" t="str">
            <v>non</v>
          </cell>
        </row>
        <row r="509">
          <cell r="F509" t="str">
            <v>non</v>
          </cell>
        </row>
        <row r="510">
          <cell r="F510" t="str">
            <v>non</v>
          </cell>
        </row>
        <row r="511">
          <cell r="F511" t="str">
            <v>non</v>
          </cell>
        </row>
        <row r="512">
          <cell r="F512" t="str">
            <v>non</v>
          </cell>
        </row>
        <row r="513">
          <cell r="F513" t="str">
            <v>non</v>
          </cell>
        </row>
        <row r="514">
          <cell r="F514" t="str">
            <v>non</v>
          </cell>
        </row>
        <row r="515">
          <cell r="F515" t="str">
            <v>non</v>
          </cell>
        </row>
        <row r="516">
          <cell r="F516" t="str">
            <v>non</v>
          </cell>
        </row>
        <row r="517">
          <cell r="F517" t="str">
            <v>non</v>
          </cell>
        </row>
        <row r="518">
          <cell r="F518" t="str">
            <v>non</v>
          </cell>
        </row>
        <row r="519">
          <cell r="F519" t="str">
            <v>non</v>
          </cell>
        </row>
        <row r="520">
          <cell r="F520" t="str">
            <v>non</v>
          </cell>
        </row>
        <row r="521">
          <cell r="F521" t="str">
            <v>non</v>
          </cell>
        </row>
        <row r="522">
          <cell r="F522" t="str">
            <v>non</v>
          </cell>
        </row>
        <row r="523">
          <cell r="F523" t="str">
            <v>non</v>
          </cell>
        </row>
        <row r="524">
          <cell r="F524" t="str">
            <v>non</v>
          </cell>
        </row>
        <row r="525">
          <cell r="F525" t="str">
            <v>oui</v>
          </cell>
        </row>
        <row r="526">
          <cell r="F526" t="str">
            <v>oui</v>
          </cell>
        </row>
        <row r="527">
          <cell r="F527" t="str">
            <v>oui</v>
          </cell>
        </row>
        <row r="528">
          <cell r="F528" t="str">
            <v>oui</v>
          </cell>
        </row>
        <row r="529">
          <cell r="F529" t="str">
            <v>oui</v>
          </cell>
        </row>
        <row r="530">
          <cell r="F530" t="str">
            <v>oui</v>
          </cell>
        </row>
        <row r="531">
          <cell r="F531" t="str">
            <v>oui</v>
          </cell>
        </row>
        <row r="532">
          <cell r="F532" t="str">
            <v>oui</v>
          </cell>
        </row>
        <row r="533">
          <cell r="F533" t="str">
            <v>oui</v>
          </cell>
        </row>
        <row r="534">
          <cell r="F534" t="str">
            <v>oui</v>
          </cell>
        </row>
        <row r="535">
          <cell r="F535" t="str">
            <v>oui</v>
          </cell>
        </row>
        <row r="536">
          <cell r="F536" t="str">
            <v>oui</v>
          </cell>
        </row>
        <row r="537">
          <cell r="F537" t="str">
            <v>oui</v>
          </cell>
        </row>
        <row r="538">
          <cell r="F538" t="str">
            <v>oui</v>
          </cell>
        </row>
        <row r="539">
          <cell r="F539" t="str">
            <v>oui</v>
          </cell>
        </row>
        <row r="540">
          <cell r="F540" t="str">
            <v>oui</v>
          </cell>
        </row>
        <row r="541">
          <cell r="F541" t="str">
            <v>oui</v>
          </cell>
        </row>
        <row r="542">
          <cell r="F542" t="str">
            <v>oui</v>
          </cell>
        </row>
        <row r="543">
          <cell r="F543" t="str">
            <v>oui</v>
          </cell>
        </row>
        <row r="544">
          <cell r="F544" t="str">
            <v>oui</v>
          </cell>
        </row>
        <row r="545">
          <cell r="F545" t="str">
            <v>oui</v>
          </cell>
        </row>
        <row r="546">
          <cell r="F546" t="str">
            <v>oui</v>
          </cell>
        </row>
        <row r="547">
          <cell r="F547" t="str">
            <v>oui</v>
          </cell>
        </row>
        <row r="548">
          <cell r="F548" t="str">
            <v>oui</v>
          </cell>
        </row>
        <row r="549">
          <cell r="F549" t="str">
            <v>oui</v>
          </cell>
        </row>
        <row r="550">
          <cell r="F550" t="str">
            <v>oui</v>
          </cell>
        </row>
        <row r="551">
          <cell r="F551" t="str">
            <v>oui</v>
          </cell>
        </row>
        <row r="552">
          <cell r="F552" t="str">
            <v>oui</v>
          </cell>
        </row>
        <row r="553">
          <cell r="F553" t="str">
            <v>oui</v>
          </cell>
        </row>
        <row r="554">
          <cell r="F554" t="str">
            <v>oui</v>
          </cell>
        </row>
        <row r="555">
          <cell r="F555" t="str">
            <v>oui</v>
          </cell>
        </row>
        <row r="556">
          <cell r="F556" t="str">
            <v>oui</v>
          </cell>
        </row>
        <row r="557">
          <cell r="F557" t="str">
            <v>oui</v>
          </cell>
        </row>
        <row r="558">
          <cell r="F558" t="str">
            <v>oui</v>
          </cell>
        </row>
        <row r="559">
          <cell r="F559" t="str">
            <v>oui</v>
          </cell>
        </row>
        <row r="560">
          <cell r="F560" t="str">
            <v>oui</v>
          </cell>
        </row>
        <row r="561">
          <cell r="F561" t="str">
            <v>oui</v>
          </cell>
        </row>
        <row r="562">
          <cell r="F562" t="str">
            <v>oui</v>
          </cell>
        </row>
        <row r="563">
          <cell r="F563" t="str">
            <v>oui</v>
          </cell>
        </row>
        <row r="564">
          <cell r="F564" t="str">
            <v>oui</v>
          </cell>
        </row>
        <row r="565">
          <cell r="F565" t="str">
            <v>oui</v>
          </cell>
        </row>
        <row r="566">
          <cell r="F566" t="str">
            <v>oui</v>
          </cell>
        </row>
        <row r="567">
          <cell r="F567" t="str">
            <v>oui</v>
          </cell>
        </row>
        <row r="568">
          <cell r="F568" t="str">
            <v>non</v>
          </cell>
        </row>
        <row r="569">
          <cell r="F569" t="str">
            <v>non</v>
          </cell>
        </row>
        <row r="570">
          <cell r="F570" t="str">
            <v>non</v>
          </cell>
        </row>
        <row r="571">
          <cell r="F571" t="str">
            <v>non</v>
          </cell>
        </row>
        <row r="572">
          <cell r="F572" t="str">
            <v>non</v>
          </cell>
        </row>
        <row r="573">
          <cell r="F573" t="str">
            <v>non</v>
          </cell>
        </row>
        <row r="574">
          <cell r="F574" t="str">
            <v>non</v>
          </cell>
        </row>
        <row r="575">
          <cell r="F575" t="str">
            <v>non</v>
          </cell>
        </row>
        <row r="576">
          <cell r="F576" t="str">
            <v>non</v>
          </cell>
        </row>
        <row r="577">
          <cell r="F577" t="str">
            <v>non</v>
          </cell>
        </row>
        <row r="578">
          <cell r="F578" t="str">
            <v>non</v>
          </cell>
        </row>
        <row r="579">
          <cell r="F579" t="str">
            <v>non</v>
          </cell>
        </row>
        <row r="580">
          <cell r="F580" t="str">
            <v>non</v>
          </cell>
        </row>
        <row r="581">
          <cell r="F581" t="str">
            <v>non</v>
          </cell>
        </row>
        <row r="582">
          <cell r="F582" t="str">
            <v>non</v>
          </cell>
        </row>
        <row r="583">
          <cell r="F583" t="str">
            <v>non</v>
          </cell>
        </row>
        <row r="584">
          <cell r="F584" t="str">
            <v>non</v>
          </cell>
        </row>
        <row r="585">
          <cell r="F585" t="str">
            <v>non</v>
          </cell>
        </row>
        <row r="586">
          <cell r="F586" t="str">
            <v>non</v>
          </cell>
        </row>
        <row r="587">
          <cell r="F587" t="str">
            <v>non</v>
          </cell>
        </row>
        <row r="588">
          <cell r="F588" t="str">
            <v>non</v>
          </cell>
        </row>
        <row r="589">
          <cell r="F589" t="str">
            <v>non</v>
          </cell>
        </row>
        <row r="590">
          <cell r="F590" t="str">
            <v>non</v>
          </cell>
        </row>
        <row r="591">
          <cell r="F591" t="str">
            <v>non</v>
          </cell>
        </row>
        <row r="592">
          <cell r="F592" t="str">
            <v>non</v>
          </cell>
        </row>
        <row r="593">
          <cell r="F593" t="str">
            <v>non</v>
          </cell>
        </row>
        <row r="594">
          <cell r="F594" t="str">
            <v>non</v>
          </cell>
        </row>
        <row r="595">
          <cell r="F595" t="str">
            <v>non</v>
          </cell>
        </row>
        <row r="596">
          <cell r="F596" t="str">
            <v>non</v>
          </cell>
        </row>
        <row r="597">
          <cell r="F597" t="str">
            <v>non</v>
          </cell>
        </row>
        <row r="598">
          <cell r="F598" t="str">
            <v>non</v>
          </cell>
        </row>
        <row r="599">
          <cell r="F599" t="str">
            <v>non</v>
          </cell>
        </row>
        <row r="600">
          <cell r="F600" t="str">
            <v>non</v>
          </cell>
        </row>
        <row r="601">
          <cell r="F601" t="str">
            <v>pas</v>
          </cell>
        </row>
        <row r="602">
          <cell r="F602" t="str">
            <v>pas</v>
          </cell>
        </row>
        <row r="603">
          <cell r="F603" t="str">
            <v>pas</v>
          </cell>
        </row>
        <row r="604">
          <cell r="F604" t="str">
            <v>pas</v>
          </cell>
        </row>
        <row r="605">
          <cell r="F605" t="str">
            <v>pas</v>
          </cell>
        </row>
        <row r="606">
          <cell r="F606" t="str">
            <v>pas</v>
          </cell>
        </row>
        <row r="607">
          <cell r="F607" t="str">
            <v>pas</v>
          </cell>
        </row>
        <row r="608">
          <cell r="F608" t="str">
            <v>pas</v>
          </cell>
        </row>
        <row r="609">
          <cell r="F609" t="str">
            <v>pas</v>
          </cell>
        </row>
        <row r="610">
          <cell r="F610" t="str">
            <v>pas</v>
          </cell>
        </row>
        <row r="611">
          <cell r="F611" t="str">
            <v>pas</v>
          </cell>
        </row>
        <row r="612">
          <cell r="F612" t="str">
            <v>pas</v>
          </cell>
        </row>
        <row r="613">
          <cell r="F613" t="str">
            <v>pas</v>
          </cell>
        </row>
        <row r="614">
          <cell r="F614" t="str">
            <v>pas</v>
          </cell>
        </row>
        <row r="615">
          <cell r="F615" t="str">
            <v>pas</v>
          </cell>
        </row>
        <row r="616">
          <cell r="F616" t="str">
            <v>pas</v>
          </cell>
        </row>
        <row r="617">
          <cell r="F617" t="str">
            <v>pas</v>
          </cell>
        </row>
        <row r="618">
          <cell r="F618" t="str">
            <v>pas</v>
          </cell>
        </row>
        <row r="619">
          <cell r="F619" t="str">
            <v>pas</v>
          </cell>
        </row>
        <row r="620">
          <cell r="F620" t="str">
            <v>pas</v>
          </cell>
        </row>
        <row r="621">
          <cell r="F621" t="str">
            <v>pas</v>
          </cell>
        </row>
        <row r="622">
          <cell r="F622" t="str">
            <v>pas</v>
          </cell>
        </row>
        <row r="623">
          <cell r="F623" t="str">
            <v>pas</v>
          </cell>
        </row>
        <row r="624">
          <cell r="F624" t="str">
            <v>pas</v>
          </cell>
        </row>
        <row r="625">
          <cell r="F625" t="str">
            <v>pas</v>
          </cell>
        </row>
        <row r="626">
          <cell r="F626" t="str">
            <v>pas</v>
          </cell>
        </row>
        <row r="627">
          <cell r="F627" t="str">
            <v>pas</v>
          </cell>
        </row>
        <row r="628">
          <cell r="F628" t="str">
            <v>pas</v>
          </cell>
        </row>
        <row r="629">
          <cell r="F629" t="str">
            <v>pas</v>
          </cell>
        </row>
        <row r="630">
          <cell r="F630" t="str">
            <v>oui</v>
          </cell>
        </row>
        <row r="631">
          <cell r="F631" t="str">
            <v>oui</v>
          </cell>
        </row>
        <row r="632">
          <cell r="F632" t="str">
            <v>oui</v>
          </cell>
        </row>
        <row r="633">
          <cell r="F633" t="str">
            <v>oui</v>
          </cell>
        </row>
        <row r="634">
          <cell r="F634" t="str">
            <v>oui</v>
          </cell>
        </row>
        <row r="635">
          <cell r="F635" t="str">
            <v>oui</v>
          </cell>
        </row>
        <row r="636">
          <cell r="F636" t="str">
            <v>oui</v>
          </cell>
        </row>
        <row r="637">
          <cell r="F637" t="str">
            <v>oui</v>
          </cell>
        </row>
        <row r="638">
          <cell r="F638" t="str">
            <v>oui</v>
          </cell>
        </row>
        <row r="639">
          <cell r="F639" t="str">
            <v>oui</v>
          </cell>
        </row>
        <row r="640">
          <cell r="F640" t="str">
            <v>oui</v>
          </cell>
        </row>
        <row r="641">
          <cell r="F641" t="str">
            <v>oui</v>
          </cell>
        </row>
        <row r="642">
          <cell r="F642" t="str">
            <v>oui</v>
          </cell>
        </row>
      </sheetData>
      <sheetData sheetId="5">
        <row r="1">
          <cell r="F1" t="str">
            <v>Reponses</v>
          </cell>
        </row>
        <row r="2">
          <cell r="F2" t="str">
            <v>oui</v>
          </cell>
        </row>
        <row r="3">
          <cell r="F3" t="str">
            <v>oui</v>
          </cell>
        </row>
        <row r="4">
          <cell r="F4" t="str">
            <v>oui</v>
          </cell>
        </row>
        <row r="5">
          <cell r="F5" t="str">
            <v>oui</v>
          </cell>
        </row>
        <row r="6">
          <cell r="F6" t="str">
            <v>oui</v>
          </cell>
        </row>
        <row r="7">
          <cell r="F7" t="str">
            <v>oui</v>
          </cell>
        </row>
        <row r="8">
          <cell r="F8" t="str">
            <v>oui</v>
          </cell>
        </row>
        <row r="9">
          <cell r="F9" t="str">
            <v>oui</v>
          </cell>
        </row>
        <row r="10">
          <cell r="F10" t="str">
            <v>oui</v>
          </cell>
        </row>
        <row r="11">
          <cell r="F11" t="str">
            <v>oui</v>
          </cell>
        </row>
        <row r="12">
          <cell r="F12" t="str">
            <v>oui</v>
          </cell>
        </row>
        <row r="13">
          <cell r="F13" t="str">
            <v>oui</v>
          </cell>
        </row>
        <row r="14">
          <cell r="F14" t="str">
            <v>oui</v>
          </cell>
        </row>
        <row r="15">
          <cell r="F15" t="str">
            <v>oui</v>
          </cell>
        </row>
        <row r="16">
          <cell r="F16" t="str">
            <v>oui</v>
          </cell>
        </row>
        <row r="17">
          <cell r="F17" t="str">
            <v>oui</v>
          </cell>
        </row>
        <row r="18">
          <cell r="F18" t="str">
            <v>oui</v>
          </cell>
        </row>
        <row r="19">
          <cell r="F19" t="str">
            <v>oui</v>
          </cell>
        </row>
        <row r="20">
          <cell r="F20" t="str">
            <v>oui</v>
          </cell>
        </row>
        <row r="21">
          <cell r="F21" t="str">
            <v>oui</v>
          </cell>
        </row>
        <row r="22">
          <cell r="F22" t="str">
            <v>oui</v>
          </cell>
        </row>
        <row r="23">
          <cell r="F23" t="str">
            <v>oui</v>
          </cell>
        </row>
        <row r="24">
          <cell r="F24" t="str">
            <v>oui</v>
          </cell>
        </row>
        <row r="25">
          <cell r="F25" t="str">
            <v>oui</v>
          </cell>
        </row>
        <row r="26">
          <cell r="F26" t="str">
            <v>oui</v>
          </cell>
        </row>
        <row r="27">
          <cell r="F27" t="str">
            <v>oui</v>
          </cell>
        </row>
        <row r="28">
          <cell r="F28" t="str">
            <v>oui</v>
          </cell>
        </row>
        <row r="29">
          <cell r="F29" t="str">
            <v>oui</v>
          </cell>
        </row>
        <row r="30">
          <cell r="F30" t="str">
            <v>oui</v>
          </cell>
        </row>
        <row r="31">
          <cell r="F31" t="str">
            <v>oui</v>
          </cell>
        </row>
        <row r="32">
          <cell r="F32" t="str">
            <v>oui</v>
          </cell>
        </row>
        <row r="33">
          <cell r="F33" t="str">
            <v>oui</v>
          </cell>
        </row>
        <row r="34">
          <cell r="F34" t="str">
            <v>oui</v>
          </cell>
        </row>
        <row r="35">
          <cell r="F35" t="str">
            <v>oui</v>
          </cell>
        </row>
        <row r="36">
          <cell r="F36" t="str">
            <v>oui</v>
          </cell>
        </row>
        <row r="37">
          <cell r="F37" t="str">
            <v>oui</v>
          </cell>
        </row>
        <row r="38">
          <cell r="F38" t="str">
            <v>oui</v>
          </cell>
        </row>
        <row r="39">
          <cell r="F39" t="str">
            <v>non</v>
          </cell>
        </row>
        <row r="40">
          <cell r="F40" t="str">
            <v>non</v>
          </cell>
        </row>
        <row r="41">
          <cell r="F41" t="str">
            <v>non</v>
          </cell>
        </row>
        <row r="42">
          <cell r="F42" t="str">
            <v>pas</v>
          </cell>
        </row>
        <row r="43">
          <cell r="F43" t="str">
            <v>pas</v>
          </cell>
        </row>
        <row r="44">
          <cell r="F44" t="str">
            <v>pas</v>
          </cell>
        </row>
        <row r="45">
          <cell r="F45" t="str">
            <v>non</v>
          </cell>
        </row>
        <row r="46">
          <cell r="F46" t="str">
            <v>oui</v>
          </cell>
        </row>
        <row r="47">
          <cell r="F47" t="str">
            <v>oui</v>
          </cell>
        </row>
        <row r="48">
          <cell r="F48" t="str">
            <v>oui</v>
          </cell>
        </row>
        <row r="49">
          <cell r="F49" t="str">
            <v>oui</v>
          </cell>
        </row>
        <row r="50">
          <cell r="F50" t="str">
            <v>oui</v>
          </cell>
        </row>
        <row r="51">
          <cell r="F51" t="str">
            <v>oui</v>
          </cell>
        </row>
        <row r="52">
          <cell r="F52" t="str">
            <v>oui</v>
          </cell>
        </row>
        <row r="53">
          <cell r="F53" t="str">
            <v>oui</v>
          </cell>
        </row>
        <row r="54">
          <cell r="F54" t="str">
            <v>oui</v>
          </cell>
        </row>
        <row r="55">
          <cell r="F55" t="str">
            <v>oui</v>
          </cell>
        </row>
        <row r="56">
          <cell r="F56" t="str">
            <v>oui</v>
          </cell>
        </row>
        <row r="57">
          <cell r="F57" t="str">
            <v>oui</v>
          </cell>
        </row>
        <row r="58">
          <cell r="F58" t="str">
            <v>oui</v>
          </cell>
        </row>
        <row r="59">
          <cell r="F59" t="str">
            <v>oui</v>
          </cell>
        </row>
        <row r="60">
          <cell r="F60" t="str">
            <v>oui</v>
          </cell>
        </row>
        <row r="61">
          <cell r="F61" t="str">
            <v>oui</v>
          </cell>
        </row>
        <row r="62">
          <cell r="F62" t="str">
            <v>oui</v>
          </cell>
        </row>
        <row r="63">
          <cell r="F63" t="str">
            <v>oui</v>
          </cell>
        </row>
        <row r="64">
          <cell r="F64" t="str">
            <v>oui</v>
          </cell>
        </row>
        <row r="65">
          <cell r="F65" t="str">
            <v>oui</v>
          </cell>
        </row>
        <row r="66">
          <cell r="F66" t="str">
            <v>oui</v>
          </cell>
        </row>
        <row r="67">
          <cell r="F67" t="str">
            <v>oui</v>
          </cell>
        </row>
        <row r="68">
          <cell r="F68" t="str">
            <v>oui</v>
          </cell>
        </row>
        <row r="69">
          <cell r="F69" t="str">
            <v>oui</v>
          </cell>
        </row>
        <row r="70">
          <cell r="F70" t="str">
            <v>oui</v>
          </cell>
        </row>
        <row r="71">
          <cell r="F71" t="str">
            <v>oui</v>
          </cell>
        </row>
        <row r="72">
          <cell r="F72" t="str">
            <v>oui</v>
          </cell>
        </row>
        <row r="73">
          <cell r="F73" t="str">
            <v>oui</v>
          </cell>
        </row>
        <row r="74">
          <cell r="F74" t="str">
            <v>oui</v>
          </cell>
        </row>
        <row r="75">
          <cell r="F75" t="str">
            <v>oui</v>
          </cell>
        </row>
        <row r="76">
          <cell r="F76" t="str">
            <v>oui</v>
          </cell>
        </row>
        <row r="77">
          <cell r="F77" t="str">
            <v>oui</v>
          </cell>
        </row>
        <row r="78">
          <cell r="F78" t="str">
            <v>oui</v>
          </cell>
        </row>
        <row r="79">
          <cell r="F79" t="str">
            <v>oui</v>
          </cell>
        </row>
        <row r="80">
          <cell r="F80" t="str">
            <v>oui</v>
          </cell>
        </row>
        <row r="81">
          <cell r="F81" t="str">
            <v>oui</v>
          </cell>
        </row>
        <row r="82">
          <cell r="F82" t="str">
            <v>oui</v>
          </cell>
        </row>
        <row r="83">
          <cell r="F83" t="str">
            <v>non</v>
          </cell>
        </row>
        <row r="84">
          <cell r="F84" t="str">
            <v>non</v>
          </cell>
        </row>
        <row r="85">
          <cell r="F85" t="str">
            <v>non</v>
          </cell>
        </row>
        <row r="86">
          <cell r="F86" t="str">
            <v>non</v>
          </cell>
        </row>
        <row r="87">
          <cell r="F87" t="str">
            <v>non</v>
          </cell>
        </row>
        <row r="88">
          <cell r="F88" t="str">
            <v>oui</v>
          </cell>
        </row>
        <row r="89">
          <cell r="F89" t="str">
            <v>oui</v>
          </cell>
        </row>
        <row r="90">
          <cell r="F90" t="str">
            <v>oui</v>
          </cell>
        </row>
        <row r="91">
          <cell r="F91" t="str">
            <v>oui</v>
          </cell>
        </row>
        <row r="92">
          <cell r="F92" t="str">
            <v>oui</v>
          </cell>
        </row>
        <row r="93">
          <cell r="F93" t="str">
            <v>oui</v>
          </cell>
        </row>
        <row r="94">
          <cell r="F94" t="str">
            <v>oui</v>
          </cell>
        </row>
        <row r="95">
          <cell r="F95" t="str">
            <v>oui</v>
          </cell>
        </row>
        <row r="96">
          <cell r="F96" t="str">
            <v>oui</v>
          </cell>
        </row>
        <row r="97">
          <cell r="F97" t="str">
            <v>oui</v>
          </cell>
        </row>
        <row r="98">
          <cell r="F98" t="str">
            <v>oui</v>
          </cell>
        </row>
        <row r="99">
          <cell r="F99" t="str">
            <v>oui</v>
          </cell>
        </row>
        <row r="100">
          <cell r="F100" t="str">
            <v>oui</v>
          </cell>
        </row>
        <row r="101">
          <cell r="F101" t="str">
            <v>oui</v>
          </cell>
        </row>
        <row r="102">
          <cell r="F102" t="str">
            <v>oui</v>
          </cell>
        </row>
        <row r="103">
          <cell r="F103" t="str">
            <v>oui</v>
          </cell>
        </row>
        <row r="104">
          <cell r="F104" t="str">
            <v>oui</v>
          </cell>
        </row>
        <row r="105">
          <cell r="F105" t="str">
            <v>oui</v>
          </cell>
        </row>
        <row r="106">
          <cell r="F106" t="str">
            <v>oui</v>
          </cell>
        </row>
        <row r="107">
          <cell r="F107" t="str">
            <v>oui</v>
          </cell>
        </row>
        <row r="108">
          <cell r="F108" t="str">
            <v>oui</v>
          </cell>
        </row>
        <row r="109">
          <cell r="F109" t="str">
            <v>oui</v>
          </cell>
        </row>
        <row r="110">
          <cell r="F110" t="str">
            <v>oui</v>
          </cell>
        </row>
        <row r="111">
          <cell r="F111" t="str">
            <v>oui</v>
          </cell>
        </row>
        <row r="112">
          <cell r="F112" t="str">
            <v>oui</v>
          </cell>
        </row>
        <row r="113">
          <cell r="F113" t="str">
            <v>non</v>
          </cell>
        </row>
        <row r="114">
          <cell r="F114" t="str">
            <v>oui</v>
          </cell>
        </row>
        <row r="115">
          <cell r="F115" t="str">
            <v>non</v>
          </cell>
        </row>
        <row r="116">
          <cell r="F116" t="str">
            <v>oui</v>
          </cell>
        </row>
        <row r="117">
          <cell r="F117" t="str">
            <v>non</v>
          </cell>
        </row>
        <row r="118">
          <cell r="F118" t="str">
            <v>oui</v>
          </cell>
        </row>
        <row r="119">
          <cell r="F119" t="str">
            <v>non</v>
          </cell>
        </row>
        <row r="120">
          <cell r="F120" t="str">
            <v>oui</v>
          </cell>
        </row>
        <row r="121">
          <cell r="F121" t="str">
            <v>non</v>
          </cell>
        </row>
        <row r="122">
          <cell r="F122" t="str">
            <v>oui</v>
          </cell>
        </row>
        <row r="123">
          <cell r="F123" t="str">
            <v>non</v>
          </cell>
        </row>
        <row r="124">
          <cell r="F124" t="str">
            <v>oui</v>
          </cell>
        </row>
        <row r="125">
          <cell r="F125" t="str">
            <v>non</v>
          </cell>
        </row>
        <row r="126">
          <cell r="F126" t="str">
            <v>oui</v>
          </cell>
        </row>
        <row r="127">
          <cell r="F127" t="str">
            <v>non</v>
          </cell>
        </row>
        <row r="128">
          <cell r="F128" t="str">
            <v>oui</v>
          </cell>
        </row>
        <row r="129">
          <cell r="F129" t="str">
            <v>non</v>
          </cell>
        </row>
        <row r="130">
          <cell r="F130" t="str">
            <v>oui</v>
          </cell>
        </row>
        <row r="131">
          <cell r="F131" t="str">
            <v>non</v>
          </cell>
        </row>
        <row r="132">
          <cell r="F132" t="str">
            <v>oui</v>
          </cell>
        </row>
        <row r="133">
          <cell r="F133" t="str">
            <v>non</v>
          </cell>
        </row>
        <row r="134">
          <cell r="F134" t="str">
            <v>oui</v>
          </cell>
        </row>
        <row r="135">
          <cell r="F135" t="str">
            <v>non</v>
          </cell>
        </row>
        <row r="136">
          <cell r="F136" t="str">
            <v>oui</v>
          </cell>
        </row>
        <row r="137">
          <cell r="F137" t="str">
            <v>non</v>
          </cell>
        </row>
        <row r="138">
          <cell r="F138" t="str">
            <v>oui</v>
          </cell>
        </row>
        <row r="139">
          <cell r="F139" t="str">
            <v>non</v>
          </cell>
        </row>
        <row r="140">
          <cell r="F140" t="str">
            <v>oui</v>
          </cell>
        </row>
        <row r="141">
          <cell r="F141" t="str">
            <v>non</v>
          </cell>
        </row>
        <row r="142">
          <cell r="F142" t="str">
            <v>oui</v>
          </cell>
        </row>
        <row r="143">
          <cell r="F143" t="str">
            <v>non</v>
          </cell>
        </row>
        <row r="144">
          <cell r="F144" t="str">
            <v>oui</v>
          </cell>
        </row>
        <row r="145">
          <cell r="F145" t="str">
            <v>non</v>
          </cell>
        </row>
        <row r="146">
          <cell r="F146" t="str">
            <v>oui</v>
          </cell>
        </row>
        <row r="147">
          <cell r="F147" t="str">
            <v>non</v>
          </cell>
        </row>
        <row r="148">
          <cell r="F148" t="str">
            <v>oui</v>
          </cell>
        </row>
        <row r="149">
          <cell r="F149" t="str">
            <v>non</v>
          </cell>
        </row>
        <row r="150">
          <cell r="F150" t="str">
            <v>oui</v>
          </cell>
        </row>
        <row r="151">
          <cell r="F151" t="str">
            <v>non</v>
          </cell>
        </row>
        <row r="152">
          <cell r="F152" t="str">
            <v>oui</v>
          </cell>
        </row>
        <row r="153">
          <cell r="F153" t="str">
            <v>oui</v>
          </cell>
        </row>
        <row r="154">
          <cell r="F154" t="str">
            <v>oui</v>
          </cell>
        </row>
        <row r="155">
          <cell r="F155" t="str">
            <v>oui</v>
          </cell>
        </row>
        <row r="156">
          <cell r="F156" t="str">
            <v>oui</v>
          </cell>
        </row>
        <row r="157">
          <cell r="F157" t="str">
            <v>oui</v>
          </cell>
        </row>
        <row r="158">
          <cell r="F158" t="str">
            <v>oui</v>
          </cell>
        </row>
        <row r="159">
          <cell r="F159" t="str">
            <v>oui</v>
          </cell>
        </row>
        <row r="160">
          <cell r="F160" t="str">
            <v>oui</v>
          </cell>
        </row>
        <row r="161">
          <cell r="F161" t="str">
            <v>oui</v>
          </cell>
        </row>
        <row r="162">
          <cell r="F162" t="str">
            <v>oui</v>
          </cell>
        </row>
        <row r="163">
          <cell r="F163" t="str">
            <v>oui</v>
          </cell>
        </row>
        <row r="164">
          <cell r="F164" t="str">
            <v>oui</v>
          </cell>
        </row>
        <row r="165">
          <cell r="F165" t="str">
            <v>oui</v>
          </cell>
        </row>
        <row r="166">
          <cell r="F166" t="str">
            <v>oui</v>
          </cell>
        </row>
        <row r="167">
          <cell r="F167" t="str">
            <v>oui</v>
          </cell>
        </row>
        <row r="168">
          <cell r="F168" t="str">
            <v>oui</v>
          </cell>
        </row>
        <row r="169">
          <cell r="F169" t="str">
            <v>oui</v>
          </cell>
        </row>
        <row r="170">
          <cell r="F170" t="str">
            <v>oui</v>
          </cell>
        </row>
      </sheetData>
      <sheetData sheetId="6">
        <row r="1">
          <cell r="F1" t="str">
            <v>Reponses</v>
          </cell>
        </row>
        <row r="2">
          <cell r="F2" t="str">
            <v>Oui</v>
          </cell>
        </row>
        <row r="3">
          <cell r="F3" t="str">
            <v>Oui</v>
          </cell>
        </row>
        <row r="4">
          <cell r="F4" t="str">
            <v>Oui</v>
          </cell>
        </row>
        <row r="5">
          <cell r="F5" t="str">
            <v>non</v>
          </cell>
        </row>
        <row r="6">
          <cell r="F6" t="str">
            <v>pas</v>
          </cell>
        </row>
        <row r="7">
          <cell r="F7" t="str">
            <v>Oui</v>
          </cell>
        </row>
        <row r="8">
          <cell r="F8" t="str">
            <v>Oui</v>
          </cell>
        </row>
        <row r="9">
          <cell r="F9" t="str">
            <v>Oui</v>
          </cell>
        </row>
        <row r="10">
          <cell r="F10" t="str">
            <v>Oui</v>
          </cell>
        </row>
        <row r="11">
          <cell r="F11" t="str">
            <v>Oui</v>
          </cell>
        </row>
        <row r="12">
          <cell r="F12" t="str">
            <v>Oui</v>
          </cell>
        </row>
        <row r="13">
          <cell r="F13" t="str">
            <v>Oui</v>
          </cell>
        </row>
        <row r="14">
          <cell r="F14" t="str">
            <v>Oui</v>
          </cell>
        </row>
        <row r="15">
          <cell r="F15" t="str">
            <v>Oui</v>
          </cell>
        </row>
        <row r="16">
          <cell r="F16" t="str">
            <v>Oui</v>
          </cell>
        </row>
        <row r="17">
          <cell r="F17" t="str">
            <v>Oui</v>
          </cell>
        </row>
        <row r="18">
          <cell r="F18" t="str">
            <v>Oui</v>
          </cell>
        </row>
        <row r="19">
          <cell r="F19" t="str">
            <v>Oui</v>
          </cell>
        </row>
        <row r="20">
          <cell r="F20" t="str">
            <v>Oui</v>
          </cell>
        </row>
        <row r="21">
          <cell r="F21" t="str">
            <v>Oui</v>
          </cell>
        </row>
        <row r="22">
          <cell r="F22" t="str">
            <v>Oui</v>
          </cell>
        </row>
        <row r="23">
          <cell r="F23" t="str">
            <v>Oui</v>
          </cell>
        </row>
        <row r="24">
          <cell r="F24" t="str">
            <v>Oui</v>
          </cell>
        </row>
        <row r="25">
          <cell r="F25" t="str">
            <v>Oui</v>
          </cell>
        </row>
        <row r="26">
          <cell r="F26" t="str">
            <v>Oui</v>
          </cell>
        </row>
        <row r="27">
          <cell r="F27" t="str">
            <v>Oui</v>
          </cell>
        </row>
        <row r="28">
          <cell r="F28" t="str">
            <v>Oui</v>
          </cell>
        </row>
        <row r="29">
          <cell r="F29" t="str">
            <v>Oui</v>
          </cell>
        </row>
        <row r="30">
          <cell r="F30" t="str">
            <v>Oui</v>
          </cell>
        </row>
        <row r="31">
          <cell r="F31" t="str">
            <v>Oui</v>
          </cell>
        </row>
        <row r="32">
          <cell r="F32" t="str">
            <v>Oui</v>
          </cell>
        </row>
        <row r="33">
          <cell r="F33" t="str">
            <v>Oui</v>
          </cell>
        </row>
        <row r="34">
          <cell r="F34" t="str">
            <v>non</v>
          </cell>
        </row>
        <row r="35">
          <cell r="F35" t="str">
            <v>Oui</v>
          </cell>
        </row>
        <row r="36">
          <cell r="F36" t="str">
            <v>Oui</v>
          </cell>
        </row>
        <row r="37">
          <cell r="F37" t="str">
            <v>Oui</v>
          </cell>
        </row>
        <row r="38">
          <cell r="F38" t="str">
            <v>Oui</v>
          </cell>
        </row>
        <row r="39">
          <cell r="F39" t="str">
            <v>Oui</v>
          </cell>
        </row>
        <row r="40">
          <cell r="F40" t="str">
            <v>pas</v>
          </cell>
        </row>
        <row r="41">
          <cell r="F41" t="str">
            <v>Oui</v>
          </cell>
        </row>
        <row r="42">
          <cell r="F42" t="str">
            <v>Oui</v>
          </cell>
        </row>
        <row r="43">
          <cell r="F43" t="str">
            <v>Oui</v>
          </cell>
        </row>
        <row r="44">
          <cell r="F44" t="str">
            <v>Oui</v>
          </cell>
        </row>
        <row r="45">
          <cell r="F45" t="str">
            <v>Oui</v>
          </cell>
        </row>
        <row r="46">
          <cell r="F46" t="str">
            <v>Oui</v>
          </cell>
        </row>
        <row r="47">
          <cell r="F47" t="str">
            <v>Oui</v>
          </cell>
        </row>
        <row r="48">
          <cell r="F48" t="str">
            <v>Oui</v>
          </cell>
        </row>
        <row r="49">
          <cell r="F49" t="str">
            <v>Oui</v>
          </cell>
        </row>
        <row r="50">
          <cell r="F50" t="str">
            <v>Oui</v>
          </cell>
        </row>
        <row r="51">
          <cell r="F51" t="str">
            <v>Oui</v>
          </cell>
        </row>
        <row r="52">
          <cell r="F52" t="str">
            <v>Oui</v>
          </cell>
        </row>
        <row r="53">
          <cell r="F53" t="str">
            <v>non</v>
          </cell>
        </row>
        <row r="54">
          <cell r="F54" t="str">
            <v>Oui</v>
          </cell>
        </row>
        <row r="55">
          <cell r="F55" t="str">
            <v>Oui</v>
          </cell>
        </row>
        <row r="56">
          <cell r="F56" t="str">
            <v>Oui</v>
          </cell>
        </row>
        <row r="57">
          <cell r="F57" t="str">
            <v>Oui</v>
          </cell>
        </row>
        <row r="58">
          <cell r="F58" t="str">
            <v>Oui</v>
          </cell>
        </row>
        <row r="59">
          <cell r="F59" t="str">
            <v>Oui</v>
          </cell>
        </row>
        <row r="60">
          <cell r="F60" t="str">
            <v>Oui</v>
          </cell>
        </row>
        <row r="61">
          <cell r="F61" t="str">
            <v>Oui</v>
          </cell>
        </row>
        <row r="62">
          <cell r="F62" t="str">
            <v>Oui</v>
          </cell>
        </row>
        <row r="63">
          <cell r="F63" t="str">
            <v>Oui</v>
          </cell>
        </row>
        <row r="64">
          <cell r="F64" t="str">
            <v>Oui</v>
          </cell>
        </row>
        <row r="65">
          <cell r="F65" t="str">
            <v>Oui</v>
          </cell>
        </row>
        <row r="66">
          <cell r="F66" t="str">
            <v>Oui</v>
          </cell>
        </row>
        <row r="67">
          <cell r="F67" t="str">
            <v>Oui</v>
          </cell>
        </row>
        <row r="68">
          <cell r="F68" t="str">
            <v>Oui</v>
          </cell>
        </row>
        <row r="69">
          <cell r="F69" t="str">
            <v>Oui</v>
          </cell>
        </row>
        <row r="70">
          <cell r="F70" t="str">
            <v>Oui</v>
          </cell>
        </row>
        <row r="71">
          <cell r="F71" t="str">
            <v>Oui</v>
          </cell>
        </row>
        <row r="72">
          <cell r="F72" t="str">
            <v>Oui</v>
          </cell>
        </row>
        <row r="73">
          <cell r="F73" t="str">
            <v>Oui</v>
          </cell>
        </row>
        <row r="74">
          <cell r="F74" t="str">
            <v>Oui</v>
          </cell>
        </row>
        <row r="75">
          <cell r="F75" t="str">
            <v>Oui</v>
          </cell>
        </row>
        <row r="76">
          <cell r="F76" t="str">
            <v>Oui</v>
          </cell>
        </row>
        <row r="77">
          <cell r="F77" t="str">
            <v>Oui</v>
          </cell>
        </row>
        <row r="78">
          <cell r="F78" t="str">
            <v>Oui</v>
          </cell>
        </row>
        <row r="79">
          <cell r="F79" t="str">
            <v>Oui</v>
          </cell>
        </row>
        <row r="80">
          <cell r="F80" t="str">
            <v>Oui</v>
          </cell>
        </row>
        <row r="81">
          <cell r="F81" t="str">
            <v>Oui</v>
          </cell>
        </row>
        <row r="82">
          <cell r="F82" t="str">
            <v>Oui</v>
          </cell>
        </row>
        <row r="83">
          <cell r="F83" t="str">
            <v>Oui</v>
          </cell>
        </row>
        <row r="84">
          <cell r="F84" t="str">
            <v>Oui</v>
          </cell>
        </row>
        <row r="85">
          <cell r="F85" t="str">
            <v>Oui</v>
          </cell>
        </row>
        <row r="86">
          <cell r="F86" t="str">
            <v>Oui</v>
          </cell>
        </row>
        <row r="87">
          <cell r="F87" t="str">
            <v>Oui</v>
          </cell>
        </row>
        <row r="88">
          <cell r="F88" t="str">
            <v>Oui</v>
          </cell>
        </row>
        <row r="89">
          <cell r="F89" t="str">
            <v>Oui</v>
          </cell>
        </row>
        <row r="90">
          <cell r="F90" t="str">
            <v>Oui</v>
          </cell>
        </row>
        <row r="91">
          <cell r="F91" t="str">
            <v>pas</v>
          </cell>
        </row>
        <row r="92">
          <cell r="F92" t="str">
            <v>Oui</v>
          </cell>
        </row>
        <row r="93">
          <cell r="F93" t="str">
            <v>Oui</v>
          </cell>
        </row>
        <row r="94">
          <cell r="F94" t="str">
            <v>Oui</v>
          </cell>
        </row>
        <row r="95">
          <cell r="F95" t="str">
            <v>pas</v>
          </cell>
        </row>
        <row r="96">
          <cell r="F96" t="str">
            <v>Oui</v>
          </cell>
        </row>
        <row r="97">
          <cell r="F97" t="str">
            <v>Oui</v>
          </cell>
        </row>
        <row r="98">
          <cell r="F98" t="str">
            <v>Oui</v>
          </cell>
        </row>
        <row r="99">
          <cell r="F99" t="str">
            <v>Oui</v>
          </cell>
        </row>
        <row r="100">
          <cell r="F100" t="str">
            <v>Oui</v>
          </cell>
        </row>
        <row r="101">
          <cell r="F101" t="str">
            <v>Oui</v>
          </cell>
        </row>
        <row r="102">
          <cell r="F102" t="str">
            <v>Oui</v>
          </cell>
        </row>
        <row r="103">
          <cell r="F103" t="str">
            <v>Oui</v>
          </cell>
        </row>
        <row r="104">
          <cell r="F104" t="str">
            <v>Oui</v>
          </cell>
        </row>
        <row r="105">
          <cell r="F105" t="str">
            <v>Oui</v>
          </cell>
        </row>
        <row r="106">
          <cell r="F106" t="str">
            <v>Non</v>
          </cell>
        </row>
        <row r="107">
          <cell r="F107" t="str">
            <v>Oui</v>
          </cell>
        </row>
        <row r="108">
          <cell r="F108" t="str">
            <v>Non</v>
          </cell>
        </row>
        <row r="109">
          <cell r="F109" t="str">
            <v>Oui</v>
          </cell>
        </row>
        <row r="110">
          <cell r="F110" t="str">
            <v>Oui</v>
          </cell>
        </row>
        <row r="111">
          <cell r="F111" t="str">
            <v>Non</v>
          </cell>
        </row>
        <row r="112">
          <cell r="F112" t="str">
            <v>Oui</v>
          </cell>
        </row>
        <row r="113">
          <cell r="F113" t="str">
            <v>Oui</v>
          </cell>
        </row>
        <row r="114">
          <cell r="F114" t="str">
            <v>Oui</v>
          </cell>
        </row>
        <row r="115">
          <cell r="F115" t="str">
            <v>Oui</v>
          </cell>
        </row>
        <row r="116">
          <cell r="F116" t="str">
            <v>Oui</v>
          </cell>
        </row>
        <row r="117">
          <cell r="F117" t="str">
            <v>Non</v>
          </cell>
        </row>
        <row r="118">
          <cell r="F118" t="str">
            <v>Non</v>
          </cell>
        </row>
        <row r="119">
          <cell r="F119" t="str">
            <v>Non</v>
          </cell>
        </row>
        <row r="120">
          <cell r="F120" t="str">
            <v>Non</v>
          </cell>
        </row>
        <row r="121">
          <cell r="F121" t="str">
            <v>Non</v>
          </cell>
        </row>
        <row r="122">
          <cell r="F122" t="str">
            <v>Non</v>
          </cell>
        </row>
        <row r="123">
          <cell r="F123" t="str">
            <v>Pas</v>
          </cell>
        </row>
        <row r="124">
          <cell r="F124" t="str">
            <v>Non</v>
          </cell>
        </row>
        <row r="125">
          <cell r="F125" t="str">
            <v>Oui</v>
          </cell>
        </row>
        <row r="126">
          <cell r="F126" t="str">
            <v>Oui</v>
          </cell>
        </row>
        <row r="127">
          <cell r="F127" t="str">
            <v>Oui</v>
          </cell>
        </row>
        <row r="128">
          <cell r="F128" t="str">
            <v>Oui</v>
          </cell>
        </row>
        <row r="129">
          <cell r="F129" t="str">
            <v>Oui</v>
          </cell>
        </row>
        <row r="130">
          <cell r="F130" t="str">
            <v>Oui</v>
          </cell>
        </row>
        <row r="131">
          <cell r="F131" t="str">
            <v>Oui</v>
          </cell>
        </row>
        <row r="136">
          <cell r="F136" t="str">
            <v>Oui</v>
          </cell>
        </row>
        <row r="137">
          <cell r="F137" t="str">
            <v>Non</v>
          </cell>
        </row>
        <row r="138">
          <cell r="F138" t="str">
            <v>Oui</v>
          </cell>
        </row>
        <row r="139">
          <cell r="F139" t="str">
            <v>Pas</v>
          </cell>
        </row>
        <row r="140">
          <cell r="F140" t="str">
            <v>Oui</v>
          </cell>
        </row>
        <row r="141">
          <cell r="F141" t="str">
            <v>Non</v>
          </cell>
        </row>
        <row r="142">
          <cell r="F142" t="str">
            <v>Oui</v>
          </cell>
        </row>
        <row r="143">
          <cell r="F143" t="str">
            <v>Pas</v>
          </cell>
        </row>
        <row r="144">
          <cell r="F144" t="str">
            <v>Oui</v>
          </cell>
        </row>
        <row r="145">
          <cell r="F145" t="str">
            <v>Non</v>
          </cell>
        </row>
        <row r="146">
          <cell r="F146" t="str">
            <v>Oui</v>
          </cell>
        </row>
        <row r="147">
          <cell r="F147" t="str">
            <v>Pas</v>
          </cell>
        </row>
        <row r="148">
          <cell r="F148" t="str">
            <v>Oui</v>
          </cell>
        </row>
        <row r="149">
          <cell r="F149" t="str">
            <v>Non</v>
          </cell>
        </row>
        <row r="150">
          <cell r="F150" t="str">
            <v>Oui</v>
          </cell>
        </row>
        <row r="153">
          <cell r="F153" t="str">
            <v>Oui</v>
          </cell>
        </row>
        <row r="154">
          <cell r="F154" t="str">
            <v>Oui</v>
          </cell>
        </row>
        <row r="155">
          <cell r="F155" t="str">
            <v>Oui</v>
          </cell>
        </row>
        <row r="156">
          <cell r="F156" t="str">
            <v>Oui</v>
          </cell>
        </row>
        <row r="157">
          <cell r="F157" t="str">
            <v>Oui</v>
          </cell>
        </row>
        <row r="158">
          <cell r="F158" t="str">
            <v>Oui</v>
          </cell>
        </row>
        <row r="159">
          <cell r="F159" t="str">
            <v>Oui</v>
          </cell>
        </row>
        <row r="160">
          <cell r="F160" t="str">
            <v>Oui</v>
          </cell>
        </row>
        <row r="161">
          <cell r="F161" t="str">
            <v>Oui</v>
          </cell>
        </row>
        <row r="162">
          <cell r="F162" t="str">
            <v>Oui</v>
          </cell>
        </row>
        <row r="163">
          <cell r="F163" t="str">
            <v>Oui</v>
          </cell>
        </row>
        <row r="164">
          <cell r="F164" t="str">
            <v>Oui</v>
          </cell>
        </row>
        <row r="165">
          <cell r="F165" t="str">
            <v>Oui</v>
          </cell>
        </row>
        <row r="166">
          <cell r="F166" t="str">
            <v>Oui</v>
          </cell>
        </row>
        <row r="167">
          <cell r="F167" t="str">
            <v>Oui</v>
          </cell>
        </row>
        <row r="168">
          <cell r="F168" t="str">
            <v>Oui</v>
          </cell>
        </row>
        <row r="169">
          <cell r="F169" t="str">
            <v>Oui</v>
          </cell>
        </row>
        <row r="170">
          <cell r="F170" t="str">
            <v>Oui</v>
          </cell>
        </row>
        <row r="171">
          <cell r="F171" t="str">
            <v>Oui</v>
          </cell>
        </row>
        <row r="172">
          <cell r="F172" t="str">
            <v>Oui</v>
          </cell>
        </row>
        <row r="173">
          <cell r="F173" t="str">
            <v>Oui</v>
          </cell>
        </row>
        <row r="174">
          <cell r="F174" t="str">
            <v>Oui</v>
          </cell>
        </row>
        <row r="175">
          <cell r="F175" t="str">
            <v>Oui</v>
          </cell>
        </row>
        <row r="176">
          <cell r="F176" t="str">
            <v>Oui</v>
          </cell>
        </row>
        <row r="177">
          <cell r="F177" t="str">
            <v>Oui</v>
          </cell>
        </row>
        <row r="178">
          <cell r="F178" t="str">
            <v>Oui</v>
          </cell>
        </row>
        <row r="179">
          <cell r="F179" t="str">
            <v>Oui</v>
          </cell>
        </row>
        <row r="180">
          <cell r="F180" t="str">
            <v>Oui</v>
          </cell>
        </row>
        <row r="181">
          <cell r="F181" t="str">
            <v>Oui</v>
          </cell>
        </row>
        <row r="182">
          <cell r="F182" t="str">
            <v>Oui</v>
          </cell>
        </row>
        <row r="183">
          <cell r="F183" t="str">
            <v>Oui</v>
          </cell>
        </row>
        <row r="184">
          <cell r="F184" t="str">
            <v>Oui</v>
          </cell>
        </row>
        <row r="185">
          <cell r="F185" t="str">
            <v>Oui</v>
          </cell>
        </row>
        <row r="186">
          <cell r="F186" t="str">
            <v>Oui</v>
          </cell>
        </row>
        <row r="187">
          <cell r="F187" t="str">
            <v>Oui</v>
          </cell>
        </row>
        <row r="188">
          <cell r="F188" t="str">
            <v>Oui</v>
          </cell>
        </row>
        <row r="189">
          <cell r="F189" t="str">
            <v>Oui</v>
          </cell>
        </row>
        <row r="190">
          <cell r="F190" t="str">
            <v>Oui</v>
          </cell>
        </row>
        <row r="191">
          <cell r="F191" t="str">
            <v>Oui</v>
          </cell>
        </row>
        <row r="192">
          <cell r="F192" t="str">
            <v>Oui</v>
          </cell>
        </row>
        <row r="193">
          <cell r="F193" t="str">
            <v>Oui</v>
          </cell>
        </row>
        <row r="194">
          <cell r="F194" t="str">
            <v>Oui</v>
          </cell>
        </row>
        <row r="195">
          <cell r="F195" t="str">
            <v>Oui</v>
          </cell>
        </row>
        <row r="196">
          <cell r="F196" t="str">
            <v>Oui</v>
          </cell>
        </row>
        <row r="197">
          <cell r="F197" t="str">
            <v>Oui</v>
          </cell>
        </row>
        <row r="198">
          <cell r="F198" t="str">
            <v>Oui</v>
          </cell>
        </row>
        <row r="199">
          <cell r="F199" t="str">
            <v>Oui</v>
          </cell>
        </row>
        <row r="200">
          <cell r="F200" t="str">
            <v>Oui</v>
          </cell>
        </row>
        <row r="201">
          <cell r="F201" t="str">
            <v>Oui</v>
          </cell>
        </row>
        <row r="202">
          <cell r="F202" t="str">
            <v>Oui</v>
          </cell>
        </row>
        <row r="203">
          <cell r="F203" t="str">
            <v>Oui</v>
          </cell>
        </row>
        <row r="204">
          <cell r="F204" t="str">
            <v>Oui</v>
          </cell>
        </row>
        <row r="205">
          <cell r="F205" t="str">
            <v>Oui</v>
          </cell>
        </row>
        <row r="206">
          <cell r="F206" t="str">
            <v>Oui</v>
          </cell>
        </row>
        <row r="207">
          <cell r="F207" t="str">
            <v>Oui</v>
          </cell>
        </row>
        <row r="208">
          <cell r="F208" t="str">
            <v>Oui</v>
          </cell>
        </row>
        <row r="209">
          <cell r="F209" t="str">
            <v>Oui</v>
          </cell>
        </row>
        <row r="210">
          <cell r="F210" t="str">
            <v>Oui</v>
          </cell>
        </row>
        <row r="211">
          <cell r="F211" t="str">
            <v>Oui</v>
          </cell>
        </row>
        <row r="212">
          <cell r="F212" t="str">
            <v>Oui</v>
          </cell>
        </row>
        <row r="213">
          <cell r="F213" t="str">
            <v>Oui</v>
          </cell>
        </row>
        <row r="214">
          <cell r="F214" t="str">
            <v>Oui</v>
          </cell>
        </row>
        <row r="215">
          <cell r="F215" t="str">
            <v>Oui</v>
          </cell>
        </row>
        <row r="216">
          <cell r="F216" t="str">
            <v>Oui</v>
          </cell>
        </row>
        <row r="217">
          <cell r="F217" t="str">
            <v>Oui</v>
          </cell>
        </row>
        <row r="218">
          <cell r="F218" t="str">
            <v>Oui</v>
          </cell>
        </row>
        <row r="219">
          <cell r="F219" t="str">
            <v>Oui</v>
          </cell>
        </row>
        <row r="220">
          <cell r="F220" t="str">
            <v>Oui</v>
          </cell>
        </row>
        <row r="221">
          <cell r="F221" t="str">
            <v>Oui</v>
          </cell>
        </row>
        <row r="222">
          <cell r="F222" t="str">
            <v>Oui</v>
          </cell>
        </row>
        <row r="223">
          <cell r="F223" t="str">
            <v>Oui</v>
          </cell>
        </row>
        <row r="224">
          <cell r="F224" t="str">
            <v>Oui</v>
          </cell>
        </row>
        <row r="225">
          <cell r="F225" t="str">
            <v>Oui</v>
          </cell>
        </row>
        <row r="226">
          <cell r="F226" t="str">
            <v>Oui</v>
          </cell>
        </row>
        <row r="227">
          <cell r="F227" t="str">
            <v>Oui</v>
          </cell>
        </row>
        <row r="243">
          <cell r="F243" t="str">
            <v>Oui</v>
          </cell>
        </row>
        <row r="244">
          <cell r="F244" t="str">
            <v>Oui</v>
          </cell>
        </row>
        <row r="245">
          <cell r="F245" t="str">
            <v>Oui</v>
          </cell>
        </row>
        <row r="246">
          <cell r="F246" t="str">
            <v>Oui</v>
          </cell>
        </row>
        <row r="247">
          <cell r="F247" t="str">
            <v>Oui</v>
          </cell>
        </row>
        <row r="248">
          <cell r="F248" t="str">
            <v>Oui</v>
          </cell>
        </row>
        <row r="249">
          <cell r="F249" t="str">
            <v>Oui</v>
          </cell>
        </row>
        <row r="250">
          <cell r="F250" t="str">
            <v>Oui</v>
          </cell>
        </row>
        <row r="251">
          <cell r="F251" t="str">
            <v>Oui</v>
          </cell>
        </row>
        <row r="252">
          <cell r="F252" t="str">
            <v>Oui</v>
          </cell>
        </row>
        <row r="253">
          <cell r="F253" t="str">
            <v>Oui</v>
          </cell>
        </row>
        <row r="254">
          <cell r="F254" t="str">
            <v>Oui</v>
          </cell>
        </row>
        <row r="255">
          <cell r="F255" t="str">
            <v>Oui</v>
          </cell>
        </row>
        <row r="256">
          <cell r="F256" t="str">
            <v>Oui</v>
          </cell>
        </row>
        <row r="257">
          <cell r="F257" t="str">
            <v>Oui</v>
          </cell>
        </row>
        <row r="258">
          <cell r="F258" t="str">
            <v>Oui</v>
          </cell>
        </row>
        <row r="259">
          <cell r="F259" t="str">
            <v>Oui</v>
          </cell>
        </row>
        <row r="260">
          <cell r="F260" t="str">
            <v>Oui</v>
          </cell>
        </row>
        <row r="261">
          <cell r="F261" t="str">
            <v>Oui</v>
          </cell>
        </row>
        <row r="262">
          <cell r="F262" t="str">
            <v>Oui</v>
          </cell>
        </row>
        <row r="263">
          <cell r="F263" t="str">
            <v>Oui</v>
          </cell>
        </row>
        <row r="264">
          <cell r="F264" t="str">
            <v>Oui</v>
          </cell>
        </row>
        <row r="265">
          <cell r="F265" t="str">
            <v>Oui</v>
          </cell>
        </row>
        <row r="266">
          <cell r="F266" t="str">
            <v>Oui</v>
          </cell>
        </row>
        <row r="267">
          <cell r="F267" t="str">
            <v>Oui</v>
          </cell>
        </row>
        <row r="268">
          <cell r="F268" t="str">
            <v>Oui</v>
          </cell>
        </row>
        <row r="269">
          <cell r="F269" t="str">
            <v>Oui</v>
          </cell>
        </row>
        <row r="270">
          <cell r="F270" t="str">
            <v>Oui</v>
          </cell>
        </row>
        <row r="271">
          <cell r="F271" t="str">
            <v>Oui</v>
          </cell>
        </row>
        <row r="272">
          <cell r="F272" t="str">
            <v>Oui</v>
          </cell>
        </row>
        <row r="273">
          <cell r="F273" t="str">
            <v>Oui</v>
          </cell>
        </row>
        <row r="274">
          <cell r="F274" t="str">
            <v>Oui</v>
          </cell>
        </row>
        <row r="275">
          <cell r="F275" t="str">
            <v>Oui</v>
          </cell>
        </row>
        <row r="276">
          <cell r="F276" t="str">
            <v>Oui</v>
          </cell>
        </row>
        <row r="277">
          <cell r="F277" t="str">
            <v>Oui</v>
          </cell>
        </row>
        <row r="278">
          <cell r="F278" t="str">
            <v>Oui</v>
          </cell>
        </row>
        <row r="279">
          <cell r="F279" t="str">
            <v>Oui</v>
          </cell>
        </row>
        <row r="280">
          <cell r="F280" t="str">
            <v>Oui</v>
          </cell>
        </row>
        <row r="281">
          <cell r="F281" t="str">
            <v>Oui</v>
          </cell>
        </row>
        <row r="282">
          <cell r="F282" t="str">
            <v>Oui</v>
          </cell>
        </row>
        <row r="283">
          <cell r="F283" t="str">
            <v>Oui</v>
          </cell>
        </row>
        <row r="284">
          <cell r="F284" t="str">
            <v>Oui</v>
          </cell>
        </row>
        <row r="285">
          <cell r="F285" t="str">
            <v>Oui</v>
          </cell>
        </row>
        <row r="286">
          <cell r="F286" t="str">
            <v>Oui</v>
          </cell>
        </row>
        <row r="287">
          <cell r="F287" t="str">
            <v>Oui</v>
          </cell>
        </row>
        <row r="288">
          <cell r="F288" t="str">
            <v>Oui</v>
          </cell>
        </row>
        <row r="289">
          <cell r="F289" t="str">
            <v>Oui</v>
          </cell>
        </row>
        <row r="290">
          <cell r="F290" t="str">
            <v>Oui</v>
          </cell>
        </row>
        <row r="291">
          <cell r="F291" t="str">
            <v>Oui</v>
          </cell>
        </row>
        <row r="292">
          <cell r="F292" t="str">
            <v>Oui</v>
          </cell>
        </row>
        <row r="293">
          <cell r="F293" t="str">
            <v>Oui</v>
          </cell>
        </row>
        <row r="294">
          <cell r="F294" t="str">
            <v>Oui</v>
          </cell>
        </row>
        <row r="295">
          <cell r="F295" t="str">
            <v>Oui</v>
          </cell>
        </row>
        <row r="296">
          <cell r="F296" t="str">
            <v>Oui</v>
          </cell>
        </row>
        <row r="297">
          <cell r="F297" t="str">
            <v>Oui</v>
          </cell>
        </row>
        <row r="298">
          <cell r="F298" t="str">
            <v>Oui</v>
          </cell>
        </row>
        <row r="299">
          <cell r="F299" t="str">
            <v>Oui</v>
          </cell>
        </row>
        <row r="300">
          <cell r="F300" t="str">
            <v>Oui</v>
          </cell>
        </row>
        <row r="301">
          <cell r="F301" t="str">
            <v>Oui</v>
          </cell>
        </row>
        <row r="302">
          <cell r="F302" t="str">
            <v>Oui</v>
          </cell>
        </row>
        <row r="303">
          <cell r="F303" t="str">
            <v>Oui</v>
          </cell>
        </row>
        <row r="304">
          <cell r="F304" t="str">
            <v>Oui</v>
          </cell>
        </row>
        <row r="305">
          <cell r="F305" t="str">
            <v>Oui</v>
          </cell>
        </row>
        <row r="306">
          <cell r="F306" t="str">
            <v>Oui</v>
          </cell>
        </row>
        <row r="307">
          <cell r="F307" t="str">
            <v>Oui</v>
          </cell>
        </row>
        <row r="308">
          <cell r="F308" t="str">
            <v>Oui</v>
          </cell>
        </row>
        <row r="309">
          <cell r="F309" t="str">
            <v>Oui</v>
          </cell>
        </row>
        <row r="310">
          <cell r="F310" t="str">
            <v>Oui</v>
          </cell>
        </row>
        <row r="311">
          <cell r="F311" t="str">
            <v>Oui</v>
          </cell>
        </row>
      </sheetData>
      <sheetData sheetId="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9"/>
  <sheetViews>
    <sheetView topLeftCell="B67" zoomScale="29" zoomScaleNormal="40" workbookViewId="0">
      <selection activeCell="B2" sqref="B2:B109"/>
    </sheetView>
  </sheetViews>
  <sheetFormatPr baseColWidth="10" defaultColWidth="8.7265625" defaultRowHeight="14.5" x14ac:dyDescent="0.35"/>
  <cols>
    <col min="1" max="1" width="39.08984375" customWidth="1"/>
    <col min="2" max="2" width="134.54296875" customWidth="1"/>
    <col min="3" max="3" width="135.26953125" customWidth="1"/>
    <col min="4" max="4" width="144.36328125" customWidth="1"/>
    <col min="5" max="5" width="90.1796875" customWidth="1"/>
    <col min="6" max="6" width="82" customWidth="1"/>
    <col min="7" max="7" width="67.7265625" customWidth="1"/>
    <col min="8" max="8" width="93.6328125" customWidth="1"/>
    <col min="9" max="9" width="82.7265625" customWidth="1"/>
    <col min="10" max="10" width="120.54296875" customWidth="1"/>
    <col min="11" max="11" width="164.7265625" customWidth="1"/>
  </cols>
  <sheetData>
    <row r="1" spans="1:11" x14ac:dyDescent="0.35">
      <c r="A1" s="64" t="s">
        <v>4847</v>
      </c>
      <c r="B1" s="64" t="s">
        <v>9268</v>
      </c>
      <c r="C1" s="65" t="s">
        <v>9269</v>
      </c>
      <c r="D1" s="65" t="s">
        <v>9270</v>
      </c>
      <c r="E1" s="65" t="s">
        <v>4841</v>
      </c>
      <c r="F1" s="66" t="s">
        <v>9271</v>
      </c>
      <c r="G1" s="67" t="s">
        <v>7196</v>
      </c>
      <c r="H1" s="66" t="s">
        <v>4840</v>
      </c>
      <c r="I1" s="67" t="s">
        <v>7197</v>
      </c>
      <c r="J1" s="65" t="s">
        <v>9272</v>
      </c>
      <c r="K1" s="65" t="s">
        <v>4837</v>
      </c>
    </row>
    <row r="2" spans="1:11" x14ac:dyDescent="0.35">
      <c r="A2" s="68" t="s">
        <v>9273</v>
      </c>
      <c r="B2" s="69" t="s">
        <v>0</v>
      </c>
      <c r="C2" s="70" t="s">
        <v>5</v>
      </c>
      <c r="D2" s="70" t="s">
        <v>35</v>
      </c>
      <c r="E2" s="71" t="s">
        <v>9274</v>
      </c>
      <c r="F2" s="72" t="s">
        <v>9275</v>
      </c>
      <c r="G2" s="73" t="s">
        <v>65</v>
      </c>
      <c r="H2" s="74" t="s">
        <v>9276</v>
      </c>
      <c r="I2" s="75" t="s">
        <v>58</v>
      </c>
      <c r="J2" s="76" t="s">
        <v>9277</v>
      </c>
      <c r="K2" s="77" t="s">
        <v>9278</v>
      </c>
    </row>
    <row r="3" spans="1:11" x14ac:dyDescent="0.35">
      <c r="A3" s="78"/>
      <c r="B3" s="78"/>
      <c r="C3" s="78"/>
      <c r="D3" s="78"/>
      <c r="E3" s="71" t="s">
        <v>9279</v>
      </c>
      <c r="F3" s="34"/>
      <c r="G3" s="9"/>
      <c r="H3" s="79"/>
      <c r="I3" s="10"/>
      <c r="J3" s="79"/>
      <c r="K3" s="77" t="s">
        <v>9280</v>
      </c>
    </row>
    <row r="4" spans="1:11" x14ac:dyDescent="0.35">
      <c r="A4" s="78"/>
      <c r="B4" s="78"/>
      <c r="C4" s="78"/>
      <c r="D4" s="70" t="s">
        <v>36</v>
      </c>
      <c r="E4" s="71" t="s">
        <v>9281</v>
      </c>
      <c r="F4" s="72" t="s">
        <v>9282</v>
      </c>
      <c r="G4" s="73" t="s">
        <v>244</v>
      </c>
      <c r="H4" s="74" t="s">
        <v>9283</v>
      </c>
      <c r="I4" s="80" t="s">
        <v>120</v>
      </c>
      <c r="J4" s="76" t="s">
        <v>9284</v>
      </c>
      <c r="K4" s="77" t="s">
        <v>9285</v>
      </c>
    </row>
    <row r="5" spans="1:11" x14ac:dyDescent="0.35">
      <c r="A5" s="78"/>
      <c r="B5" s="78"/>
      <c r="C5" s="78"/>
      <c r="D5" s="78"/>
      <c r="E5" s="71" t="s">
        <v>9286</v>
      </c>
      <c r="F5" s="34"/>
      <c r="G5" s="9"/>
      <c r="H5" s="79"/>
      <c r="I5" s="10"/>
      <c r="J5" s="79"/>
      <c r="K5" s="77" t="s">
        <v>9287</v>
      </c>
    </row>
    <row r="6" spans="1:11" x14ac:dyDescent="0.35">
      <c r="A6" s="78"/>
      <c r="B6" s="78"/>
      <c r="C6" s="78"/>
      <c r="D6" s="70" t="s">
        <v>9288</v>
      </c>
      <c r="E6" s="71" t="s">
        <v>9289</v>
      </c>
      <c r="F6" s="72" t="s">
        <v>9290</v>
      </c>
      <c r="G6" s="73" t="s">
        <v>2545</v>
      </c>
      <c r="H6" s="74" t="s">
        <v>9291</v>
      </c>
      <c r="I6" s="75" t="s">
        <v>58</v>
      </c>
      <c r="J6" s="76" t="s">
        <v>9292</v>
      </c>
      <c r="K6" s="77" t="s">
        <v>9293</v>
      </c>
    </row>
    <row r="7" spans="1:11" x14ac:dyDescent="0.35">
      <c r="A7" s="78"/>
      <c r="B7" s="78"/>
      <c r="C7" s="78"/>
      <c r="D7" s="78"/>
      <c r="E7" s="71" t="s">
        <v>9281</v>
      </c>
      <c r="F7" s="34"/>
      <c r="G7" s="9"/>
      <c r="H7" s="79"/>
      <c r="I7" s="10"/>
      <c r="J7" s="79"/>
      <c r="K7" s="77" t="s">
        <v>9294</v>
      </c>
    </row>
    <row r="8" spans="1:11" x14ac:dyDescent="0.35">
      <c r="A8" s="78"/>
      <c r="B8" s="78"/>
      <c r="C8" s="78"/>
      <c r="D8" s="70" t="s">
        <v>9295</v>
      </c>
      <c r="E8" s="77" t="s">
        <v>9296</v>
      </c>
      <c r="F8" s="72" t="s">
        <v>9297</v>
      </c>
      <c r="G8" s="73" t="s">
        <v>244</v>
      </c>
      <c r="H8" s="74" t="s">
        <v>9298</v>
      </c>
      <c r="I8" s="81" t="s">
        <v>250</v>
      </c>
      <c r="J8" s="76" t="s">
        <v>9299</v>
      </c>
      <c r="K8" s="77" t="s">
        <v>9300</v>
      </c>
    </row>
    <row r="9" spans="1:11" x14ac:dyDescent="0.35">
      <c r="A9" s="78"/>
      <c r="B9" s="78"/>
      <c r="C9" s="78"/>
      <c r="D9" s="78"/>
      <c r="E9" s="77" t="s">
        <v>9301</v>
      </c>
      <c r="F9" s="34"/>
      <c r="G9" s="9"/>
      <c r="H9" s="79"/>
      <c r="I9" s="10"/>
      <c r="J9" s="79"/>
      <c r="K9" s="77" t="s">
        <v>9302</v>
      </c>
    </row>
    <row r="10" spans="1:11" x14ac:dyDescent="0.35">
      <c r="A10" s="78"/>
      <c r="B10" s="78"/>
      <c r="C10" s="78"/>
      <c r="D10" s="70" t="s">
        <v>9303</v>
      </c>
      <c r="E10" s="77" t="s">
        <v>9304</v>
      </c>
      <c r="F10" s="72" t="s">
        <v>9305</v>
      </c>
      <c r="G10" s="73" t="s">
        <v>244</v>
      </c>
      <c r="H10" s="74" t="s">
        <v>9306</v>
      </c>
      <c r="I10" s="75" t="s">
        <v>58</v>
      </c>
      <c r="J10" s="76" t="s">
        <v>9307</v>
      </c>
      <c r="K10" s="77" t="s">
        <v>9308</v>
      </c>
    </row>
    <row r="11" spans="1:11" x14ac:dyDescent="0.35">
      <c r="A11" s="78"/>
      <c r="B11" s="78"/>
      <c r="C11" s="78"/>
      <c r="D11" s="78"/>
      <c r="E11" s="77" t="s">
        <v>9309</v>
      </c>
      <c r="F11" s="34"/>
      <c r="G11" s="9"/>
      <c r="H11" s="79"/>
      <c r="I11" s="10"/>
      <c r="J11" s="79"/>
      <c r="K11" s="77" t="s">
        <v>9310</v>
      </c>
    </row>
    <row r="12" spans="1:11" x14ac:dyDescent="0.35">
      <c r="A12" s="78"/>
      <c r="B12" s="78"/>
      <c r="C12" s="70" t="s">
        <v>9311</v>
      </c>
      <c r="D12" s="70" t="s">
        <v>37</v>
      </c>
      <c r="E12" s="77" t="s">
        <v>9312</v>
      </c>
      <c r="F12" s="72" t="s">
        <v>9313</v>
      </c>
      <c r="G12" s="73" t="s">
        <v>65</v>
      </c>
      <c r="H12" s="74" t="s">
        <v>9314</v>
      </c>
      <c r="I12" s="80" t="s">
        <v>120</v>
      </c>
      <c r="J12" s="76" t="s">
        <v>9315</v>
      </c>
      <c r="K12" s="77" t="s">
        <v>9316</v>
      </c>
    </row>
    <row r="13" spans="1:11" x14ac:dyDescent="0.35">
      <c r="A13" s="78"/>
      <c r="B13" s="78"/>
      <c r="C13" s="78"/>
      <c r="D13" s="78"/>
      <c r="E13" s="77" t="s">
        <v>9317</v>
      </c>
      <c r="F13" s="34"/>
      <c r="G13" s="9"/>
      <c r="H13" s="79"/>
      <c r="I13" s="10"/>
      <c r="J13" s="79"/>
      <c r="K13" s="77" t="s">
        <v>9318</v>
      </c>
    </row>
    <row r="14" spans="1:11" x14ac:dyDescent="0.35">
      <c r="A14" s="78"/>
      <c r="B14" s="78"/>
      <c r="C14" s="78"/>
      <c r="D14" s="70" t="s">
        <v>9319</v>
      </c>
      <c r="E14" s="77" t="s">
        <v>9320</v>
      </c>
      <c r="F14" s="72" t="s">
        <v>9321</v>
      </c>
      <c r="G14" s="73" t="s">
        <v>65</v>
      </c>
      <c r="H14" s="74" t="s">
        <v>9322</v>
      </c>
      <c r="I14" s="75" t="s">
        <v>58</v>
      </c>
      <c r="J14" s="76" t="s">
        <v>9323</v>
      </c>
      <c r="K14" s="77" t="s">
        <v>9324</v>
      </c>
    </row>
    <row r="15" spans="1:11" x14ac:dyDescent="0.35">
      <c r="A15" s="78"/>
      <c r="B15" s="78"/>
      <c r="C15" s="78"/>
      <c r="D15" s="78"/>
      <c r="E15" s="77" t="s">
        <v>9325</v>
      </c>
      <c r="F15" s="34"/>
      <c r="G15" s="9"/>
      <c r="H15" s="79"/>
      <c r="I15" s="10"/>
      <c r="J15" s="79"/>
      <c r="K15" s="77" t="s">
        <v>9326</v>
      </c>
    </row>
    <row r="16" spans="1:11" x14ac:dyDescent="0.35">
      <c r="A16" s="78"/>
      <c r="B16" s="78"/>
      <c r="C16" s="78"/>
      <c r="D16" s="70" t="s">
        <v>38</v>
      </c>
      <c r="E16" s="77" t="s">
        <v>9327</v>
      </c>
      <c r="F16" s="72" t="s">
        <v>9328</v>
      </c>
      <c r="G16" s="73" t="s">
        <v>65</v>
      </c>
      <c r="H16" s="74" t="s">
        <v>9329</v>
      </c>
      <c r="I16" s="81" t="s">
        <v>250</v>
      </c>
      <c r="J16" s="76" t="s">
        <v>9330</v>
      </c>
      <c r="K16" s="77" t="s">
        <v>9331</v>
      </c>
    </row>
    <row r="17" spans="1:11" x14ac:dyDescent="0.35">
      <c r="A17" s="78"/>
      <c r="B17" s="78"/>
      <c r="C17" s="78"/>
      <c r="D17" s="78"/>
      <c r="E17" s="77" t="s">
        <v>9332</v>
      </c>
      <c r="F17" s="34"/>
      <c r="G17" s="9"/>
      <c r="H17" s="79"/>
      <c r="I17" s="10"/>
      <c r="J17" s="79"/>
      <c r="K17" s="77" t="s">
        <v>9333</v>
      </c>
    </row>
    <row r="18" spans="1:11" x14ac:dyDescent="0.35">
      <c r="A18" s="78"/>
      <c r="B18" s="78"/>
      <c r="C18" s="78"/>
      <c r="D18" s="70" t="s">
        <v>39</v>
      </c>
      <c r="E18" s="77" t="s">
        <v>9334</v>
      </c>
      <c r="F18" s="72" t="s">
        <v>9335</v>
      </c>
      <c r="G18" s="73" t="s">
        <v>244</v>
      </c>
      <c r="H18" s="74" t="s">
        <v>9336</v>
      </c>
      <c r="I18" s="75" t="s">
        <v>58</v>
      </c>
      <c r="J18" s="76" t="s">
        <v>9337</v>
      </c>
      <c r="K18" s="77" t="s">
        <v>9338</v>
      </c>
    </row>
    <row r="19" spans="1:11" x14ac:dyDescent="0.35">
      <c r="A19" s="78"/>
      <c r="B19" s="78"/>
      <c r="C19" s="78"/>
      <c r="D19" s="78"/>
      <c r="E19" s="77" t="s">
        <v>9339</v>
      </c>
      <c r="F19" s="34"/>
      <c r="G19" s="9"/>
      <c r="H19" s="79"/>
      <c r="I19" s="10"/>
      <c r="J19" s="79"/>
      <c r="K19" s="77" t="s">
        <v>9340</v>
      </c>
    </row>
    <row r="20" spans="1:11" x14ac:dyDescent="0.35">
      <c r="A20" s="78"/>
      <c r="B20" s="78"/>
      <c r="C20" s="78"/>
      <c r="D20" s="70" t="s">
        <v>40</v>
      </c>
      <c r="E20" s="77" t="s">
        <v>9341</v>
      </c>
      <c r="F20" s="72" t="s">
        <v>9342</v>
      </c>
      <c r="G20" s="73" t="s">
        <v>2545</v>
      </c>
      <c r="H20" s="74" t="s">
        <v>9343</v>
      </c>
      <c r="I20" s="80" t="s">
        <v>120</v>
      </c>
      <c r="J20" s="76" t="s">
        <v>9344</v>
      </c>
      <c r="K20" s="77" t="s">
        <v>9345</v>
      </c>
    </row>
    <row r="21" spans="1:11" x14ac:dyDescent="0.35">
      <c r="A21" s="78"/>
      <c r="B21" s="78"/>
      <c r="C21" s="78"/>
      <c r="D21" s="78"/>
      <c r="E21" s="77" t="s">
        <v>9346</v>
      </c>
      <c r="F21" s="34"/>
      <c r="G21" s="9"/>
      <c r="H21" s="79"/>
      <c r="I21" s="10"/>
      <c r="J21" s="79"/>
      <c r="K21" s="77" t="s">
        <v>9347</v>
      </c>
    </row>
    <row r="22" spans="1:11" x14ac:dyDescent="0.35">
      <c r="A22" s="78"/>
      <c r="B22" s="78"/>
      <c r="C22" s="78"/>
      <c r="D22" s="70" t="s">
        <v>9348</v>
      </c>
      <c r="E22" s="77" t="s">
        <v>9349</v>
      </c>
      <c r="F22" s="72" t="s">
        <v>9350</v>
      </c>
      <c r="G22" s="73" t="s">
        <v>244</v>
      </c>
      <c r="H22" s="74" t="s">
        <v>9351</v>
      </c>
      <c r="I22" s="75" t="s">
        <v>58</v>
      </c>
      <c r="J22" s="76" t="s">
        <v>9352</v>
      </c>
      <c r="K22" s="77" t="s">
        <v>9353</v>
      </c>
    </row>
    <row r="23" spans="1:11" x14ac:dyDescent="0.35">
      <c r="A23" s="78"/>
      <c r="B23" s="78"/>
      <c r="C23" s="78"/>
      <c r="D23" s="78"/>
      <c r="E23" s="77" t="s">
        <v>4344</v>
      </c>
      <c r="F23" s="34"/>
      <c r="G23" s="9"/>
      <c r="H23" s="79"/>
      <c r="I23" s="10"/>
      <c r="J23" s="79"/>
      <c r="K23" s="77" t="s">
        <v>9354</v>
      </c>
    </row>
    <row r="24" spans="1:11" x14ac:dyDescent="0.35">
      <c r="A24" s="78"/>
      <c r="B24" s="78"/>
      <c r="C24" s="78"/>
      <c r="D24" s="70" t="s">
        <v>41</v>
      </c>
      <c r="E24" s="77" t="s">
        <v>9355</v>
      </c>
      <c r="F24" s="72" t="s">
        <v>9356</v>
      </c>
      <c r="G24" s="73" t="s">
        <v>244</v>
      </c>
      <c r="H24" s="74" t="s">
        <v>9357</v>
      </c>
      <c r="I24" s="81" t="s">
        <v>250</v>
      </c>
      <c r="J24" s="76" t="s">
        <v>9358</v>
      </c>
      <c r="K24" s="77" t="s">
        <v>9359</v>
      </c>
    </row>
    <row r="25" spans="1:11" x14ac:dyDescent="0.35">
      <c r="A25" s="78"/>
      <c r="B25" s="78"/>
      <c r="C25" s="78"/>
      <c r="D25" s="78"/>
      <c r="E25" s="77" t="s">
        <v>9360</v>
      </c>
      <c r="F25" s="34"/>
      <c r="G25" s="9"/>
      <c r="H25" s="79"/>
      <c r="I25" s="10"/>
      <c r="J25" s="79"/>
      <c r="K25" s="77" t="s">
        <v>9361</v>
      </c>
    </row>
    <row r="26" spans="1:11" x14ac:dyDescent="0.35">
      <c r="A26" s="78"/>
      <c r="B26" s="78"/>
      <c r="C26" s="70" t="s">
        <v>9362</v>
      </c>
      <c r="D26" s="70" t="s">
        <v>9363</v>
      </c>
      <c r="E26" s="77" t="s">
        <v>9364</v>
      </c>
      <c r="F26" s="72" t="s">
        <v>9365</v>
      </c>
      <c r="G26" s="73" t="s">
        <v>65</v>
      </c>
      <c r="H26" s="74" t="s">
        <v>9366</v>
      </c>
      <c r="I26" s="75" t="s">
        <v>58</v>
      </c>
      <c r="J26" s="76" t="s">
        <v>9367</v>
      </c>
      <c r="K26" s="77" t="s">
        <v>9368</v>
      </c>
    </row>
    <row r="27" spans="1:11" x14ac:dyDescent="0.35">
      <c r="A27" s="78"/>
      <c r="B27" s="78"/>
      <c r="C27" s="78"/>
      <c r="D27" s="78"/>
      <c r="E27" s="77" t="s">
        <v>9369</v>
      </c>
      <c r="F27" s="34"/>
      <c r="G27" s="9"/>
      <c r="H27" s="79"/>
      <c r="I27" s="10"/>
      <c r="J27" s="79"/>
      <c r="K27" s="77" t="s">
        <v>9370</v>
      </c>
    </row>
    <row r="28" spans="1:11" x14ac:dyDescent="0.35">
      <c r="A28" s="78"/>
      <c r="B28" s="78"/>
      <c r="C28" s="78"/>
      <c r="D28" s="70" t="s">
        <v>9371</v>
      </c>
      <c r="E28" s="77" t="s">
        <v>9372</v>
      </c>
      <c r="F28" s="72" t="s">
        <v>9373</v>
      </c>
      <c r="G28" s="73" t="s">
        <v>65</v>
      </c>
      <c r="H28" s="74" t="s">
        <v>9374</v>
      </c>
      <c r="I28" s="80" t="s">
        <v>120</v>
      </c>
      <c r="J28" s="76" t="s">
        <v>9375</v>
      </c>
      <c r="K28" s="77" t="s">
        <v>9376</v>
      </c>
    </row>
    <row r="29" spans="1:11" x14ac:dyDescent="0.35">
      <c r="A29" s="78"/>
      <c r="B29" s="78"/>
      <c r="C29" s="78"/>
      <c r="D29" s="78"/>
      <c r="E29" s="77" t="s">
        <v>9377</v>
      </c>
      <c r="F29" s="34"/>
      <c r="G29" s="9"/>
      <c r="H29" s="79"/>
      <c r="I29" s="10"/>
      <c r="J29" s="79"/>
      <c r="K29" s="77" t="s">
        <v>9378</v>
      </c>
    </row>
    <row r="30" spans="1:11" x14ac:dyDescent="0.35">
      <c r="A30" s="78"/>
      <c r="B30" s="78"/>
      <c r="C30" s="78"/>
      <c r="D30" s="70" t="s">
        <v>42</v>
      </c>
      <c r="E30" s="77" t="s">
        <v>9379</v>
      </c>
      <c r="F30" s="72" t="s">
        <v>9380</v>
      </c>
      <c r="G30" s="73" t="s">
        <v>65</v>
      </c>
      <c r="H30" s="74" t="s">
        <v>9381</v>
      </c>
      <c r="I30" s="75" t="s">
        <v>58</v>
      </c>
      <c r="J30" s="76" t="s">
        <v>9382</v>
      </c>
      <c r="K30" s="77" t="s">
        <v>9383</v>
      </c>
    </row>
    <row r="31" spans="1:11" x14ac:dyDescent="0.35">
      <c r="A31" s="78"/>
      <c r="B31" s="78"/>
      <c r="C31" s="78"/>
      <c r="D31" s="78"/>
      <c r="E31" s="77" t="s">
        <v>9384</v>
      </c>
      <c r="F31" s="34"/>
      <c r="G31" s="9"/>
      <c r="H31" s="79"/>
      <c r="I31" s="10"/>
      <c r="J31" s="79"/>
      <c r="K31" s="77" t="s">
        <v>9385</v>
      </c>
    </row>
    <row r="32" spans="1:11" x14ac:dyDescent="0.35">
      <c r="A32" s="78"/>
      <c r="B32" s="78"/>
      <c r="C32" s="78"/>
      <c r="D32" s="70" t="s">
        <v>43</v>
      </c>
      <c r="E32" s="77" t="s">
        <v>9386</v>
      </c>
      <c r="F32" s="72" t="s">
        <v>9387</v>
      </c>
      <c r="G32" s="73" t="s">
        <v>244</v>
      </c>
      <c r="H32" s="74" t="s">
        <v>9388</v>
      </c>
      <c r="I32" s="81" t="s">
        <v>250</v>
      </c>
      <c r="J32" s="76" t="s">
        <v>9389</v>
      </c>
      <c r="K32" s="77" t="s">
        <v>9390</v>
      </c>
    </row>
    <row r="33" spans="1:11" x14ac:dyDescent="0.35">
      <c r="A33" s="78"/>
      <c r="B33" s="78"/>
      <c r="C33" s="78"/>
      <c r="D33" s="78"/>
      <c r="E33" s="77" t="s">
        <v>9391</v>
      </c>
      <c r="F33" s="34"/>
      <c r="G33" s="9"/>
      <c r="H33" s="79"/>
      <c r="I33" s="10"/>
      <c r="J33" s="79"/>
      <c r="K33" s="77" t="s">
        <v>9392</v>
      </c>
    </row>
    <row r="34" spans="1:11" x14ac:dyDescent="0.35">
      <c r="A34" s="78"/>
      <c r="B34" s="78"/>
      <c r="C34" s="78"/>
      <c r="D34" s="70" t="s">
        <v>9393</v>
      </c>
      <c r="E34" s="77" t="s">
        <v>9394</v>
      </c>
      <c r="F34" s="72" t="s">
        <v>9395</v>
      </c>
      <c r="G34" s="73" t="s">
        <v>2545</v>
      </c>
      <c r="H34" s="74" t="s">
        <v>9396</v>
      </c>
      <c r="I34" s="75" t="s">
        <v>58</v>
      </c>
      <c r="J34" s="76" t="s">
        <v>9397</v>
      </c>
      <c r="K34" s="77" t="s">
        <v>9398</v>
      </c>
    </row>
    <row r="35" spans="1:11" x14ac:dyDescent="0.35">
      <c r="A35" s="78"/>
      <c r="B35" s="78"/>
      <c r="C35" s="78"/>
      <c r="D35" s="78"/>
      <c r="E35" s="77" t="s">
        <v>9399</v>
      </c>
      <c r="F35" s="34"/>
      <c r="G35" s="9"/>
      <c r="H35" s="79"/>
      <c r="I35" s="10"/>
      <c r="J35" s="79"/>
      <c r="K35" s="77" t="s">
        <v>9400</v>
      </c>
    </row>
    <row r="36" spans="1:11" x14ac:dyDescent="0.35">
      <c r="A36" s="78"/>
      <c r="B36" s="78"/>
      <c r="C36" s="70" t="s">
        <v>6</v>
      </c>
      <c r="D36" s="70" t="s">
        <v>44</v>
      </c>
      <c r="E36" s="77" t="s">
        <v>9401</v>
      </c>
      <c r="F36" s="72" t="s">
        <v>9402</v>
      </c>
      <c r="G36" s="73" t="s">
        <v>244</v>
      </c>
      <c r="H36" s="74" t="s">
        <v>9403</v>
      </c>
      <c r="I36" s="80" t="s">
        <v>120</v>
      </c>
      <c r="J36" s="76" t="s">
        <v>9403</v>
      </c>
      <c r="K36" s="77" t="s">
        <v>9404</v>
      </c>
    </row>
    <row r="37" spans="1:11" x14ac:dyDescent="0.35">
      <c r="A37" s="78"/>
      <c r="B37" s="78"/>
      <c r="C37" s="78"/>
      <c r="D37" s="78"/>
      <c r="E37" s="77" t="s">
        <v>9405</v>
      </c>
      <c r="F37" s="34"/>
      <c r="G37" s="9"/>
      <c r="H37" s="79"/>
      <c r="I37" s="10"/>
      <c r="J37" s="79"/>
      <c r="K37" s="77" t="s">
        <v>9406</v>
      </c>
    </row>
    <row r="38" spans="1:11" x14ac:dyDescent="0.35">
      <c r="A38" s="78"/>
      <c r="B38" s="78"/>
      <c r="C38" s="78"/>
      <c r="D38" s="70" t="s">
        <v>9407</v>
      </c>
      <c r="E38" s="77" t="s">
        <v>9408</v>
      </c>
      <c r="F38" s="72" t="s">
        <v>9409</v>
      </c>
      <c r="G38" s="73" t="s">
        <v>244</v>
      </c>
      <c r="H38" s="74" t="s">
        <v>9410</v>
      </c>
      <c r="I38" s="75" t="s">
        <v>58</v>
      </c>
      <c r="J38" s="76" t="s">
        <v>9411</v>
      </c>
      <c r="K38" s="77" t="s">
        <v>9412</v>
      </c>
    </row>
    <row r="39" spans="1:11" x14ac:dyDescent="0.35">
      <c r="A39" s="78"/>
      <c r="B39" s="78"/>
      <c r="C39" s="78"/>
      <c r="D39" s="78"/>
      <c r="E39" s="77" t="s">
        <v>9413</v>
      </c>
      <c r="F39" s="34"/>
      <c r="G39" s="9"/>
      <c r="H39" s="79"/>
      <c r="I39" s="10"/>
      <c r="J39" s="79"/>
      <c r="K39" s="77" t="s">
        <v>9414</v>
      </c>
    </row>
    <row r="40" spans="1:11" x14ac:dyDescent="0.35">
      <c r="A40" s="78"/>
      <c r="B40" s="78"/>
      <c r="C40" s="78"/>
      <c r="D40" s="70" t="s">
        <v>9415</v>
      </c>
      <c r="E40" s="77" t="s">
        <v>9416</v>
      </c>
      <c r="F40" s="72" t="s">
        <v>9417</v>
      </c>
      <c r="G40" s="73" t="s">
        <v>65</v>
      </c>
      <c r="H40" s="74" t="s">
        <v>9418</v>
      </c>
      <c r="I40" s="81" t="s">
        <v>250</v>
      </c>
      <c r="J40" s="76" t="s">
        <v>9418</v>
      </c>
      <c r="K40" s="77" t="s">
        <v>9419</v>
      </c>
    </row>
    <row r="41" spans="1:11" x14ac:dyDescent="0.35">
      <c r="A41" s="78"/>
      <c r="B41" s="78"/>
      <c r="C41" s="78"/>
      <c r="D41" s="78"/>
      <c r="E41" s="77" t="s">
        <v>9420</v>
      </c>
      <c r="F41" s="34"/>
      <c r="G41" s="9"/>
      <c r="H41" s="79"/>
      <c r="I41" s="10"/>
      <c r="J41" s="79"/>
      <c r="K41" s="77" t="s">
        <v>9421</v>
      </c>
    </row>
    <row r="42" spans="1:11" x14ac:dyDescent="0.35">
      <c r="A42" s="78"/>
      <c r="B42" s="78"/>
      <c r="C42" s="78"/>
      <c r="D42" s="70" t="s">
        <v>9422</v>
      </c>
      <c r="E42" s="77" t="s">
        <v>9423</v>
      </c>
      <c r="F42" s="72" t="s">
        <v>9424</v>
      </c>
      <c r="G42" s="73" t="s">
        <v>65</v>
      </c>
      <c r="H42" s="74" t="s">
        <v>9425</v>
      </c>
      <c r="I42" s="75" t="s">
        <v>58</v>
      </c>
      <c r="J42" s="76" t="s">
        <v>9425</v>
      </c>
      <c r="K42" s="77" t="s">
        <v>9426</v>
      </c>
    </row>
    <row r="43" spans="1:11" x14ac:dyDescent="0.35">
      <c r="A43" s="78"/>
      <c r="B43" s="78"/>
      <c r="C43" s="78"/>
      <c r="D43" s="78"/>
      <c r="E43" s="77" t="s">
        <v>9427</v>
      </c>
      <c r="F43" s="34"/>
      <c r="G43" s="9"/>
      <c r="H43" s="79"/>
      <c r="I43" s="10"/>
      <c r="J43" s="79"/>
      <c r="K43" s="77" t="s">
        <v>9428</v>
      </c>
    </row>
    <row r="44" spans="1:11" x14ac:dyDescent="0.35">
      <c r="A44" s="78"/>
      <c r="B44" s="78"/>
      <c r="C44" s="78"/>
      <c r="D44" s="70" t="s">
        <v>9429</v>
      </c>
      <c r="E44" s="77" t="s">
        <v>9430</v>
      </c>
      <c r="F44" s="72" t="s">
        <v>9431</v>
      </c>
      <c r="G44" s="73" t="s">
        <v>65</v>
      </c>
      <c r="H44" s="74" t="s">
        <v>9432</v>
      </c>
      <c r="I44" s="80" t="s">
        <v>120</v>
      </c>
      <c r="J44" s="76" t="s">
        <v>9432</v>
      </c>
      <c r="K44" s="77" t="s">
        <v>9433</v>
      </c>
    </row>
    <row r="45" spans="1:11" x14ac:dyDescent="0.35">
      <c r="A45" s="78"/>
      <c r="B45" s="78"/>
      <c r="C45" s="78"/>
      <c r="D45" s="78"/>
      <c r="E45" s="77" t="s">
        <v>9434</v>
      </c>
      <c r="F45" s="34"/>
      <c r="G45" s="9"/>
      <c r="H45" s="79"/>
      <c r="I45" s="10"/>
      <c r="J45" s="79"/>
      <c r="K45" s="77" t="s">
        <v>9435</v>
      </c>
    </row>
    <row r="46" spans="1:11" x14ac:dyDescent="0.35">
      <c r="A46" s="78"/>
      <c r="B46" s="78"/>
      <c r="C46" s="70" t="s">
        <v>7</v>
      </c>
      <c r="D46" s="70" t="s">
        <v>9436</v>
      </c>
      <c r="E46" s="77" t="s">
        <v>9437</v>
      </c>
      <c r="F46" s="72" t="s">
        <v>9438</v>
      </c>
      <c r="G46" s="73" t="s">
        <v>244</v>
      </c>
      <c r="H46" s="74" t="s">
        <v>9439</v>
      </c>
      <c r="I46" s="75" t="s">
        <v>58</v>
      </c>
      <c r="J46" s="76" t="s">
        <v>9439</v>
      </c>
      <c r="K46" s="77" t="s">
        <v>9440</v>
      </c>
    </row>
    <row r="47" spans="1:11" x14ac:dyDescent="0.35">
      <c r="A47" s="78"/>
      <c r="B47" s="78"/>
      <c r="C47" s="78"/>
      <c r="D47" s="78"/>
      <c r="E47" s="77" t="s">
        <v>9441</v>
      </c>
      <c r="F47" s="34"/>
      <c r="G47" s="9"/>
      <c r="H47" s="79"/>
      <c r="I47" s="10"/>
      <c r="J47" s="79"/>
      <c r="K47" s="77" t="s">
        <v>9442</v>
      </c>
    </row>
    <row r="48" spans="1:11" x14ac:dyDescent="0.35">
      <c r="A48" s="78"/>
      <c r="B48" s="78"/>
      <c r="C48" s="78"/>
      <c r="D48" s="70" t="s">
        <v>9443</v>
      </c>
      <c r="E48" s="77" t="s">
        <v>9444</v>
      </c>
      <c r="F48" s="72" t="s">
        <v>9445</v>
      </c>
      <c r="G48" s="73" t="s">
        <v>2545</v>
      </c>
      <c r="H48" s="74" t="s">
        <v>9446</v>
      </c>
      <c r="I48" s="81" t="s">
        <v>250</v>
      </c>
      <c r="J48" s="76" t="s">
        <v>9446</v>
      </c>
      <c r="K48" s="77" t="s">
        <v>9447</v>
      </c>
    </row>
    <row r="49" spans="1:11" x14ac:dyDescent="0.35">
      <c r="A49" s="78"/>
      <c r="B49" s="78"/>
      <c r="C49" s="78"/>
      <c r="D49" s="78"/>
      <c r="E49" s="77" t="s">
        <v>9448</v>
      </c>
      <c r="F49" s="34"/>
      <c r="G49" s="9"/>
      <c r="H49" s="79"/>
      <c r="I49" s="10"/>
      <c r="J49" s="79"/>
      <c r="K49" s="77" t="s">
        <v>9449</v>
      </c>
    </row>
    <row r="50" spans="1:11" x14ac:dyDescent="0.35">
      <c r="A50" s="78"/>
      <c r="B50" s="78"/>
      <c r="C50" s="78"/>
      <c r="D50" s="70" t="s">
        <v>9450</v>
      </c>
      <c r="E50" s="77" t="s">
        <v>9451</v>
      </c>
      <c r="F50" s="72" t="s">
        <v>9452</v>
      </c>
      <c r="G50" s="73" t="s">
        <v>244</v>
      </c>
      <c r="H50" s="74" t="s">
        <v>9453</v>
      </c>
      <c r="I50" s="75" t="s">
        <v>58</v>
      </c>
      <c r="J50" s="76" t="s">
        <v>9453</v>
      </c>
      <c r="K50" s="77" t="s">
        <v>9454</v>
      </c>
    </row>
    <row r="51" spans="1:11" x14ac:dyDescent="0.35">
      <c r="A51" s="78"/>
      <c r="B51" s="78"/>
      <c r="C51" s="78"/>
      <c r="D51" s="78"/>
      <c r="E51" s="77" t="s">
        <v>9455</v>
      </c>
      <c r="F51" s="34"/>
      <c r="G51" s="9"/>
      <c r="H51" s="79"/>
      <c r="I51" s="10"/>
      <c r="J51" s="79"/>
      <c r="K51" s="77" t="s">
        <v>9456</v>
      </c>
    </row>
    <row r="52" spans="1:11" x14ac:dyDescent="0.35">
      <c r="A52" s="78"/>
      <c r="B52" s="78"/>
      <c r="C52" s="78"/>
      <c r="D52" s="70" t="s">
        <v>9457</v>
      </c>
      <c r="E52" s="77" t="s">
        <v>9458</v>
      </c>
      <c r="F52" s="72" t="s">
        <v>9459</v>
      </c>
      <c r="G52" s="73" t="s">
        <v>244</v>
      </c>
      <c r="H52" s="74" t="s">
        <v>9460</v>
      </c>
      <c r="I52" s="80" t="s">
        <v>120</v>
      </c>
      <c r="J52" s="76" t="s">
        <v>9460</v>
      </c>
      <c r="K52" s="77" t="s">
        <v>9461</v>
      </c>
    </row>
    <row r="53" spans="1:11" x14ac:dyDescent="0.35">
      <c r="A53" s="78"/>
      <c r="B53" s="78"/>
      <c r="C53" s="78"/>
      <c r="D53" s="78"/>
      <c r="E53" s="77" t="s">
        <v>9462</v>
      </c>
      <c r="F53" s="34"/>
      <c r="G53" s="9"/>
      <c r="H53" s="79"/>
      <c r="I53" s="10"/>
      <c r="J53" s="79"/>
      <c r="K53" s="77" t="s">
        <v>9463</v>
      </c>
    </row>
    <row r="54" spans="1:11" x14ac:dyDescent="0.35">
      <c r="A54" s="78"/>
      <c r="B54" s="78"/>
      <c r="C54" s="78"/>
      <c r="D54" s="70" t="s">
        <v>9464</v>
      </c>
      <c r="E54" s="77" t="s">
        <v>9465</v>
      </c>
      <c r="F54" s="72" t="s">
        <v>9466</v>
      </c>
      <c r="G54" s="73" t="s">
        <v>65</v>
      </c>
      <c r="H54" s="74" t="s">
        <v>9467</v>
      </c>
      <c r="I54" s="75" t="s">
        <v>58</v>
      </c>
      <c r="J54" s="76" t="s">
        <v>9467</v>
      </c>
      <c r="K54" s="77" t="s">
        <v>9468</v>
      </c>
    </row>
    <row r="55" spans="1:11" x14ac:dyDescent="0.35">
      <c r="A55" s="78"/>
      <c r="B55" s="78"/>
      <c r="C55" s="78"/>
      <c r="D55" s="78"/>
      <c r="E55" s="77" t="s">
        <v>9469</v>
      </c>
      <c r="F55" s="34"/>
      <c r="G55" s="9"/>
      <c r="H55" s="79"/>
      <c r="I55" s="10"/>
      <c r="J55" s="79"/>
      <c r="K55" s="77" t="s">
        <v>9470</v>
      </c>
    </row>
    <row r="56" spans="1:11" x14ac:dyDescent="0.35">
      <c r="A56" s="78"/>
      <c r="B56" s="78"/>
      <c r="C56" s="70" t="s">
        <v>8</v>
      </c>
      <c r="D56" s="70" t="s">
        <v>9471</v>
      </c>
      <c r="E56" s="77" t="s">
        <v>9472</v>
      </c>
      <c r="F56" s="72" t="s">
        <v>9471</v>
      </c>
      <c r="G56" s="73" t="s">
        <v>65</v>
      </c>
      <c r="H56" s="74" t="s">
        <v>9473</v>
      </c>
      <c r="I56" s="81" t="s">
        <v>250</v>
      </c>
      <c r="J56" s="76" t="s">
        <v>9473</v>
      </c>
      <c r="K56" s="77" t="s">
        <v>9474</v>
      </c>
    </row>
    <row r="57" spans="1:11" x14ac:dyDescent="0.35">
      <c r="A57" s="78"/>
      <c r="B57" s="78"/>
      <c r="C57" s="78"/>
      <c r="D57" s="78"/>
      <c r="E57" s="77" t="s">
        <v>9475</v>
      </c>
      <c r="F57" s="34"/>
      <c r="G57" s="9"/>
      <c r="H57" s="79"/>
      <c r="I57" s="10"/>
      <c r="J57" s="79"/>
      <c r="K57" s="77" t="s">
        <v>9476</v>
      </c>
    </row>
    <row r="58" spans="1:11" x14ac:dyDescent="0.35">
      <c r="A58" s="78"/>
      <c r="B58" s="78"/>
      <c r="C58" s="78"/>
      <c r="D58" s="70" t="s">
        <v>9477</v>
      </c>
      <c r="E58" s="77" t="s">
        <v>9478</v>
      </c>
      <c r="F58" s="72" t="s">
        <v>9479</v>
      </c>
      <c r="G58" s="73" t="s">
        <v>65</v>
      </c>
      <c r="H58" s="74" t="s">
        <v>9480</v>
      </c>
      <c r="I58" s="75" t="s">
        <v>58</v>
      </c>
      <c r="J58" s="76" t="s">
        <v>9480</v>
      </c>
      <c r="K58" s="77" t="s">
        <v>9481</v>
      </c>
    </row>
    <row r="59" spans="1:11" x14ac:dyDescent="0.35">
      <c r="A59" s="78"/>
      <c r="B59" s="78"/>
      <c r="C59" s="78"/>
      <c r="D59" s="78"/>
      <c r="E59" s="77" t="s">
        <v>9482</v>
      </c>
      <c r="F59" s="34"/>
      <c r="G59" s="9"/>
      <c r="H59" s="79"/>
      <c r="I59" s="10"/>
      <c r="J59" s="79"/>
      <c r="K59" s="77" t="s">
        <v>9483</v>
      </c>
    </row>
    <row r="60" spans="1:11" x14ac:dyDescent="0.35">
      <c r="A60" s="78"/>
      <c r="B60" s="78"/>
      <c r="C60" s="78"/>
      <c r="D60" s="70" t="s">
        <v>9484</v>
      </c>
      <c r="E60" s="77" t="s">
        <v>9485</v>
      </c>
      <c r="F60" s="72" t="s">
        <v>9484</v>
      </c>
      <c r="G60" s="73" t="s">
        <v>244</v>
      </c>
      <c r="H60" s="74" t="s">
        <v>9486</v>
      </c>
      <c r="I60" s="80" t="s">
        <v>120</v>
      </c>
      <c r="J60" s="76" t="s">
        <v>9486</v>
      </c>
      <c r="K60" s="77" t="s">
        <v>9487</v>
      </c>
    </row>
    <row r="61" spans="1:11" x14ac:dyDescent="0.35">
      <c r="A61" s="78"/>
      <c r="B61" s="78"/>
      <c r="C61" s="78"/>
      <c r="D61" s="78"/>
      <c r="E61" s="77" t="s">
        <v>9488</v>
      </c>
      <c r="F61" s="34"/>
      <c r="G61" s="9"/>
      <c r="H61" s="79"/>
      <c r="I61" s="10"/>
      <c r="J61" s="79"/>
      <c r="K61" s="77" t="s">
        <v>9414</v>
      </c>
    </row>
    <row r="62" spans="1:11" x14ac:dyDescent="0.35">
      <c r="A62" s="78"/>
      <c r="B62" s="78"/>
      <c r="C62" s="78"/>
      <c r="D62" s="70" t="s">
        <v>9489</v>
      </c>
      <c r="E62" s="77" t="s">
        <v>9490</v>
      </c>
      <c r="F62" s="72" t="s">
        <v>9489</v>
      </c>
      <c r="G62" s="73" t="s">
        <v>2545</v>
      </c>
      <c r="H62" s="74" t="s">
        <v>9491</v>
      </c>
      <c r="I62" s="75" t="s">
        <v>58</v>
      </c>
      <c r="J62" s="76" t="s">
        <v>9491</v>
      </c>
      <c r="K62" s="77" t="s">
        <v>9419</v>
      </c>
    </row>
    <row r="63" spans="1:11" x14ac:dyDescent="0.35">
      <c r="A63" s="78"/>
      <c r="B63" s="78"/>
      <c r="C63" s="78"/>
      <c r="D63" s="78"/>
      <c r="E63" s="77" t="s">
        <v>9492</v>
      </c>
      <c r="F63" s="34"/>
      <c r="G63" s="9"/>
      <c r="H63" s="79"/>
      <c r="I63" s="10"/>
      <c r="J63" s="79"/>
      <c r="K63" s="77" t="s">
        <v>9421</v>
      </c>
    </row>
    <row r="64" spans="1:11" x14ac:dyDescent="0.35">
      <c r="A64" s="78"/>
      <c r="B64" s="78"/>
      <c r="C64" s="78"/>
      <c r="D64" s="70" t="s">
        <v>9493</v>
      </c>
      <c r="E64" s="77" t="s">
        <v>9494</v>
      </c>
      <c r="F64" s="72" t="s">
        <v>9493</v>
      </c>
      <c r="G64" s="73" t="s">
        <v>244</v>
      </c>
      <c r="H64" s="74" t="s">
        <v>9495</v>
      </c>
      <c r="I64" s="81" t="s">
        <v>250</v>
      </c>
      <c r="J64" s="76" t="s">
        <v>9496</v>
      </c>
      <c r="K64" s="77" t="s">
        <v>9497</v>
      </c>
    </row>
    <row r="65" spans="1:11" x14ac:dyDescent="0.35">
      <c r="A65" s="78"/>
      <c r="B65" s="78"/>
      <c r="C65" s="78"/>
      <c r="D65" s="78"/>
      <c r="E65" s="77" t="s">
        <v>9498</v>
      </c>
      <c r="F65" s="34"/>
      <c r="G65" s="9"/>
      <c r="H65" s="79"/>
      <c r="I65" s="10"/>
      <c r="J65" s="79"/>
      <c r="K65" s="77" t="s">
        <v>9499</v>
      </c>
    </row>
    <row r="66" spans="1:11" x14ac:dyDescent="0.35">
      <c r="A66" s="78"/>
      <c r="B66" s="78"/>
      <c r="C66" s="70" t="s">
        <v>9500</v>
      </c>
      <c r="D66" s="70" t="s">
        <v>45</v>
      </c>
      <c r="E66" s="77" t="s">
        <v>9501</v>
      </c>
      <c r="F66" s="72" t="s">
        <v>9502</v>
      </c>
      <c r="G66" s="73" t="s">
        <v>244</v>
      </c>
      <c r="H66" s="74" t="s">
        <v>9503</v>
      </c>
      <c r="I66" s="75" t="s">
        <v>58</v>
      </c>
      <c r="J66" s="76" t="s">
        <v>9504</v>
      </c>
      <c r="K66" s="77" t="s">
        <v>9505</v>
      </c>
    </row>
    <row r="67" spans="1:11" x14ac:dyDescent="0.35">
      <c r="A67" s="78"/>
      <c r="B67" s="78"/>
      <c r="C67" s="78"/>
      <c r="D67" s="78"/>
      <c r="E67" s="77" t="s">
        <v>9506</v>
      </c>
      <c r="F67" s="34"/>
      <c r="G67" s="9"/>
      <c r="H67" s="79"/>
      <c r="I67" s="10"/>
      <c r="J67" s="79"/>
      <c r="K67" s="77" t="s">
        <v>9507</v>
      </c>
    </row>
    <row r="68" spans="1:11" x14ac:dyDescent="0.35">
      <c r="A68" s="78"/>
      <c r="B68" s="78"/>
      <c r="C68" s="78"/>
      <c r="D68" s="70" t="s">
        <v>46</v>
      </c>
      <c r="E68" s="77" t="s">
        <v>9508</v>
      </c>
      <c r="F68" s="72" t="s">
        <v>9509</v>
      </c>
      <c r="G68" s="73" t="s">
        <v>65</v>
      </c>
      <c r="H68" s="74" t="s">
        <v>9510</v>
      </c>
      <c r="I68" s="80" t="s">
        <v>120</v>
      </c>
      <c r="J68" s="76" t="s">
        <v>9511</v>
      </c>
      <c r="K68" s="77" t="s">
        <v>9512</v>
      </c>
    </row>
    <row r="69" spans="1:11" x14ac:dyDescent="0.35">
      <c r="A69" s="78"/>
      <c r="B69" s="78"/>
      <c r="C69" s="78"/>
      <c r="D69" s="78"/>
      <c r="E69" s="77" t="s">
        <v>9513</v>
      </c>
      <c r="F69" s="34"/>
      <c r="G69" s="9"/>
      <c r="H69" s="79"/>
      <c r="I69" s="10"/>
      <c r="J69" s="79"/>
      <c r="K69" s="77" t="s">
        <v>9514</v>
      </c>
    </row>
    <row r="70" spans="1:11" x14ac:dyDescent="0.35">
      <c r="A70" s="78"/>
      <c r="B70" s="78"/>
      <c r="C70" s="78"/>
      <c r="D70" s="70" t="s">
        <v>47</v>
      </c>
      <c r="E70" s="77" t="s">
        <v>9515</v>
      </c>
      <c r="F70" s="72" t="s">
        <v>9516</v>
      </c>
      <c r="G70" s="73" t="s">
        <v>65</v>
      </c>
      <c r="H70" s="74" t="s">
        <v>9517</v>
      </c>
      <c r="I70" s="75" t="s">
        <v>58</v>
      </c>
      <c r="J70" s="76" t="s">
        <v>9518</v>
      </c>
      <c r="K70" s="77" t="s">
        <v>9519</v>
      </c>
    </row>
    <row r="71" spans="1:11" x14ac:dyDescent="0.35">
      <c r="A71" s="78"/>
      <c r="B71" s="78"/>
      <c r="C71" s="78"/>
      <c r="D71" s="78"/>
      <c r="E71" s="77" t="s">
        <v>9520</v>
      </c>
      <c r="F71" s="34"/>
      <c r="G71" s="9"/>
      <c r="H71" s="79"/>
      <c r="I71" s="10"/>
      <c r="J71" s="79"/>
      <c r="K71" s="77" t="s">
        <v>9521</v>
      </c>
    </row>
    <row r="72" spans="1:11" x14ac:dyDescent="0.35">
      <c r="A72" s="78"/>
      <c r="B72" s="78"/>
      <c r="C72" s="78"/>
      <c r="D72" s="70" t="s">
        <v>48</v>
      </c>
      <c r="E72" s="77" t="s">
        <v>9522</v>
      </c>
      <c r="F72" s="72" t="s">
        <v>9523</v>
      </c>
      <c r="G72" s="73" t="s">
        <v>65</v>
      </c>
      <c r="H72" s="74" t="s">
        <v>9524</v>
      </c>
      <c r="I72" s="81" t="s">
        <v>250</v>
      </c>
      <c r="J72" s="76" t="s">
        <v>9504</v>
      </c>
      <c r="K72" s="77" t="s">
        <v>9525</v>
      </c>
    </row>
    <row r="73" spans="1:11" x14ac:dyDescent="0.35">
      <c r="A73" s="78"/>
      <c r="B73" s="78"/>
      <c r="C73" s="78"/>
      <c r="D73" s="78"/>
      <c r="E73" s="77" t="s">
        <v>9526</v>
      </c>
      <c r="F73" s="34"/>
      <c r="G73" s="9"/>
      <c r="H73" s="79"/>
      <c r="I73" s="10"/>
      <c r="J73" s="79"/>
      <c r="K73" s="77" t="s">
        <v>9527</v>
      </c>
    </row>
    <row r="74" spans="1:11" x14ac:dyDescent="0.35">
      <c r="A74" s="78"/>
      <c r="B74" s="78"/>
      <c r="C74" s="78"/>
      <c r="D74" s="70" t="s">
        <v>9528</v>
      </c>
      <c r="E74" s="77" t="s">
        <v>9529</v>
      </c>
      <c r="F74" s="72" t="s">
        <v>9530</v>
      </c>
      <c r="G74" s="73" t="s">
        <v>244</v>
      </c>
      <c r="H74" s="74" t="s">
        <v>9531</v>
      </c>
      <c r="I74" s="75" t="s">
        <v>58</v>
      </c>
      <c r="J74" s="76" t="s">
        <v>9532</v>
      </c>
      <c r="K74" s="77" t="s">
        <v>9533</v>
      </c>
    </row>
    <row r="75" spans="1:11" x14ac:dyDescent="0.35">
      <c r="A75" s="78"/>
      <c r="B75" s="78"/>
      <c r="C75" s="78"/>
      <c r="D75" s="78"/>
      <c r="E75" s="77" t="s">
        <v>9534</v>
      </c>
      <c r="F75" s="34"/>
      <c r="G75" s="9"/>
      <c r="H75" s="79"/>
      <c r="I75" s="10"/>
      <c r="J75" s="79"/>
      <c r="K75" s="77" t="s">
        <v>9535</v>
      </c>
    </row>
    <row r="76" spans="1:11" x14ac:dyDescent="0.35">
      <c r="A76" s="78"/>
      <c r="B76" s="78"/>
      <c r="C76" s="78"/>
      <c r="D76" s="70" t="s">
        <v>49</v>
      </c>
      <c r="E76" s="77" t="s">
        <v>9536</v>
      </c>
      <c r="F76" s="72" t="s">
        <v>9537</v>
      </c>
      <c r="G76" s="73" t="s">
        <v>2545</v>
      </c>
      <c r="H76" s="74" t="s">
        <v>9538</v>
      </c>
      <c r="I76" s="80" t="s">
        <v>120</v>
      </c>
      <c r="J76" s="76" t="s">
        <v>9539</v>
      </c>
      <c r="K76" s="77" t="s">
        <v>9540</v>
      </c>
    </row>
    <row r="77" spans="1:11" x14ac:dyDescent="0.35">
      <c r="A77" s="78"/>
      <c r="B77" s="78"/>
      <c r="C77" s="78"/>
      <c r="D77" s="78"/>
      <c r="E77" s="77" t="s">
        <v>9541</v>
      </c>
      <c r="F77" s="34"/>
      <c r="G77" s="9"/>
      <c r="H77" s="79"/>
      <c r="I77" s="10"/>
      <c r="J77" s="79"/>
      <c r="K77" s="77" t="s">
        <v>9542</v>
      </c>
    </row>
    <row r="78" spans="1:11" x14ac:dyDescent="0.35">
      <c r="A78" s="78"/>
      <c r="B78" s="78"/>
      <c r="C78" s="70" t="s">
        <v>9</v>
      </c>
      <c r="D78" s="70" t="s">
        <v>9543</v>
      </c>
      <c r="E78" s="77" t="s">
        <v>9544</v>
      </c>
      <c r="F78" s="72" t="s">
        <v>9545</v>
      </c>
      <c r="G78" s="73" t="s">
        <v>244</v>
      </c>
      <c r="H78" s="74" t="s">
        <v>9546</v>
      </c>
      <c r="I78" s="75" t="s">
        <v>58</v>
      </c>
      <c r="J78" s="76" t="s">
        <v>9547</v>
      </c>
      <c r="K78" s="77" t="s">
        <v>9548</v>
      </c>
    </row>
    <row r="79" spans="1:11" x14ac:dyDescent="0.35">
      <c r="A79" s="78"/>
      <c r="B79" s="78"/>
      <c r="C79" s="78"/>
      <c r="D79" s="78"/>
      <c r="E79" s="77" t="s">
        <v>9549</v>
      </c>
      <c r="F79" s="34"/>
      <c r="G79" s="9"/>
      <c r="H79" s="79"/>
      <c r="I79" s="10"/>
      <c r="J79" s="79"/>
      <c r="K79" s="77" t="s">
        <v>9550</v>
      </c>
    </row>
    <row r="80" spans="1:11" x14ac:dyDescent="0.35">
      <c r="A80" s="78"/>
      <c r="B80" s="78"/>
      <c r="C80" s="78"/>
      <c r="D80" s="70" t="s">
        <v>9551</v>
      </c>
      <c r="E80" s="77" t="s">
        <v>9552</v>
      </c>
      <c r="F80" s="72" t="s">
        <v>9553</v>
      </c>
      <c r="G80" s="73" t="s">
        <v>244</v>
      </c>
      <c r="H80" s="74" t="s">
        <v>9554</v>
      </c>
      <c r="I80" s="81" t="s">
        <v>250</v>
      </c>
      <c r="J80" s="76" t="s">
        <v>9555</v>
      </c>
      <c r="K80" s="77" t="s">
        <v>9556</v>
      </c>
    </row>
    <row r="81" spans="1:11" x14ac:dyDescent="0.35">
      <c r="A81" s="78"/>
      <c r="B81" s="78"/>
      <c r="C81" s="78"/>
      <c r="D81" s="78"/>
      <c r="E81" s="77" t="s">
        <v>9557</v>
      </c>
      <c r="F81" s="34"/>
      <c r="G81" s="9"/>
      <c r="H81" s="79"/>
      <c r="I81" s="10"/>
      <c r="J81" s="79"/>
      <c r="K81" s="77" t="s">
        <v>9558</v>
      </c>
    </row>
    <row r="82" spans="1:11" x14ac:dyDescent="0.35">
      <c r="A82" s="78"/>
      <c r="B82" s="78"/>
      <c r="C82" s="78"/>
      <c r="D82" s="70" t="s">
        <v>9559</v>
      </c>
      <c r="E82" s="77" t="s">
        <v>9560</v>
      </c>
      <c r="F82" s="72" t="s">
        <v>9561</v>
      </c>
      <c r="G82" s="73" t="s">
        <v>65</v>
      </c>
      <c r="H82" s="74" t="s">
        <v>9562</v>
      </c>
      <c r="I82" s="75" t="s">
        <v>58</v>
      </c>
      <c r="J82" s="76" t="s">
        <v>9563</v>
      </c>
      <c r="K82" s="77" t="s">
        <v>9564</v>
      </c>
    </row>
    <row r="83" spans="1:11" x14ac:dyDescent="0.35">
      <c r="A83" s="78"/>
      <c r="B83" s="78"/>
      <c r="C83" s="78"/>
      <c r="D83" s="78"/>
      <c r="E83" s="77" t="s">
        <v>9565</v>
      </c>
      <c r="F83" s="34"/>
      <c r="G83" s="9"/>
      <c r="H83" s="79"/>
      <c r="I83" s="10"/>
      <c r="J83" s="79"/>
      <c r="K83" s="77" t="s">
        <v>9566</v>
      </c>
    </row>
    <row r="84" spans="1:11" x14ac:dyDescent="0.35">
      <c r="A84" s="78"/>
      <c r="B84" s="78"/>
      <c r="C84" s="78"/>
      <c r="D84" s="70" t="s">
        <v>50</v>
      </c>
      <c r="E84" s="77" t="s">
        <v>9567</v>
      </c>
      <c r="F84" s="72" t="s">
        <v>9568</v>
      </c>
      <c r="G84" s="73" t="s">
        <v>65</v>
      </c>
      <c r="H84" s="74" t="s">
        <v>9569</v>
      </c>
      <c r="I84" s="80" t="s">
        <v>120</v>
      </c>
      <c r="J84" s="76" t="s">
        <v>9570</v>
      </c>
      <c r="K84" s="77" t="s">
        <v>9571</v>
      </c>
    </row>
    <row r="85" spans="1:11" x14ac:dyDescent="0.35">
      <c r="A85" s="78"/>
      <c r="B85" s="78"/>
      <c r="C85" s="78"/>
      <c r="D85" s="78"/>
      <c r="E85" s="77" t="s">
        <v>9572</v>
      </c>
      <c r="F85" s="34"/>
      <c r="G85" s="9"/>
      <c r="H85" s="79"/>
      <c r="I85" s="10"/>
      <c r="J85" s="79"/>
      <c r="K85" s="77" t="s">
        <v>9573</v>
      </c>
    </row>
    <row r="86" spans="1:11" x14ac:dyDescent="0.35">
      <c r="A86" s="78"/>
      <c r="B86" s="78"/>
      <c r="C86" s="78"/>
      <c r="D86" s="70" t="s">
        <v>9574</v>
      </c>
      <c r="E86" s="77" t="s">
        <v>215</v>
      </c>
      <c r="F86" s="72" t="s">
        <v>9575</v>
      </c>
      <c r="G86" s="73" t="s">
        <v>65</v>
      </c>
      <c r="H86" s="74" t="s">
        <v>9576</v>
      </c>
      <c r="I86" s="75" t="s">
        <v>58</v>
      </c>
      <c r="J86" s="76" t="s">
        <v>9563</v>
      </c>
      <c r="K86" s="77" t="s">
        <v>9577</v>
      </c>
    </row>
    <row r="87" spans="1:11" x14ac:dyDescent="0.35">
      <c r="A87" s="78"/>
      <c r="B87" s="78"/>
      <c r="C87" s="78"/>
      <c r="D87" s="78"/>
      <c r="E87" s="77" t="s">
        <v>9578</v>
      </c>
      <c r="F87" s="34"/>
      <c r="G87" s="9"/>
      <c r="H87" s="79"/>
      <c r="I87" s="10"/>
      <c r="J87" s="79"/>
      <c r="K87" s="77" t="s">
        <v>9579</v>
      </c>
    </row>
    <row r="88" spans="1:11" x14ac:dyDescent="0.35">
      <c r="A88" s="78"/>
      <c r="B88" s="78"/>
      <c r="C88" s="70" t="s">
        <v>10</v>
      </c>
      <c r="D88" s="70" t="s">
        <v>9580</v>
      </c>
      <c r="E88" s="77" t="s">
        <v>9581</v>
      </c>
      <c r="F88" s="72" t="s">
        <v>9582</v>
      </c>
      <c r="G88" s="73" t="s">
        <v>244</v>
      </c>
      <c r="H88" s="74" t="s">
        <v>9583</v>
      </c>
      <c r="I88" s="81" t="s">
        <v>250</v>
      </c>
      <c r="J88" s="76" t="s">
        <v>9584</v>
      </c>
      <c r="K88" s="77" t="s">
        <v>9585</v>
      </c>
    </row>
    <row r="89" spans="1:11" x14ac:dyDescent="0.35">
      <c r="A89" s="78"/>
      <c r="B89" s="78"/>
      <c r="C89" s="78"/>
      <c r="D89" s="78"/>
      <c r="E89" s="77" t="s">
        <v>9586</v>
      </c>
      <c r="F89" s="34"/>
      <c r="G89" s="9"/>
      <c r="H89" s="79"/>
      <c r="I89" s="10"/>
      <c r="J89" s="79"/>
      <c r="K89" s="77" t="s">
        <v>9587</v>
      </c>
    </row>
    <row r="90" spans="1:11" x14ac:dyDescent="0.35">
      <c r="A90" s="78"/>
      <c r="B90" s="78"/>
      <c r="C90" s="78"/>
      <c r="D90" s="70" t="s">
        <v>51</v>
      </c>
      <c r="E90" s="77" t="s">
        <v>9588</v>
      </c>
      <c r="F90" s="72" t="s">
        <v>9589</v>
      </c>
      <c r="G90" s="73" t="s">
        <v>2545</v>
      </c>
      <c r="H90" s="74" t="s">
        <v>9590</v>
      </c>
      <c r="I90" s="75" t="s">
        <v>58</v>
      </c>
      <c r="J90" s="76" t="s">
        <v>9591</v>
      </c>
      <c r="K90" s="77" t="s">
        <v>9592</v>
      </c>
    </row>
    <row r="91" spans="1:11" x14ac:dyDescent="0.35">
      <c r="A91" s="78"/>
      <c r="B91" s="78"/>
      <c r="C91" s="78"/>
      <c r="D91" s="78"/>
      <c r="E91" s="77" t="s">
        <v>9593</v>
      </c>
      <c r="F91" s="34"/>
      <c r="G91" s="9"/>
      <c r="H91" s="79"/>
      <c r="I91" s="10"/>
      <c r="J91" s="79"/>
      <c r="K91" s="77" t="s">
        <v>9594</v>
      </c>
    </row>
    <row r="92" spans="1:11" x14ac:dyDescent="0.35">
      <c r="A92" s="78"/>
      <c r="B92" s="78"/>
      <c r="C92" s="78"/>
      <c r="D92" s="70" t="s">
        <v>9595</v>
      </c>
      <c r="E92" s="77" t="s">
        <v>9596</v>
      </c>
      <c r="F92" s="72" t="s">
        <v>9597</v>
      </c>
      <c r="G92" s="73" t="s">
        <v>244</v>
      </c>
      <c r="H92" s="74" t="s">
        <v>9598</v>
      </c>
      <c r="I92" s="80" t="s">
        <v>120</v>
      </c>
      <c r="J92" s="76" t="s">
        <v>9599</v>
      </c>
      <c r="K92" s="77" t="s">
        <v>9600</v>
      </c>
    </row>
    <row r="93" spans="1:11" x14ac:dyDescent="0.35">
      <c r="A93" s="78"/>
      <c r="B93" s="78"/>
      <c r="C93" s="78"/>
      <c r="D93" s="78"/>
      <c r="E93" s="77" t="s">
        <v>9601</v>
      </c>
      <c r="F93" s="34"/>
      <c r="G93" s="9"/>
      <c r="H93" s="79"/>
      <c r="I93" s="10"/>
      <c r="J93" s="79"/>
      <c r="K93" s="77" t="s">
        <v>9602</v>
      </c>
    </row>
    <row r="94" spans="1:11" x14ac:dyDescent="0.35">
      <c r="A94" s="78"/>
      <c r="B94" s="78"/>
      <c r="C94" s="78"/>
      <c r="D94" s="70" t="s">
        <v>9603</v>
      </c>
      <c r="E94" s="77" t="s">
        <v>9604</v>
      </c>
      <c r="F94" s="72" t="s">
        <v>9605</v>
      </c>
      <c r="G94" s="73" t="s">
        <v>244</v>
      </c>
      <c r="H94" s="74" t="s">
        <v>9606</v>
      </c>
      <c r="I94" s="75" t="s">
        <v>58</v>
      </c>
      <c r="J94" s="76" t="s">
        <v>9607</v>
      </c>
      <c r="K94" s="77" t="s">
        <v>9608</v>
      </c>
    </row>
    <row r="95" spans="1:11" x14ac:dyDescent="0.35">
      <c r="A95" s="78"/>
      <c r="B95" s="78"/>
      <c r="C95" s="78"/>
      <c r="D95" s="78"/>
      <c r="E95" s="77" t="s">
        <v>9609</v>
      </c>
      <c r="F95" s="34"/>
      <c r="G95" s="9"/>
      <c r="H95" s="79"/>
      <c r="I95" s="10"/>
      <c r="J95" s="79"/>
      <c r="K95" s="77" t="s">
        <v>9610</v>
      </c>
    </row>
    <row r="96" spans="1:11" x14ac:dyDescent="0.35">
      <c r="A96" s="78"/>
      <c r="B96" s="78"/>
      <c r="C96" s="78"/>
      <c r="D96" s="70" t="s">
        <v>9611</v>
      </c>
      <c r="E96" s="77" t="s">
        <v>9612</v>
      </c>
      <c r="F96" s="72" t="s">
        <v>9613</v>
      </c>
      <c r="G96" s="73" t="s">
        <v>65</v>
      </c>
      <c r="H96" s="74" t="s">
        <v>9614</v>
      </c>
      <c r="I96" s="81" t="s">
        <v>250</v>
      </c>
      <c r="J96" s="76" t="s">
        <v>9615</v>
      </c>
      <c r="K96" s="77" t="s">
        <v>9616</v>
      </c>
    </row>
    <row r="97" spans="1:11" x14ac:dyDescent="0.35">
      <c r="A97" s="78"/>
      <c r="B97" s="78"/>
      <c r="C97" s="78"/>
      <c r="D97" s="78"/>
      <c r="E97" s="77" t="s">
        <v>9617</v>
      </c>
      <c r="F97" s="34"/>
      <c r="G97" s="9"/>
      <c r="H97" s="79"/>
      <c r="I97" s="10"/>
      <c r="J97" s="79"/>
      <c r="K97" s="77" t="s">
        <v>9618</v>
      </c>
    </row>
    <row r="98" spans="1:11" x14ac:dyDescent="0.35">
      <c r="A98" s="78"/>
      <c r="B98" s="78"/>
      <c r="C98" s="70" t="s">
        <v>9619</v>
      </c>
      <c r="D98" s="70" t="s">
        <v>52</v>
      </c>
      <c r="E98" s="77" t="s">
        <v>9620</v>
      </c>
      <c r="F98" s="72" t="s">
        <v>9621</v>
      </c>
      <c r="G98" s="73" t="s">
        <v>65</v>
      </c>
      <c r="H98" s="74" t="s">
        <v>9622</v>
      </c>
      <c r="I98" s="75" t="s">
        <v>58</v>
      </c>
      <c r="J98" s="76" t="s">
        <v>9623</v>
      </c>
      <c r="K98" s="77" t="s">
        <v>9624</v>
      </c>
    </row>
    <row r="99" spans="1:11" x14ac:dyDescent="0.35">
      <c r="A99" s="78"/>
      <c r="B99" s="78"/>
      <c r="C99" s="78"/>
      <c r="D99" s="78"/>
      <c r="E99" s="77" t="s">
        <v>9625</v>
      </c>
      <c r="F99" s="34"/>
      <c r="G99" s="9"/>
      <c r="H99" s="79"/>
      <c r="I99" s="10"/>
      <c r="J99" s="79"/>
      <c r="K99" s="77" t="s">
        <v>9626</v>
      </c>
    </row>
    <row r="100" spans="1:11" x14ac:dyDescent="0.35">
      <c r="A100" s="78"/>
      <c r="B100" s="78"/>
      <c r="C100" s="78"/>
      <c r="D100" s="70" t="s">
        <v>53</v>
      </c>
      <c r="E100" s="77" t="s">
        <v>9627</v>
      </c>
      <c r="F100" s="72" t="s">
        <v>9628</v>
      </c>
      <c r="G100" s="73" t="s">
        <v>65</v>
      </c>
      <c r="H100" s="74" t="s">
        <v>9629</v>
      </c>
      <c r="I100" s="80" t="s">
        <v>120</v>
      </c>
      <c r="J100" s="76" t="s">
        <v>9630</v>
      </c>
      <c r="K100" s="77" t="s">
        <v>9631</v>
      </c>
    </row>
    <row r="101" spans="1:11" x14ac:dyDescent="0.35">
      <c r="A101" s="78"/>
      <c r="B101" s="78"/>
      <c r="C101" s="78"/>
      <c r="D101" s="78"/>
      <c r="E101" s="77" t="s">
        <v>9632</v>
      </c>
      <c r="F101" s="34"/>
      <c r="G101" s="9"/>
      <c r="H101" s="79"/>
      <c r="I101" s="10"/>
      <c r="J101" s="79"/>
      <c r="K101" s="77" t="s">
        <v>9633</v>
      </c>
    </row>
    <row r="102" spans="1:11" x14ac:dyDescent="0.35">
      <c r="A102" s="78"/>
      <c r="B102" s="78"/>
      <c r="C102" s="78"/>
      <c r="D102" s="70" t="s">
        <v>46</v>
      </c>
      <c r="E102" s="77" t="s">
        <v>9634</v>
      </c>
      <c r="F102" s="72" t="s">
        <v>9635</v>
      </c>
      <c r="G102" s="73" t="s">
        <v>244</v>
      </c>
      <c r="H102" s="74" t="s">
        <v>9636</v>
      </c>
      <c r="I102" s="75" t="s">
        <v>58</v>
      </c>
      <c r="J102" s="76" t="s">
        <v>9637</v>
      </c>
      <c r="K102" s="77" t="s">
        <v>9638</v>
      </c>
    </row>
    <row r="103" spans="1:11" x14ac:dyDescent="0.35">
      <c r="A103" s="78"/>
      <c r="B103" s="78"/>
      <c r="C103" s="78"/>
      <c r="D103" s="78"/>
      <c r="E103" s="77" t="s">
        <v>9639</v>
      </c>
      <c r="F103" s="34"/>
      <c r="G103" s="9"/>
      <c r="H103" s="79"/>
      <c r="I103" s="10"/>
      <c r="J103" s="79"/>
      <c r="K103" s="77" t="s">
        <v>9640</v>
      </c>
    </row>
    <row r="104" spans="1:11" x14ac:dyDescent="0.35">
      <c r="A104" s="78"/>
      <c r="B104" s="78"/>
      <c r="C104" s="78"/>
      <c r="D104" s="70" t="s">
        <v>47</v>
      </c>
      <c r="E104" s="77" t="s">
        <v>9641</v>
      </c>
      <c r="F104" s="72" t="s">
        <v>9642</v>
      </c>
      <c r="G104" s="73" t="s">
        <v>2545</v>
      </c>
      <c r="H104" s="74" t="s">
        <v>9643</v>
      </c>
      <c r="I104" s="81" t="s">
        <v>250</v>
      </c>
      <c r="J104" s="76" t="s">
        <v>9644</v>
      </c>
      <c r="K104" s="77" t="s">
        <v>9645</v>
      </c>
    </row>
    <row r="105" spans="1:11" x14ac:dyDescent="0.35">
      <c r="A105" s="78"/>
      <c r="B105" s="78"/>
      <c r="C105" s="78"/>
      <c r="D105" s="78"/>
      <c r="E105" s="77" t="s">
        <v>9646</v>
      </c>
      <c r="F105" s="34"/>
      <c r="G105" s="9"/>
      <c r="H105" s="79"/>
      <c r="I105" s="10"/>
      <c r="J105" s="79"/>
      <c r="K105" s="77" t="s">
        <v>9647</v>
      </c>
    </row>
    <row r="106" spans="1:11" x14ac:dyDescent="0.35">
      <c r="A106" s="78"/>
      <c r="B106" s="78"/>
      <c r="C106" s="78"/>
      <c r="D106" s="70" t="s">
        <v>54</v>
      </c>
      <c r="E106" s="77" t="s">
        <v>9648</v>
      </c>
      <c r="F106" s="72" t="s">
        <v>9649</v>
      </c>
      <c r="G106" s="73" t="s">
        <v>244</v>
      </c>
      <c r="H106" s="74" t="s">
        <v>9650</v>
      </c>
      <c r="I106" s="75" t="s">
        <v>58</v>
      </c>
      <c r="J106" s="76" t="s">
        <v>9651</v>
      </c>
      <c r="K106" s="77" t="s">
        <v>9652</v>
      </c>
    </row>
    <row r="107" spans="1:11" x14ac:dyDescent="0.35">
      <c r="A107" s="78"/>
      <c r="B107" s="78"/>
      <c r="C107" s="78"/>
      <c r="D107" s="78"/>
      <c r="E107" s="77" t="s">
        <v>9653</v>
      </c>
      <c r="F107" s="34"/>
      <c r="G107" s="9"/>
      <c r="H107" s="79"/>
      <c r="I107" s="10"/>
      <c r="J107" s="79"/>
      <c r="K107" s="77" t="s">
        <v>9654</v>
      </c>
    </row>
    <row r="108" spans="1:11" x14ac:dyDescent="0.35">
      <c r="A108" s="78"/>
      <c r="B108" s="78"/>
      <c r="C108" s="78"/>
      <c r="D108" s="70" t="s">
        <v>9655</v>
      </c>
      <c r="E108" s="77" t="s">
        <v>9656</v>
      </c>
      <c r="F108" s="72" t="s">
        <v>9657</v>
      </c>
      <c r="G108" s="73" t="s">
        <v>244</v>
      </c>
      <c r="H108" s="74" t="s">
        <v>9658</v>
      </c>
      <c r="I108" s="80" t="s">
        <v>120</v>
      </c>
      <c r="J108" s="76" t="s">
        <v>9659</v>
      </c>
      <c r="K108" s="77" t="s">
        <v>9660</v>
      </c>
    </row>
    <row r="109" spans="1:11" x14ac:dyDescent="0.35">
      <c r="A109" s="78"/>
      <c r="B109" s="78"/>
      <c r="C109" s="78"/>
      <c r="D109" s="78"/>
      <c r="E109" s="77" t="s">
        <v>9661</v>
      </c>
      <c r="F109" s="34"/>
      <c r="G109" s="9"/>
      <c r="H109" s="79"/>
      <c r="I109" s="10"/>
      <c r="J109" s="79"/>
      <c r="K109" s="77" t="s">
        <v>9662</v>
      </c>
    </row>
    <row r="110" spans="1:11" x14ac:dyDescent="0.35">
      <c r="A110" s="78"/>
      <c r="B110" s="69" t="s">
        <v>1</v>
      </c>
      <c r="C110" s="70" t="s">
        <v>9663</v>
      </c>
      <c r="D110" s="70" t="s">
        <v>9664</v>
      </c>
      <c r="E110" s="71" t="s">
        <v>9665</v>
      </c>
      <c r="F110" s="72" t="s">
        <v>9666</v>
      </c>
      <c r="G110" s="73" t="s">
        <v>65</v>
      </c>
      <c r="H110" s="74" t="s">
        <v>9667</v>
      </c>
      <c r="I110" s="75" t="s">
        <v>58</v>
      </c>
      <c r="J110" s="76" t="s">
        <v>9668</v>
      </c>
      <c r="K110" s="77" t="s">
        <v>9669</v>
      </c>
    </row>
    <row r="111" spans="1:11" x14ac:dyDescent="0.35">
      <c r="A111" s="78"/>
      <c r="B111" s="78"/>
      <c r="C111" s="78"/>
      <c r="D111" s="78"/>
      <c r="E111" s="71" t="s">
        <v>9670</v>
      </c>
      <c r="F111" s="34"/>
      <c r="G111" s="9"/>
      <c r="H111" s="79"/>
      <c r="I111" s="10"/>
      <c r="J111" s="79"/>
      <c r="K111" s="77" t="s">
        <v>9671</v>
      </c>
    </row>
    <row r="112" spans="1:11" x14ac:dyDescent="0.35">
      <c r="A112" s="78"/>
      <c r="B112" s="78"/>
      <c r="C112" s="78"/>
      <c r="D112" s="70" t="s">
        <v>9672</v>
      </c>
      <c r="E112" s="71" t="s">
        <v>9529</v>
      </c>
      <c r="F112" s="72" t="s">
        <v>9673</v>
      </c>
      <c r="G112" s="73" t="s">
        <v>65</v>
      </c>
      <c r="H112" s="74" t="s">
        <v>9674</v>
      </c>
      <c r="I112" s="81" t="s">
        <v>250</v>
      </c>
      <c r="J112" s="76" t="s">
        <v>9675</v>
      </c>
      <c r="K112" s="77" t="s">
        <v>9676</v>
      </c>
    </row>
    <row r="113" spans="1:11" x14ac:dyDescent="0.35">
      <c r="A113" s="78"/>
      <c r="B113" s="78"/>
      <c r="C113" s="78"/>
      <c r="D113" s="78"/>
      <c r="E113" s="71" t="s">
        <v>9661</v>
      </c>
      <c r="F113" s="34"/>
      <c r="G113" s="9"/>
      <c r="H113" s="79"/>
      <c r="I113" s="10"/>
      <c r="J113" s="79"/>
      <c r="K113" s="77" t="s">
        <v>9677</v>
      </c>
    </row>
    <row r="114" spans="1:11" x14ac:dyDescent="0.35">
      <c r="A114" s="78"/>
      <c r="B114" s="78"/>
      <c r="C114" s="78"/>
      <c r="D114" s="70" t="s">
        <v>9678</v>
      </c>
      <c r="E114" s="71" t="s">
        <v>9679</v>
      </c>
      <c r="F114" s="72" t="s">
        <v>9680</v>
      </c>
      <c r="G114" s="73" t="s">
        <v>65</v>
      </c>
      <c r="H114" s="74" t="s">
        <v>9681</v>
      </c>
      <c r="I114" s="75" t="s">
        <v>58</v>
      </c>
      <c r="J114" s="76" t="s">
        <v>9682</v>
      </c>
      <c r="K114" s="77" t="s">
        <v>9683</v>
      </c>
    </row>
    <row r="115" spans="1:11" x14ac:dyDescent="0.35">
      <c r="A115" s="78"/>
      <c r="B115" s="78"/>
      <c r="C115" s="78"/>
      <c r="D115" s="78"/>
      <c r="E115" s="71" t="s">
        <v>9684</v>
      </c>
      <c r="F115" s="34"/>
      <c r="G115" s="9"/>
      <c r="H115" s="79"/>
      <c r="I115" s="10"/>
      <c r="J115" s="79"/>
      <c r="K115" s="77" t="s">
        <v>9685</v>
      </c>
    </row>
    <row r="116" spans="1:11" x14ac:dyDescent="0.35">
      <c r="A116" s="78"/>
      <c r="B116" s="78"/>
      <c r="C116" s="78"/>
      <c r="D116" s="70" t="s">
        <v>9686</v>
      </c>
      <c r="E116" s="71" t="s">
        <v>9687</v>
      </c>
      <c r="F116" s="72" t="s">
        <v>9688</v>
      </c>
      <c r="G116" s="73" t="s">
        <v>244</v>
      </c>
      <c r="H116" s="74" t="s">
        <v>9689</v>
      </c>
      <c r="I116" s="80" t="s">
        <v>120</v>
      </c>
      <c r="J116" s="76" t="s">
        <v>9690</v>
      </c>
      <c r="K116" s="77" t="s">
        <v>9691</v>
      </c>
    </row>
    <row r="117" spans="1:11" x14ac:dyDescent="0.35">
      <c r="A117" s="78"/>
      <c r="B117" s="78"/>
      <c r="C117" s="78"/>
      <c r="D117" s="78"/>
      <c r="E117" s="71" t="s">
        <v>9692</v>
      </c>
      <c r="F117" s="34"/>
      <c r="G117" s="9"/>
      <c r="H117" s="79"/>
      <c r="I117" s="10"/>
      <c r="J117" s="79"/>
      <c r="K117" s="77" t="s">
        <v>9693</v>
      </c>
    </row>
    <row r="118" spans="1:11" x14ac:dyDescent="0.35">
      <c r="A118" s="78"/>
      <c r="B118" s="78"/>
      <c r="C118" s="78"/>
      <c r="D118" s="70" t="s">
        <v>9694</v>
      </c>
      <c r="E118" s="65" t="s">
        <v>9695</v>
      </c>
      <c r="F118" s="72" t="s">
        <v>9696</v>
      </c>
      <c r="G118" s="73" t="s">
        <v>2545</v>
      </c>
      <c r="H118" s="74" t="s">
        <v>9697</v>
      </c>
      <c r="I118" s="75" t="s">
        <v>58</v>
      </c>
      <c r="J118" s="76" t="s">
        <v>9644</v>
      </c>
      <c r="K118" s="77" t="s">
        <v>9698</v>
      </c>
    </row>
    <row r="119" spans="1:11" x14ac:dyDescent="0.35">
      <c r="A119" s="78"/>
      <c r="B119" s="78"/>
      <c r="C119" s="78"/>
      <c r="D119" s="78"/>
      <c r="E119" s="65" t="s">
        <v>9699</v>
      </c>
      <c r="F119" s="34"/>
      <c r="G119" s="9"/>
      <c r="H119" s="79"/>
      <c r="I119" s="10"/>
      <c r="J119" s="79"/>
      <c r="K119" s="77" t="s">
        <v>9700</v>
      </c>
    </row>
    <row r="120" spans="1:11" x14ac:dyDescent="0.35">
      <c r="A120" s="78"/>
      <c r="B120" s="78"/>
      <c r="C120" s="70" t="s">
        <v>11</v>
      </c>
      <c r="D120" s="70" t="s">
        <v>9701</v>
      </c>
      <c r="E120" s="82" t="s">
        <v>9702</v>
      </c>
      <c r="F120" s="72" t="s">
        <v>9703</v>
      </c>
      <c r="G120" s="73" t="s">
        <v>244</v>
      </c>
      <c r="H120" s="74" t="s">
        <v>9704</v>
      </c>
      <c r="I120" s="81" t="s">
        <v>250</v>
      </c>
      <c r="J120" s="76" t="s">
        <v>9705</v>
      </c>
      <c r="K120" s="77" t="s">
        <v>9706</v>
      </c>
    </row>
    <row r="121" spans="1:11" x14ac:dyDescent="0.35">
      <c r="A121" s="78"/>
      <c r="B121" s="78"/>
      <c r="C121" s="78"/>
      <c r="D121" s="78"/>
      <c r="E121" s="82" t="s">
        <v>9707</v>
      </c>
      <c r="F121" s="34"/>
      <c r="G121" s="9"/>
      <c r="H121" s="79"/>
      <c r="I121" s="10"/>
      <c r="J121" s="79"/>
      <c r="K121" s="77" t="s">
        <v>9708</v>
      </c>
    </row>
    <row r="122" spans="1:11" x14ac:dyDescent="0.35">
      <c r="A122" s="78"/>
      <c r="B122" s="78"/>
      <c r="C122" s="78"/>
      <c r="D122" s="70" t="s">
        <v>9709</v>
      </c>
      <c r="E122" s="82" t="s">
        <v>9710</v>
      </c>
      <c r="F122" s="72" t="s">
        <v>9711</v>
      </c>
      <c r="G122" s="73" t="s">
        <v>244</v>
      </c>
      <c r="H122" s="74" t="s">
        <v>9712</v>
      </c>
      <c r="I122" s="75" t="s">
        <v>58</v>
      </c>
      <c r="J122" s="76" t="s">
        <v>9713</v>
      </c>
      <c r="K122" s="77" t="s">
        <v>9714</v>
      </c>
    </row>
    <row r="123" spans="1:11" x14ac:dyDescent="0.35">
      <c r="A123" s="78"/>
      <c r="B123" s="78"/>
      <c r="C123" s="78"/>
      <c r="D123" s="78"/>
      <c r="E123" s="82" t="s">
        <v>9715</v>
      </c>
      <c r="F123" s="34"/>
      <c r="G123" s="9"/>
      <c r="H123" s="79"/>
      <c r="I123" s="10"/>
      <c r="J123" s="79"/>
      <c r="K123" s="77" t="s">
        <v>9716</v>
      </c>
    </row>
    <row r="124" spans="1:11" x14ac:dyDescent="0.35">
      <c r="A124" s="78"/>
      <c r="B124" s="78"/>
      <c r="C124" s="78"/>
      <c r="D124" s="70" t="s">
        <v>9717</v>
      </c>
      <c r="E124" s="71" t="s">
        <v>9718</v>
      </c>
      <c r="F124" s="72" t="s">
        <v>9719</v>
      </c>
      <c r="G124" s="73" t="s">
        <v>65</v>
      </c>
      <c r="H124" s="74" t="s">
        <v>9720</v>
      </c>
      <c r="I124" s="80" t="s">
        <v>120</v>
      </c>
      <c r="J124" s="76" t="s">
        <v>9721</v>
      </c>
      <c r="K124" s="77" t="s">
        <v>9722</v>
      </c>
    </row>
    <row r="125" spans="1:11" x14ac:dyDescent="0.35">
      <c r="A125" s="78"/>
      <c r="B125" s="78"/>
      <c r="C125" s="78"/>
      <c r="D125" s="78"/>
      <c r="E125" s="82" t="s">
        <v>9723</v>
      </c>
      <c r="F125" s="34"/>
      <c r="G125" s="9"/>
      <c r="H125" s="79"/>
      <c r="I125" s="10"/>
      <c r="J125" s="79"/>
      <c r="K125" s="77" t="s">
        <v>9724</v>
      </c>
    </row>
    <row r="126" spans="1:11" x14ac:dyDescent="0.35">
      <c r="A126" s="78"/>
      <c r="B126" s="78"/>
      <c r="C126" s="78"/>
      <c r="D126" s="70" t="s">
        <v>9725</v>
      </c>
      <c r="E126" s="77" t="s">
        <v>9726</v>
      </c>
      <c r="F126" s="72" t="s">
        <v>9727</v>
      </c>
      <c r="G126" s="73" t="s">
        <v>65</v>
      </c>
      <c r="H126" s="74" t="s">
        <v>9728</v>
      </c>
      <c r="I126" s="75" t="s">
        <v>58</v>
      </c>
      <c r="J126" s="76" t="s">
        <v>9729</v>
      </c>
      <c r="K126" s="77" t="s">
        <v>9730</v>
      </c>
    </row>
    <row r="127" spans="1:11" x14ac:dyDescent="0.35">
      <c r="A127" s="78"/>
      <c r="B127" s="78"/>
      <c r="C127" s="78"/>
      <c r="D127" s="78"/>
      <c r="E127" s="77" t="s">
        <v>9731</v>
      </c>
      <c r="F127" s="34"/>
      <c r="G127" s="9"/>
      <c r="H127" s="79"/>
      <c r="I127" s="10"/>
      <c r="J127" s="79"/>
      <c r="K127" s="77" t="s">
        <v>9732</v>
      </c>
    </row>
    <row r="128" spans="1:11" x14ac:dyDescent="0.35">
      <c r="A128" s="78"/>
      <c r="B128" s="78"/>
      <c r="C128" s="78"/>
      <c r="D128" s="70" t="s">
        <v>9733</v>
      </c>
      <c r="E128" s="77" t="s">
        <v>9734</v>
      </c>
      <c r="F128" s="72" t="s">
        <v>9735</v>
      </c>
      <c r="G128" s="73" t="s">
        <v>65</v>
      </c>
      <c r="H128" s="74" t="s">
        <v>9736</v>
      </c>
      <c r="I128" s="81" t="s">
        <v>250</v>
      </c>
      <c r="J128" s="76" t="s">
        <v>9737</v>
      </c>
      <c r="K128" s="77" t="s">
        <v>9738</v>
      </c>
    </row>
    <row r="129" spans="1:11" x14ac:dyDescent="0.35">
      <c r="A129" s="78"/>
      <c r="B129" s="78"/>
      <c r="C129" s="78"/>
      <c r="D129" s="78"/>
      <c r="E129" s="77" t="s">
        <v>9739</v>
      </c>
      <c r="F129" s="34"/>
      <c r="G129" s="9"/>
      <c r="H129" s="79"/>
      <c r="I129" s="10"/>
      <c r="J129" s="79"/>
      <c r="K129" s="77" t="s">
        <v>9740</v>
      </c>
    </row>
    <row r="130" spans="1:11" x14ac:dyDescent="0.35">
      <c r="A130" s="78"/>
      <c r="B130" s="78"/>
      <c r="C130" s="70" t="s">
        <v>9741</v>
      </c>
      <c r="D130" s="70" t="s">
        <v>9742</v>
      </c>
      <c r="E130" s="77" t="s">
        <v>9743</v>
      </c>
      <c r="F130" s="72" t="s">
        <v>9744</v>
      </c>
      <c r="G130" s="73" t="s">
        <v>244</v>
      </c>
      <c r="H130" s="74" t="s">
        <v>9745</v>
      </c>
      <c r="I130" s="75" t="s">
        <v>58</v>
      </c>
      <c r="J130" s="76" t="s">
        <v>9746</v>
      </c>
      <c r="K130" s="77" t="s">
        <v>9747</v>
      </c>
    </row>
    <row r="131" spans="1:11" x14ac:dyDescent="0.35">
      <c r="A131" s="78"/>
      <c r="B131" s="78"/>
      <c r="C131" s="78"/>
      <c r="D131" s="78"/>
      <c r="E131" s="77" t="s">
        <v>9748</v>
      </c>
      <c r="F131" s="34"/>
      <c r="G131" s="9"/>
      <c r="H131" s="79"/>
      <c r="I131" s="10"/>
      <c r="J131" s="79"/>
      <c r="K131" s="77" t="s">
        <v>9749</v>
      </c>
    </row>
    <row r="132" spans="1:11" x14ac:dyDescent="0.35">
      <c r="A132" s="78"/>
      <c r="B132" s="78"/>
      <c r="C132" s="78"/>
      <c r="D132" s="70" t="s">
        <v>9750</v>
      </c>
      <c r="E132" s="77" t="s">
        <v>9751</v>
      </c>
      <c r="F132" s="72" t="s">
        <v>9752</v>
      </c>
      <c r="G132" s="73" t="s">
        <v>2545</v>
      </c>
      <c r="H132" s="74" t="s">
        <v>9753</v>
      </c>
      <c r="I132" s="80" t="s">
        <v>120</v>
      </c>
      <c r="J132" s="76" t="s">
        <v>9754</v>
      </c>
      <c r="K132" s="77" t="s">
        <v>9755</v>
      </c>
    </row>
    <row r="133" spans="1:11" x14ac:dyDescent="0.35">
      <c r="A133" s="78"/>
      <c r="B133" s="78"/>
      <c r="C133" s="78"/>
      <c r="D133" s="78"/>
      <c r="E133" s="77" t="s">
        <v>9756</v>
      </c>
      <c r="F133" s="34"/>
      <c r="G133" s="9"/>
      <c r="H133" s="79"/>
      <c r="I133" s="10"/>
      <c r="J133" s="79"/>
      <c r="K133" s="77" t="s">
        <v>9757</v>
      </c>
    </row>
    <row r="134" spans="1:11" x14ac:dyDescent="0.35">
      <c r="A134" s="78"/>
      <c r="B134" s="78"/>
      <c r="C134" s="78"/>
      <c r="D134" s="70" t="s">
        <v>9758</v>
      </c>
      <c r="E134" s="77" t="s">
        <v>9759</v>
      </c>
      <c r="F134" s="72" t="s">
        <v>9760</v>
      </c>
      <c r="G134" s="73" t="s">
        <v>244</v>
      </c>
      <c r="H134" s="74" t="s">
        <v>9761</v>
      </c>
      <c r="I134" s="75" t="s">
        <v>58</v>
      </c>
      <c r="J134" s="76" t="s">
        <v>9762</v>
      </c>
      <c r="K134" s="77" t="s">
        <v>9763</v>
      </c>
    </row>
    <row r="135" spans="1:11" x14ac:dyDescent="0.35">
      <c r="A135" s="78"/>
      <c r="B135" s="78"/>
      <c r="C135" s="78"/>
      <c r="D135" s="78"/>
      <c r="E135" s="77" t="s">
        <v>9764</v>
      </c>
      <c r="F135" s="34"/>
      <c r="G135" s="9"/>
      <c r="H135" s="79"/>
      <c r="I135" s="10"/>
      <c r="J135" s="79"/>
      <c r="K135" s="77" t="s">
        <v>9765</v>
      </c>
    </row>
    <row r="136" spans="1:11" x14ac:dyDescent="0.35">
      <c r="A136" s="78"/>
      <c r="B136" s="78"/>
      <c r="C136" s="78"/>
      <c r="D136" s="70" t="s">
        <v>9766</v>
      </c>
      <c r="E136" s="77" t="s">
        <v>9767</v>
      </c>
      <c r="F136" s="72" t="s">
        <v>9768</v>
      </c>
      <c r="G136" s="73" t="s">
        <v>244</v>
      </c>
      <c r="H136" s="74" t="s">
        <v>9769</v>
      </c>
      <c r="I136" s="81" t="s">
        <v>250</v>
      </c>
      <c r="J136" s="76" t="s">
        <v>9770</v>
      </c>
      <c r="K136" s="77" t="s">
        <v>9771</v>
      </c>
    </row>
    <row r="137" spans="1:11" x14ac:dyDescent="0.35">
      <c r="A137" s="78"/>
      <c r="B137" s="78"/>
      <c r="C137" s="78"/>
      <c r="D137" s="78"/>
      <c r="E137" s="77" t="s">
        <v>9772</v>
      </c>
      <c r="F137" s="34"/>
      <c r="G137" s="9"/>
      <c r="H137" s="79"/>
      <c r="I137" s="10"/>
      <c r="J137" s="79"/>
      <c r="K137" s="77" t="s">
        <v>9773</v>
      </c>
    </row>
    <row r="138" spans="1:11" x14ac:dyDescent="0.35">
      <c r="A138" s="78"/>
      <c r="B138" s="78"/>
      <c r="C138" s="78"/>
      <c r="D138" s="70" t="s">
        <v>9774</v>
      </c>
      <c r="E138" s="77" t="s">
        <v>9775</v>
      </c>
      <c r="F138" s="72" t="s">
        <v>9776</v>
      </c>
      <c r="G138" s="73" t="s">
        <v>65</v>
      </c>
      <c r="H138" s="74" t="s">
        <v>9777</v>
      </c>
      <c r="I138" s="75" t="s">
        <v>58</v>
      </c>
      <c r="J138" s="76" t="s">
        <v>9778</v>
      </c>
      <c r="K138" s="77" t="s">
        <v>9779</v>
      </c>
    </row>
    <row r="139" spans="1:11" x14ac:dyDescent="0.35">
      <c r="A139" s="78"/>
      <c r="B139" s="78"/>
      <c r="C139" s="78"/>
      <c r="D139" s="78"/>
      <c r="E139" s="77" t="s">
        <v>9780</v>
      </c>
      <c r="F139" s="34"/>
      <c r="G139" s="9"/>
      <c r="H139" s="79"/>
      <c r="I139" s="10"/>
      <c r="J139" s="79"/>
      <c r="K139" s="77" t="s">
        <v>9693</v>
      </c>
    </row>
    <row r="140" spans="1:11" x14ac:dyDescent="0.35">
      <c r="A140" s="78"/>
      <c r="B140" s="78"/>
      <c r="C140" s="70" t="s">
        <v>12</v>
      </c>
      <c r="D140" s="70" t="s">
        <v>9781</v>
      </c>
      <c r="E140" s="77" t="s">
        <v>9782</v>
      </c>
      <c r="F140" s="72" t="s">
        <v>9783</v>
      </c>
      <c r="G140" s="73" t="s">
        <v>65</v>
      </c>
      <c r="H140" s="74" t="s">
        <v>9784</v>
      </c>
      <c r="I140" s="80" t="s">
        <v>120</v>
      </c>
      <c r="J140" s="76" t="s">
        <v>9785</v>
      </c>
      <c r="K140" s="77" t="s">
        <v>9786</v>
      </c>
    </row>
    <row r="141" spans="1:11" x14ac:dyDescent="0.35">
      <c r="A141" s="78"/>
      <c r="B141" s="78"/>
      <c r="C141" s="78"/>
      <c r="D141" s="78"/>
      <c r="E141" s="77" t="s">
        <v>9787</v>
      </c>
      <c r="F141" s="34"/>
      <c r="G141" s="9"/>
      <c r="H141" s="79"/>
      <c r="I141" s="10"/>
      <c r="J141" s="79"/>
      <c r="K141" s="77" t="s">
        <v>9788</v>
      </c>
    </row>
    <row r="142" spans="1:11" x14ac:dyDescent="0.35">
      <c r="A142" s="78"/>
      <c r="B142" s="78"/>
      <c r="C142" s="78"/>
      <c r="D142" s="70" t="s">
        <v>9789</v>
      </c>
      <c r="E142" s="77" t="s">
        <v>9790</v>
      </c>
      <c r="F142" s="72" t="s">
        <v>9791</v>
      </c>
      <c r="G142" s="73" t="s">
        <v>65</v>
      </c>
      <c r="H142" s="74" t="s">
        <v>9792</v>
      </c>
      <c r="I142" s="75" t="s">
        <v>58</v>
      </c>
      <c r="J142" s="76" t="s">
        <v>9793</v>
      </c>
      <c r="K142" s="77" t="s">
        <v>9794</v>
      </c>
    </row>
    <row r="143" spans="1:11" x14ac:dyDescent="0.35">
      <c r="A143" s="78"/>
      <c r="B143" s="78"/>
      <c r="C143" s="78"/>
      <c r="D143" s="78"/>
      <c r="E143" s="77" t="s">
        <v>9795</v>
      </c>
      <c r="F143" s="34"/>
      <c r="G143" s="9"/>
      <c r="H143" s="79"/>
      <c r="I143" s="10"/>
      <c r="J143" s="79"/>
      <c r="K143" s="77" t="s">
        <v>9796</v>
      </c>
    </row>
    <row r="144" spans="1:11" x14ac:dyDescent="0.35">
      <c r="A144" s="78"/>
      <c r="B144" s="78"/>
      <c r="C144" s="78"/>
      <c r="D144" s="70" t="s">
        <v>9797</v>
      </c>
      <c r="E144" s="77" t="s">
        <v>9798</v>
      </c>
      <c r="F144" s="72" t="s">
        <v>9799</v>
      </c>
      <c r="G144" s="73" t="s">
        <v>244</v>
      </c>
      <c r="H144" s="74" t="s">
        <v>9800</v>
      </c>
      <c r="I144" s="81" t="s">
        <v>250</v>
      </c>
      <c r="J144" s="76" t="s">
        <v>9801</v>
      </c>
      <c r="K144" s="77" t="s">
        <v>9802</v>
      </c>
    </row>
    <row r="145" spans="1:11" x14ac:dyDescent="0.35">
      <c r="A145" s="78"/>
      <c r="B145" s="78"/>
      <c r="C145" s="78"/>
      <c r="D145" s="78"/>
      <c r="E145" s="77" t="s">
        <v>9803</v>
      </c>
      <c r="F145" s="34"/>
      <c r="G145" s="9"/>
      <c r="H145" s="79"/>
      <c r="I145" s="10"/>
      <c r="J145" s="79"/>
      <c r="K145" s="77" t="s">
        <v>9804</v>
      </c>
    </row>
    <row r="146" spans="1:11" x14ac:dyDescent="0.35">
      <c r="A146" s="78"/>
      <c r="B146" s="78"/>
      <c r="C146" s="78"/>
      <c r="D146" s="70" t="s">
        <v>9805</v>
      </c>
      <c r="E146" s="77" t="s">
        <v>9806</v>
      </c>
      <c r="F146" s="72" t="s">
        <v>9807</v>
      </c>
      <c r="G146" s="73" t="s">
        <v>2545</v>
      </c>
      <c r="H146" s="74" t="s">
        <v>9808</v>
      </c>
      <c r="I146" s="75" t="s">
        <v>58</v>
      </c>
      <c r="J146" s="76" t="s">
        <v>9809</v>
      </c>
      <c r="K146" s="77" t="s">
        <v>9810</v>
      </c>
    </row>
    <row r="147" spans="1:11" x14ac:dyDescent="0.35">
      <c r="A147" s="78"/>
      <c r="B147" s="78"/>
      <c r="C147" s="78"/>
      <c r="D147" s="78"/>
      <c r="E147" s="77" t="s">
        <v>9811</v>
      </c>
      <c r="F147" s="34"/>
      <c r="G147" s="9"/>
      <c r="H147" s="79"/>
      <c r="I147" s="10"/>
      <c r="J147" s="79"/>
      <c r="K147" s="77" t="s">
        <v>9812</v>
      </c>
    </row>
    <row r="148" spans="1:11" x14ac:dyDescent="0.35">
      <c r="A148" s="78"/>
      <c r="B148" s="78"/>
      <c r="C148" s="78"/>
      <c r="D148" s="70" t="s">
        <v>9813</v>
      </c>
      <c r="E148" s="77" t="s">
        <v>9814</v>
      </c>
      <c r="F148" s="72" t="s">
        <v>9815</v>
      </c>
      <c r="G148" s="73" t="s">
        <v>244</v>
      </c>
      <c r="H148" s="74" t="s">
        <v>9816</v>
      </c>
      <c r="I148" s="80" t="s">
        <v>120</v>
      </c>
      <c r="J148" s="76" t="s">
        <v>9817</v>
      </c>
      <c r="K148" s="77" t="s">
        <v>9818</v>
      </c>
    </row>
    <row r="149" spans="1:11" x14ac:dyDescent="0.35">
      <c r="A149" s="78"/>
      <c r="B149" s="78"/>
      <c r="C149" s="78"/>
      <c r="D149" s="78"/>
      <c r="E149" s="77" t="s">
        <v>3147</v>
      </c>
      <c r="F149" s="34"/>
      <c r="G149" s="9"/>
      <c r="H149" s="79"/>
      <c r="I149" s="10"/>
      <c r="J149" s="79"/>
      <c r="K149" s="77" t="s">
        <v>9819</v>
      </c>
    </row>
    <row r="150" spans="1:11" x14ac:dyDescent="0.35">
      <c r="A150" s="78"/>
      <c r="B150" s="78"/>
      <c r="C150" s="70" t="s">
        <v>13</v>
      </c>
      <c r="D150" s="70" t="s">
        <v>9820</v>
      </c>
      <c r="E150" s="77" t="s">
        <v>9821</v>
      </c>
      <c r="F150" s="72" t="s">
        <v>9822</v>
      </c>
      <c r="G150" s="73" t="s">
        <v>244</v>
      </c>
      <c r="H150" s="74" t="s">
        <v>9823</v>
      </c>
      <c r="I150" s="75" t="s">
        <v>58</v>
      </c>
      <c r="J150" s="76" t="s">
        <v>9824</v>
      </c>
      <c r="K150" s="77" t="s">
        <v>9825</v>
      </c>
    </row>
    <row r="151" spans="1:11" x14ac:dyDescent="0.35">
      <c r="A151" s="78"/>
      <c r="B151" s="78"/>
      <c r="C151" s="78"/>
      <c r="D151" s="78"/>
      <c r="E151" s="77" t="s">
        <v>9826</v>
      </c>
      <c r="F151" s="34"/>
      <c r="G151" s="9"/>
      <c r="H151" s="79"/>
      <c r="I151" s="10"/>
      <c r="J151" s="79"/>
      <c r="K151" s="77" t="s">
        <v>9827</v>
      </c>
    </row>
    <row r="152" spans="1:11" x14ac:dyDescent="0.35">
      <c r="A152" s="78"/>
      <c r="B152" s="78"/>
      <c r="C152" s="78"/>
      <c r="D152" s="70" t="s">
        <v>9828</v>
      </c>
      <c r="E152" s="77" t="s">
        <v>9829</v>
      </c>
      <c r="F152" s="72" t="s">
        <v>9830</v>
      </c>
      <c r="G152" s="73" t="s">
        <v>65</v>
      </c>
      <c r="H152" s="74" t="s">
        <v>9831</v>
      </c>
      <c r="I152" s="81" t="s">
        <v>250</v>
      </c>
      <c r="J152" s="76" t="s">
        <v>9690</v>
      </c>
      <c r="K152" s="77" t="s">
        <v>9832</v>
      </c>
    </row>
    <row r="153" spans="1:11" x14ac:dyDescent="0.35">
      <c r="A153" s="78"/>
      <c r="B153" s="78"/>
      <c r="C153" s="78"/>
      <c r="D153" s="78"/>
      <c r="E153" s="77" t="s">
        <v>9833</v>
      </c>
      <c r="F153" s="34"/>
      <c r="G153" s="9"/>
      <c r="H153" s="79"/>
      <c r="I153" s="10"/>
      <c r="J153" s="79"/>
      <c r="K153" s="77" t="s">
        <v>9834</v>
      </c>
    </row>
    <row r="154" spans="1:11" x14ac:dyDescent="0.35">
      <c r="A154" s="78"/>
      <c r="B154" s="78"/>
      <c r="C154" s="78"/>
      <c r="D154" s="70" t="s">
        <v>9835</v>
      </c>
      <c r="E154" s="77" t="s">
        <v>9836</v>
      </c>
      <c r="F154" s="72" t="s">
        <v>9837</v>
      </c>
      <c r="G154" s="73" t="s">
        <v>65</v>
      </c>
      <c r="H154" s="74" t="s">
        <v>9838</v>
      </c>
      <c r="I154" s="75" t="s">
        <v>58</v>
      </c>
      <c r="J154" s="76" t="s">
        <v>9839</v>
      </c>
      <c r="K154" s="77" t="s">
        <v>9840</v>
      </c>
    </row>
    <row r="155" spans="1:11" x14ac:dyDescent="0.35">
      <c r="A155" s="78"/>
      <c r="B155" s="78"/>
      <c r="C155" s="78"/>
      <c r="D155" s="78"/>
      <c r="E155" s="77" t="s">
        <v>9841</v>
      </c>
      <c r="F155" s="34"/>
      <c r="G155" s="9"/>
      <c r="H155" s="79"/>
      <c r="I155" s="10"/>
      <c r="J155" s="79"/>
      <c r="K155" s="77" t="s">
        <v>9842</v>
      </c>
    </row>
    <row r="156" spans="1:11" x14ac:dyDescent="0.35">
      <c r="A156" s="78"/>
      <c r="B156" s="78"/>
      <c r="C156" s="78"/>
      <c r="D156" s="70" t="s">
        <v>9843</v>
      </c>
      <c r="E156" s="77" t="s">
        <v>9844</v>
      </c>
      <c r="F156" s="72" t="s">
        <v>9845</v>
      </c>
      <c r="G156" s="73" t="s">
        <v>65</v>
      </c>
      <c r="H156" s="74" t="s">
        <v>9846</v>
      </c>
      <c r="I156" s="75" t="s">
        <v>58</v>
      </c>
      <c r="J156" s="76" t="s">
        <v>9847</v>
      </c>
      <c r="K156" s="77" t="s">
        <v>9848</v>
      </c>
    </row>
    <row r="157" spans="1:11" x14ac:dyDescent="0.35">
      <c r="A157" s="78"/>
      <c r="B157" s="78"/>
      <c r="C157" s="78"/>
      <c r="D157" s="78"/>
      <c r="E157" s="77" t="s">
        <v>9849</v>
      </c>
      <c r="F157" s="34"/>
      <c r="G157" s="9"/>
      <c r="H157" s="79"/>
      <c r="I157" s="10"/>
      <c r="J157" s="79"/>
      <c r="K157" s="77" t="s">
        <v>9850</v>
      </c>
    </row>
    <row r="158" spans="1:11" x14ac:dyDescent="0.35">
      <c r="A158" s="78"/>
      <c r="B158" s="78"/>
      <c r="C158" s="78"/>
      <c r="D158" s="70" t="s">
        <v>9851</v>
      </c>
      <c r="E158" s="77" t="s">
        <v>9852</v>
      </c>
      <c r="F158" s="72" t="s">
        <v>9853</v>
      </c>
      <c r="G158" s="73" t="s">
        <v>244</v>
      </c>
      <c r="H158" s="74" t="s">
        <v>9854</v>
      </c>
      <c r="I158" s="81" t="s">
        <v>250</v>
      </c>
      <c r="J158" s="76" t="s">
        <v>9855</v>
      </c>
      <c r="K158" s="77" t="s">
        <v>9856</v>
      </c>
    </row>
    <row r="159" spans="1:11" x14ac:dyDescent="0.35">
      <c r="A159" s="78"/>
      <c r="B159" s="78"/>
      <c r="C159" s="78"/>
      <c r="D159" s="78"/>
      <c r="E159" s="77" t="s">
        <v>9857</v>
      </c>
      <c r="F159" s="34"/>
      <c r="G159" s="9"/>
      <c r="H159" s="79"/>
      <c r="I159" s="10"/>
      <c r="J159" s="79"/>
      <c r="K159" s="77" t="s">
        <v>9858</v>
      </c>
    </row>
    <row r="160" spans="1:11" x14ac:dyDescent="0.35">
      <c r="A160" s="78"/>
      <c r="B160" s="78"/>
      <c r="C160" s="70" t="s">
        <v>9859</v>
      </c>
      <c r="D160" s="70" t="s">
        <v>9860</v>
      </c>
      <c r="E160" s="77" t="s">
        <v>9861</v>
      </c>
      <c r="F160" s="72" t="s">
        <v>9862</v>
      </c>
      <c r="G160" s="73" t="s">
        <v>2545</v>
      </c>
      <c r="H160" s="74" t="s">
        <v>9863</v>
      </c>
      <c r="I160" s="80" t="s">
        <v>120</v>
      </c>
      <c r="J160" s="76" t="s">
        <v>9864</v>
      </c>
      <c r="K160" s="77" t="s">
        <v>9865</v>
      </c>
    </row>
    <row r="161" spans="1:11" x14ac:dyDescent="0.35">
      <c r="A161" s="78"/>
      <c r="B161" s="78"/>
      <c r="C161" s="78"/>
      <c r="D161" s="78"/>
      <c r="E161" s="77" t="s">
        <v>9866</v>
      </c>
      <c r="F161" s="34"/>
      <c r="G161" s="9"/>
      <c r="H161" s="79"/>
      <c r="I161" s="10"/>
      <c r="J161" s="79"/>
      <c r="K161" s="77" t="s">
        <v>9867</v>
      </c>
    </row>
    <row r="162" spans="1:11" x14ac:dyDescent="0.35">
      <c r="A162" s="78"/>
      <c r="B162" s="78"/>
      <c r="C162" s="78"/>
      <c r="D162" s="70" t="s">
        <v>9868</v>
      </c>
      <c r="E162" s="77" t="s">
        <v>9869</v>
      </c>
      <c r="F162" s="72" t="s">
        <v>9870</v>
      </c>
      <c r="G162" s="73" t="s">
        <v>244</v>
      </c>
      <c r="H162" s="74" t="s">
        <v>9871</v>
      </c>
      <c r="I162" s="80" t="s">
        <v>120</v>
      </c>
      <c r="J162" s="76" t="s">
        <v>9872</v>
      </c>
      <c r="K162" s="77" t="s">
        <v>9873</v>
      </c>
    </row>
    <row r="163" spans="1:11" x14ac:dyDescent="0.35">
      <c r="A163" s="78"/>
      <c r="B163" s="78"/>
      <c r="C163" s="78"/>
      <c r="D163" s="78"/>
      <c r="E163" s="77" t="s">
        <v>9874</v>
      </c>
      <c r="F163" s="34"/>
      <c r="G163" s="9"/>
      <c r="H163" s="79"/>
      <c r="I163" s="10"/>
      <c r="J163" s="79"/>
      <c r="K163" s="77" t="s">
        <v>9875</v>
      </c>
    </row>
    <row r="164" spans="1:11" x14ac:dyDescent="0.35">
      <c r="A164" s="78"/>
      <c r="B164" s="78"/>
      <c r="C164" s="78"/>
      <c r="D164" s="70" t="s">
        <v>9876</v>
      </c>
      <c r="E164" s="77" t="s">
        <v>9877</v>
      </c>
      <c r="F164" s="72" t="s">
        <v>9878</v>
      </c>
      <c r="G164" s="73" t="s">
        <v>244</v>
      </c>
      <c r="H164" s="74" t="s">
        <v>9879</v>
      </c>
      <c r="I164" s="81" t="s">
        <v>250</v>
      </c>
      <c r="J164" s="76" t="s">
        <v>9880</v>
      </c>
      <c r="K164" s="77" t="s">
        <v>9881</v>
      </c>
    </row>
    <row r="165" spans="1:11" x14ac:dyDescent="0.35">
      <c r="A165" s="78"/>
      <c r="B165" s="78"/>
      <c r="C165" s="78"/>
      <c r="D165" s="78"/>
      <c r="E165" s="77" t="s">
        <v>9882</v>
      </c>
      <c r="F165" s="34"/>
      <c r="G165" s="9"/>
      <c r="H165" s="79"/>
      <c r="I165" s="10"/>
      <c r="J165" s="79"/>
      <c r="K165" s="77" t="s">
        <v>9883</v>
      </c>
    </row>
    <row r="166" spans="1:11" x14ac:dyDescent="0.35">
      <c r="A166" s="78"/>
      <c r="B166" s="78"/>
      <c r="C166" s="78"/>
      <c r="D166" s="70" t="s">
        <v>9884</v>
      </c>
      <c r="E166" s="77" t="s">
        <v>9885</v>
      </c>
      <c r="F166" s="72" t="s">
        <v>9886</v>
      </c>
      <c r="G166" s="73" t="s">
        <v>65</v>
      </c>
      <c r="H166" s="74" t="s">
        <v>9887</v>
      </c>
      <c r="I166" s="75" t="s">
        <v>58</v>
      </c>
      <c r="J166" s="76" t="s">
        <v>9888</v>
      </c>
      <c r="K166" s="77" t="s">
        <v>9889</v>
      </c>
    </row>
    <row r="167" spans="1:11" x14ac:dyDescent="0.35">
      <c r="A167" s="78"/>
      <c r="B167" s="78"/>
      <c r="C167" s="78"/>
      <c r="D167" s="78"/>
      <c r="E167" s="77" t="s">
        <v>5575</v>
      </c>
      <c r="F167" s="34"/>
      <c r="G167" s="9"/>
      <c r="H167" s="79"/>
      <c r="I167" s="10"/>
      <c r="J167" s="79"/>
      <c r="K167" s="77" t="s">
        <v>9890</v>
      </c>
    </row>
    <row r="168" spans="1:11" x14ac:dyDescent="0.35">
      <c r="A168" s="78"/>
      <c r="B168" s="78"/>
      <c r="C168" s="78"/>
      <c r="D168" s="70" t="s">
        <v>9891</v>
      </c>
      <c r="E168" s="77" t="s">
        <v>9892</v>
      </c>
      <c r="F168" s="72" t="s">
        <v>9893</v>
      </c>
      <c r="G168" s="73" t="s">
        <v>65</v>
      </c>
      <c r="H168" s="74" t="s">
        <v>9894</v>
      </c>
      <c r="I168" s="81" t="s">
        <v>250</v>
      </c>
      <c r="J168" s="76" t="s">
        <v>9895</v>
      </c>
      <c r="K168" s="77" t="s">
        <v>9896</v>
      </c>
    </row>
    <row r="169" spans="1:11" x14ac:dyDescent="0.35">
      <c r="A169" s="78"/>
      <c r="B169" s="78"/>
      <c r="C169" s="78"/>
      <c r="D169" s="78"/>
      <c r="E169" s="77" t="s">
        <v>9897</v>
      </c>
      <c r="F169" s="34"/>
      <c r="G169" s="9"/>
      <c r="H169" s="79"/>
      <c r="I169" s="10"/>
      <c r="J169" s="79"/>
      <c r="K169" s="77" t="s">
        <v>9898</v>
      </c>
    </row>
    <row r="170" spans="1:11" x14ac:dyDescent="0.35">
      <c r="A170" s="78"/>
      <c r="B170" s="78"/>
      <c r="C170" s="70" t="s">
        <v>14</v>
      </c>
      <c r="D170" s="70" t="s">
        <v>9899</v>
      </c>
      <c r="E170" s="77" t="s">
        <v>9900</v>
      </c>
      <c r="F170" s="72" t="s">
        <v>9901</v>
      </c>
      <c r="G170" s="73" t="s">
        <v>65</v>
      </c>
      <c r="H170" s="74" t="s">
        <v>9902</v>
      </c>
      <c r="I170" s="80" t="s">
        <v>120</v>
      </c>
      <c r="J170" s="76" t="s">
        <v>9903</v>
      </c>
      <c r="K170" s="77" t="s">
        <v>9904</v>
      </c>
    </row>
    <row r="171" spans="1:11" x14ac:dyDescent="0.35">
      <c r="A171" s="78"/>
      <c r="B171" s="78"/>
      <c r="C171" s="78"/>
      <c r="D171" s="78"/>
      <c r="E171" s="77" t="s">
        <v>9905</v>
      </c>
      <c r="F171" s="34"/>
      <c r="G171" s="9"/>
      <c r="H171" s="79"/>
      <c r="I171" s="10"/>
      <c r="J171" s="79"/>
      <c r="K171" s="77" t="s">
        <v>9906</v>
      </c>
    </row>
    <row r="172" spans="1:11" x14ac:dyDescent="0.35">
      <c r="A172" s="78"/>
      <c r="B172" s="78"/>
      <c r="C172" s="78"/>
      <c r="D172" s="70" t="s">
        <v>9907</v>
      </c>
      <c r="E172" s="77" t="s">
        <v>9908</v>
      </c>
      <c r="F172" s="72" t="s">
        <v>9909</v>
      </c>
      <c r="G172" s="73" t="s">
        <v>244</v>
      </c>
      <c r="H172" s="74" t="s">
        <v>9910</v>
      </c>
      <c r="I172" s="80" t="s">
        <v>120</v>
      </c>
      <c r="J172" s="76" t="s">
        <v>9911</v>
      </c>
      <c r="K172" s="71" t="s">
        <v>9912</v>
      </c>
    </row>
    <row r="173" spans="1:11" x14ac:dyDescent="0.35">
      <c r="A173" s="78"/>
      <c r="B173" s="78"/>
      <c r="C173" s="78"/>
      <c r="D173" s="78"/>
      <c r="E173" s="77" t="s">
        <v>9913</v>
      </c>
      <c r="F173" s="34"/>
      <c r="G173" s="9"/>
      <c r="H173" s="79"/>
      <c r="I173" s="10"/>
      <c r="J173" s="79"/>
      <c r="K173" s="71" t="s">
        <v>9914</v>
      </c>
    </row>
    <row r="174" spans="1:11" x14ac:dyDescent="0.35">
      <c r="A174" s="78"/>
      <c r="B174" s="78"/>
      <c r="C174" s="78"/>
      <c r="D174" s="70" t="s">
        <v>9915</v>
      </c>
      <c r="E174" s="77" t="s">
        <v>9916</v>
      </c>
      <c r="F174" s="72" t="s">
        <v>9917</v>
      </c>
      <c r="G174" s="73" t="s">
        <v>2545</v>
      </c>
      <c r="H174" s="74" t="s">
        <v>9918</v>
      </c>
      <c r="I174" s="81" t="s">
        <v>250</v>
      </c>
      <c r="J174" s="76" t="s">
        <v>9919</v>
      </c>
      <c r="K174" s="71" t="s">
        <v>9920</v>
      </c>
    </row>
    <row r="175" spans="1:11" x14ac:dyDescent="0.35">
      <c r="A175" s="78"/>
      <c r="B175" s="78"/>
      <c r="C175" s="78"/>
      <c r="D175" s="78"/>
      <c r="E175" s="77" t="s">
        <v>9921</v>
      </c>
      <c r="F175" s="34"/>
      <c r="G175" s="9"/>
      <c r="H175" s="79"/>
      <c r="I175" s="10"/>
      <c r="J175" s="79"/>
      <c r="K175" s="71" t="s">
        <v>9922</v>
      </c>
    </row>
    <row r="176" spans="1:11" x14ac:dyDescent="0.35">
      <c r="A176" s="78"/>
      <c r="B176" s="78"/>
      <c r="C176" s="78"/>
      <c r="D176" s="70" t="s">
        <v>9923</v>
      </c>
      <c r="E176" s="77" t="s">
        <v>9924</v>
      </c>
      <c r="F176" s="72" t="s">
        <v>9925</v>
      </c>
      <c r="G176" s="73" t="s">
        <v>244</v>
      </c>
      <c r="H176" s="74" t="s">
        <v>9926</v>
      </c>
      <c r="I176" s="75" t="s">
        <v>58</v>
      </c>
      <c r="J176" s="76" t="s">
        <v>9927</v>
      </c>
      <c r="K176" s="71" t="s">
        <v>9928</v>
      </c>
    </row>
    <row r="177" spans="1:11" x14ac:dyDescent="0.35">
      <c r="A177" s="78"/>
      <c r="B177" s="78"/>
      <c r="C177" s="78"/>
      <c r="D177" s="78"/>
      <c r="E177" s="77" t="s">
        <v>9929</v>
      </c>
      <c r="F177" s="34"/>
      <c r="G177" s="9"/>
      <c r="H177" s="79"/>
      <c r="I177" s="10"/>
      <c r="J177" s="79"/>
      <c r="K177" s="71" t="s">
        <v>9930</v>
      </c>
    </row>
    <row r="178" spans="1:11" x14ac:dyDescent="0.35">
      <c r="A178" s="78"/>
      <c r="B178" s="78"/>
      <c r="C178" s="78"/>
      <c r="D178" s="70" t="s">
        <v>9931</v>
      </c>
      <c r="E178" s="77" t="s">
        <v>9932</v>
      </c>
      <c r="F178" s="72" t="s">
        <v>9933</v>
      </c>
      <c r="G178" s="73" t="s">
        <v>244</v>
      </c>
      <c r="H178" s="74" t="s">
        <v>9934</v>
      </c>
      <c r="I178" s="81" t="s">
        <v>250</v>
      </c>
      <c r="J178" s="76" t="s">
        <v>9935</v>
      </c>
      <c r="K178" s="71" t="s">
        <v>9936</v>
      </c>
    </row>
    <row r="179" spans="1:11" x14ac:dyDescent="0.35">
      <c r="A179" s="78"/>
      <c r="B179" s="78"/>
      <c r="C179" s="78"/>
      <c r="D179" s="78"/>
      <c r="E179" s="77" t="s">
        <v>9908</v>
      </c>
      <c r="F179" s="34"/>
      <c r="G179" s="9"/>
      <c r="H179" s="79"/>
      <c r="I179" s="10"/>
      <c r="J179" s="79"/>
      <c r="K179" s="71" t="s">
        <v>587</v>
      </c>
    </row>
    <row r="180" spans="1:11" x14ac:dyDescent="0.35">
      <c r="A180" s="78"/>
      <c r="B180" s="78"/>
      <c r="C180" s="70" t="s">
        <v>9937</v>
      </c>
      <c r="D180" s="70" t="s">
        <v>9938</v>
      </c>
      <c r="E180" s="77" t="s">
        <v>9939</v>
      </c>
      <c r="F180" s="72" t="s">
        <v>9940</v>
      </c>
      <c r="G180" s="73" t="s">
        <v>65</v>
      </c>
      <c r="H180" s="74" t="s">
        <v>9941</v>
      </c>
      <c r="I180" s="80" t="s">
        <v>120</v>
      </c>
      <c r="J180" s="76" t="s">
        <v>9942</v>
      </c>
      <c r="K180" s="71" t="s">
        <v>9943</v>
      </c>
    </row>
    <row r="181" spans="1:11" x14ac:dyDescent="0.35">
      <c r="A181" s="78"/>
      <c r="B181" s="78"/>
      <c r="C181" s="78"/>
      <c r="D181" s="78"/>
      <c r="E181" s="77" t="s">
        <v>9944</v>
      </c>
      <c r="F181" s="34"/>
      <c r="G181" s="9"/>
      <c r="H181" s="79"/>
      <c r="I181" s="10"/>
      <c r="J181" s="79"/>
      <c r="K181" s="71" t="s">
        <v>9945</v>
      </c>
    </row>
    <row r="182" spans="1:11" x14ac:dyDescent="0.35">
      <c r="A182" s="78"/>
      <c r="B182" s="78"/>
      <c r="C182" s="78"/>
      <c r="D182" s="70" t="s">
        <v>9946</v>
      </c>
      <c r="E182" s="77" t="s">
        <v>9947</v>
      </c>
      <c r="F182" s="72" t="s">
        <v>9948</v>
      </c>
      <c r="G182" s="73" t="s">
        <v>65</v>
      </c>
      <c r="H182" s="74" t="s">
        <v>9949</v>
      </c>
      <c r="I182" s="80" t="s">
        <v>120</v>
      </c>
      <c r="J182" s="76" t="s">
        <v>9950</v>
      </c>
      <c r="K182" s="71" t="s">
        <v>9951</v>
      </c>
    </row>
    <row r="183" spans="1:11" x14ac:dyDescent="0.35">
      <c r="A183" s="78"/>
      <c r="B183" s="78"/>
      <c r="C183" s="78"/>
      <c r="D183" s="78"/>
      <c r="E183" s="77" t="s">
        <v>9952</v>
      </c>
      <c r="F183" s="34"/>
      <c r="G183" s="9"/>
      <c r="H183" s="79"/>
      <c r="I183" s="10"/>
      <c r="J183" s="79"/>
      <c r="K183" s="71" t="s">
        <v>9953</v>
      </c>
    </row>
    <row r="184" spans="1:11" x14ac:dyDescent="0.35">
      <c r="A184" s="78"/>
      <c r="B184" s="78"/>
      <c r="C184" s="78"/>
      <c r="D184" s="70" t="s">
        <v>9954</v>
      </c>
      <c r="E184" s="77" t="s">
        <v>9955</v>
      </c>
      <c r="F184" s="72" t="s">
        <v>9956</v>
      </c>
      <c r="G184" s="73" t="s">
        <v>65</v>
      </c>
      <c r="H184" s="74" t="s">
        <v>9957</v>
      </c>
      <c r="I184" s="81" t="s">
        <v>250</v>
      </c>
      <c r="J184" s="76" t="s">
        <v>9958</v>
      </c>
      <c r="K184" s="71" t="s">
        <v>9959</v>
      </c>
    </row>
    <row r="185" spans="1:11" x14ac:dyDescent="0.35">
      <c r="A185" s="78"/>
      <c r="B185" s="78"/>
      <c r="C185" s="78"/>
      <c r="D185" s="78"/>
      <c r="E185" s="77" t="s">
        <v>9960</v>
      </c>
      <c r="F185" s="34"/>
      <c r="G185" s="9"/>
      <c r="H185" s="79"/>
      <c r="I185" s="10"/>
      <c r="J185" s="79"/>
      <c r="K185" s="71" t="s">
        <v>9961</v>
      </c>
    </row>
    <row r="186" spans="1:11" x14ac:dyDescent="0.35">
      <c r="A186" s="78"/>
      <c r="B186" s="78"/>
      <c r="C186" s="78"/>
      <c r="D186" s="70" t="s">
        <v>9962</v>
      </c>
      <c r="E186" s="77" t="s">
        <v>9963</v>
      </c>
      <c r="F186" s="72" t="s">
        <v>9964</v>
      </c>
      <c r="G186" s="73" t="s">
        <v>244</v>
      </c>
      <c r="H186" s="74" t="s">
        <v>9965</v>
      </c>
      <c r="I186" s="75" t="s">
        <v>58</v>
      </c>
      <c r="J186" s="76" t="s">
        <v>9966</v>
      </c>
      <c r="K186" s="71" t="s">
        <v>9967</v>
      </c>
    </row>
    <row r="187" spans="1:11" x14ac:dyDescent="0.35">
      <c r="A187" s="78"/>
      <c r="B187" s="78"/>
      <c r="C187" s="78"/>
      <c r="D187" s="78"/>
      <c r="E187" s="77" t="s">
        <v>9968</v>
      </c>
      <c r="F187" s="34"/>
      <c r="G187" s="9"/>
      <c r="H187" s="79"/>
      <c r="I187" s="10"/>
      <c r="J187" s="79"/>
      <c r="K187" s="71" t="s">
        <v>9969</v>
      </c>
    </row>
    <row r="188" spans="1:11" x14ac:dyDescent="0.35">
      <c r="A188" s="78"/>
      <c r="B188" s="78"/>
      <c r="C188" s="78"/>
      <c r="D188" s="70" t="s">
        <v>9970</v>
      </c>
      <c r="E188" s="77" t="s">
        <v>9971</v>
      </c>
      <c r="F188" s="72" t="s">
        <v>9972</v>
      </c>
      <c r="G188" s="73" t="s">
        <v>2545</v>
      </c>
      <c r="H188" s="74" t="s">
        <v>9973</v>
      </c>
      <c r="I188" s="81" t="s">
        <v>250</v>
      </c>
      <c r="J188" s="76" t="s">
        <v>9974</v>
      </c>
      <c r="K188" s="71" t="s">
        <v>9975</v>
      </c>
    </row>
    <row r="189" spans="1:11" x14ac:dyDescent="0.35">
      <c r="A189" s="78"/>
      <c r="B189" s="78"/>
      <c r="C189" s="78"/>
      <c r="D189" s="78"/>
      <c r="E189" s="77" t="s">
        <v>9976</v>
      </c>
      <c r="F189" s="34"/>
      <c r="G189" s="9"/>
      <c r="H189" s="79"/>
      <c r="I189" s="10"/>
      <c r="J189" s="79"/>
      <c r="K189" s="71" t="s">
        <v>9977</v>
      </c>
    </row>
    <row r="190" spans="1:11" x14ac:dyDescent="0.35">
      <c r="A190" s="78"/>
      <c r="B190" s="78"/>
      <c r="C190" s="70" t="s">
        <v>9978</v>
      </c>
      <c r="D190" s="70" t="s">
        <v>9979</v>
      </c>
      <c r="E190" s="77" t="s">
        <v>9980</v>
      </c>
      <c r="F190" s="72" t="s">
        <v>9981</v>
      </c>
      <c r="G190" s="73" t="s">
        <v>244</v>
      </c>
      <c r="H190" s="74" t="s">
        <v>9982</v>
      </c>
      <c r="I190" s="80" t="s">
        <v>120</v>
      </c>
      <c r="J190" s="76" t="s">
        <v>9983</v>
      </c>
      <c r="K190" s="71" t="s">
        <v>9984</v>
      </c>
    </row>
    <row r="191" spans="1:11" x14ac:dyDescent="0.35">
      <c r="A191" s="78"/>
      <c r="B191" s="78"/>
      <c r="C191" s="78"/>
      <c r="D191" s="78"/>
      <c r="E191" s="77" t="s">
        <v>9985</v>
      </c>
      <c r="F191" s="34"/>
      <c r="G191" s="9"/>
      <c r="H191" s="79"/>
      <c r="I191" s="10"/>
      <c r="J191" s="79"/>
      <c r="K191" s="71" t="s">
        <v>9986</v>
      </c>
    </row>
    <row r="192" spans="1:11" x14ac:dyDescent="0.35">
      <c r="A192" s="78"/>
      <c r="B192" s="78"/>
      <c r="C192" s="78"/>
      <c r="D192" s="70" t="s">
        <v>9987</v>
      </c>
      <c r="E192" s="77" t="s">
        <v>9988</v>
      </c>
      <c r="F192" s="72" t="s">
        <v>9989</v>
      </c>
      <c r="G192" s="73" t="s">
        <v>244</v>
      </c>
      <c r="H192" s="74" t="s">
        <v>9990</v>
      </c>
      <c r="I192" s="80" t="s">
        <v>120</v>
      </c>
      <c r="J192" s="76" t="s">
        <v>9991</v>
      </c>
      <c r="K192" s="71" t="s">
        <v>9992</v>
      </c>
    </row>
    <row r="193" spans="1:11" x14ac:dyDescent="0.35">
      <c r="A193" s="78"/>
      <c r="B193" s="78"/>
      <c r="C193" s="78"/>
      <c r="D193" s="78"/>
      <c r="E193" s="77" t="s">
        <v>9993</v>
      </c>
      <c r="F193" s="34"/>
      <c r="G193" s="9"/>
      <c r="H193" s="79"/>
      <c r="I193" s="10"/>
      <c r="J193" s="79"/>
      <c r="K193" s="71" t="s">
        <v>9994</v>
      </c>
    </row>
    <row r="194" spans="1:11" x14ac:dyDescent="0.35">
      <c r="A194" s="78"/>
      <c r="B194" s="78"/>
      <c r="C194" s="78"/>
      <c r="D194" s="70" t="s">
        <v>9995</v>
      </c>
      <c r="E194" s="77" t="s">
        <v>9996</v>
      </c>
      <c r="F194" s="72" t="s">
        <v>9997</v>
      </c>
      <c r="G194" s="73" t="s">
        <v>65</v>
      </c>
      <c r="H194" s="74" t="s">
        <v>9998</v>
      </c>
      <c r="I194" s="81" t="s">
        <v>250</v>
      </c>
      <c r="J194" s="76" t="s">
        <v>9999</v>
      </c>
      <c r="K194" s="71" t="s">
        <v>10000</v>
      </c>
    </row>
    <row r="195" spans="1:11" x14ac:dyDescent="0.35">
      <c r="A195" s="78"/>
      <c r="B195" s="78"/>
      <c r="C195" s="78"/>
      <c r="D195" s="78"/>
      <c r="E195" s="77" t="s">
        <v>10001</v>
      </c>
      <c r="F195" s="34"/>
      <c r="G195" s="9"/>
      <c r="H195" s="79"/>
      <c r="I195" s="10"/>
      <c r="J195" s="79"/>
      <c r="K195" s="71" t="s">
        <v>10002</v>
      </c>
    </row>
    <row r="196" spans="1:11" x14ac:dyDescent="0.35">
      <c r="A196" s="78"/>
      <c r="B196" s="78"/>
      <c r="C196" s="78"/>
      <c r="D196" s="70" t="s">
        <v>10003</v>
      </c>
      <c r="E196" s="77" t="s">
        <v>10004</v>
      </c>
      <c r="F196" s="72" t="s">
        <v>10005</v>
      </c>
      <c r="G196" s="73" t="s">
        <v>65</v>
      </c>
      <c r="H196" s="74" t="s">
        <v>10006</v>
      </c>
      <c r="I196" s="75" t="s">
        <v>58</v>
      </c>
      <c r="J196" s="76" t="s">
        <v>10007</v>
      </c>
      <c r="K196" s="71" t="s">
        <v>10008</v>
      </c>
    </row>
    <row r="197" spans="1:11" x14ac:dyDescent="0.35">
      <c r="A197" s="78"/>
      <c r="B197" s="78"/>
      <c r="C197" s="78"/>
      <c r="D197" s="78"/>
      <c r="E197" s="77" t="s">
        <v>10009</v>
      </c>
      <c r="F197" s="34"/>
      <c r="G197" s="9"/>
      <c r="H197" s="79"/>
      <c r="I197" s="10"/>
      <c r="J197" s="79"/>
      <c r="K197" s="71" t="s">
        <v>10010</v>
      </c>
    </row>
    <row r="198" spans="1:11" x14ac:dyDescent="0.35">
      <c r="A198" s="78"/>
      <c r="B198" s="78"/>
      <c r="C198" s="78"/>
      <c r="D198" s="70" t="s">
        <v>10011</v>
      </c>
      <c r="E198" s="77" t="s">
        <v>10012</v>
      </c>
      <c r="F198" s="72" t="s">
        <v>10013</v>
      </c>
      <c r="G198" s="73" t="s">
        <v>65</v>
      </c>
      <c r="H198" s="74" t="s">
        <v>10014</v>
      </c>
      <c r="I198" s="81" t="s">
        <v>250</v>
      </c>
      <c r="J198" s="76" t="s">
        <v>10015</v>
      </c>
      <c r="K198" s="71" t="s">
        <v>10016</v>
      </c>
    </row>
    <row r="199" spans="1:11" x14ac:dyDescent="0.35">
      <c r="A199" s="78"/>
      <c r="B199" s="78"/>
      <c r="C199" s="78"/>
      <c r="D199" s="78"/>
      <c r="E199" s="77" t="s">
        <v>10017</v>
      </c>
      <c r="F199" s="34"/>
      <c r="G199" s="9"/>
      <c r="H199" s="79"/>
      <c r="I199" s="10"/>
      <c r="J199" s="79"/>
      <c r="K199" s="71" t="s">
        <v>10018</v>
      </c>
    </row>
    <row r="200" spans="1:11" x14ac:dyDescent="0.35">
      <c r="A200" s="78"/>
      <c r="B200" s="78"/>
      <c r="C200" s="70" t="s">
        <v>10019</v>
      </c>
      <c r="D200" s="70" t="s">
        <v>10020</v>
      </c>
      <c r="E200" s="77" t="s">
        <v>10021</v>
      </c>
      <c r="F200" s="72" t="s">
        <v>10022</v>
      </c>
      <c r="G200" s="73" t="s">
        <v>244</v>
      </c>
      <c r="H200" s="74" t="s">
        <v>10023</v>
      </c>
      <c r="I200" s="80" t="s">
        <v>120</v>
      </c>
      <c r="J200" s="76" t="s">
        <v>10024</v>
      </c>
      <c r="K200" s="71" t="s">
        <v>10025</v>
      </c>
    </row>
    <row r="201" spans="1:11" x14ac:dyDescent="0.35">
      <c r="A201" s="78"/>
      <c r="B201" s="78"/>
      <c r="C201" s="78"/>
      <c r="D201" s="78"/>
      <c r="E201" s="77" t="s">
        <v>10026</v>
      </c>
      <c r="F201" s="34"/>
      <c r="G201" s="9"/>
      <c r="H201" s="79"/>
      <c r="I201" s="10"/>
      <c r="J201" s="79"/>
      <c r="K201" s="71" t="s">
        <v>10027</v>
      </c>
    </row>
    <row r="202" spans="1:11" x14ac:dyDescent="0.35">
      <c r="A202" s="78"/>
      <c r="B202" s="78"/>
      <c r="C202" s="78"/>
      <c r="D202" s="70" t="s">
        <v>10028</v>
      </c>
      <c r="E202" s="77" t="s">
        <v>10029</v>
      </c>
      <c r="F202" s="72" t="s">
        <v>10030</v>
      </c>
      <c r="G202" s="73" t="s">
        <v>2545</v>
      </c>
      <c r="H202" s="74" t="s">
        <v>10031</v>
      </c>
      <c r="I202" s="80" t="s">
        <v>120</v>
      </c>
      <c r="J202" s="76" t="s">
        <v>10032</v>
      </c>
      <c r="K202" s="71" t="s">
        <v>10033</v>
      </c>
    </row>
    <row r="203" spans="1:11" x14ac:dyDescent="0.35">
      <c r="A203" s="78"/>
      <c r="B203" s="78"/>
      <c r="C203" s="78"/>
      <c r="D203" s="78"/>
      <c r="E203" s="77" t="s">
        <v>10034</v>
      </c>
      <c r="F203" s="34"/>
      <c r="G203" s="9"/>
      <c r="H203" s="79"/>
      <c r="I203" s="10"/>
      <c r="J203" s="79"/>
      <c r="K203" s="71" t="s">
        <v>10035</v>
      </c>
    </row>
    <row r="204" spans="1:11" x14ac:dyDescent="0.35">
      <c r="A204" s="78"/>
      <c r="B204" s="78"/>
      <c r="C204" s="78"/>
      <c r="D204" s="70" t="s">
        <v>10036</v>
      </c>
      <c r="E204" s="77" t="s">
        <v>10037</v>
      </c>
      <c r="F204" s="72" t="s">
        <v>10038</v>
      </c>
      <c r="G204" s="73" t="s">
        <v>244</v>
      </c>
      <c r="H204" s="74" t="s">
        <v>10039</v>
      </c>
      <c r="I204" s="81" t="s">
        <v>250</v>
      </c>
      <c r="J204" s="76" t="s">
        <v>10040</v>
      </c>
      <c r="K204" s="71" t="s">
        <v>10041</v>
      </c>
    </row>
    <row r="205" spans="1:11" x14ac:dyDescent="0.35">
      <c r="A205" s="78"/>
      <c r="B205" s="78"/>
      <c r="C205" s="78"/>
      <c r="D205" s="78"/>
      <c r="E205" s="77" t="s">
        <v>10042</v>
      </c>
      <c r="F205" s="34"/>
      <c r="G205" s="9"/>
      <c r="H205" s="79"/>
      <c r="I205" s="10"/>
      <c r="J205" s="79"/>
      <c r="K205" s="71" t="s">
        <v>10043</v>
      </c>
    </row>
    <row r="206" spans="1:11" x14ac:dyDescent="0.35">
      <c r="A206" s="78"/>
      <c r="B206" s="78"/>
      <c r="C206" s="78"/>
      <c r="D206" s="70" t="s">
        <v>10044</v>
      </c>
      <c r="E206" s="77" t="s">
        <v>10045</v>
      </c>
      <c r="F206" s="72" t="s">
        <v>10046</v>
      </c>
      <c r="G206" s="73" t="s">
        <v>244</v>
      </c>
      <c r="H206" s="74" t="s">
        <v>10047</v>
      </c>
      <c r="I206" s="75" t="s">
        <v>58</v>
      </c>
      <c r="J206" s="76" t="s">
        <v>10048</v>
      </c>
      <c r="K206" s="71" t="s">
        <v>10049</v>
      </c>
    </row>
    <row r="207" spans="1:11" x14ac:dyDescent="0.35">
      <c r="A207" s="78"/>
      <c r="B207" s="78"/>
      <c r="C207" s="78"/>
      <c r="D207" s="78"/>
      <c r="E207" s="77" t="s">
        <v>10050</v>
      </c>
      <c r="F207" s="34"/>
      <c r="G207" s="9"/>
      <c r="H207" s="79"/>
      <c r="I207" s="10"/>
      <c r="J207" s="79"/>
      <c r="K207" s="71" t="s">
        <v>10051</v>
      </c>
    </row>
    <row r="208" spans="1:11" x14ac:dyDescent="0.35">
      <c r="A208" s="78"/>
      <c r="B208" s="78"/>
      <c r="C208" s="78"/>
      <c r="D208" s="70" t="s">
        <v>10052</v>
      </c>
      <c r="E208" s="77" t="s">
        <v>10053</v>
      </c>
      <c r="F208" s="72" t="s">
        <v>10054</v>
      </c>
      <c r="G208" s="73" t="s">
        <v>65</v>
      </c>
      <c r="H208" s="74" t="s">
        <v>10055</v>
      </c>
      <c r="I208" s="81" t="s">
        <v>250</v>
      </c>
      <c r="J208" s="76" t="s">
        <v>10056</v>
      </c>
      <c r="K208" s="71" t="s">
        <v>10057</v>
      </c>
    </row>
    <row r="209" spans="1:11" x14ac:dyDescent="0.35">
      <c r="A209" s="78"/>
      <c r="B209" s="78"/>
      <c r="C209" s="78"/>
      <c r="D209" s="78"/>
      <c r="E209" s="77" t="s">
        <v>10058</v>
      </c>
      <c r="F209" s="34"/>
      <c r="G209" s="9"/>
      <c r="H209" s="79"/>
      <c r="I209" s="10"/>
      <c r="J209" s="79"/>
      <c r="K209" s="71" t="s">
        <v>10059</v>
      </c>
    </row>
    <row r="210" spans="1:11" x14ac:dyDescent="0.35">
      <c r="A210" s="78"/>
      <c r="B210" s="78"/>
      <c r="C210" s="70" t="s">
        <v>10060</v>
      </c>
      <c r="D210" s="70" t="s">
        <v>10061</v>
      </c>
      <c r="E210" s="77" t="s">
        <v>10062</v>
      </c>
      <c r="F210" s="72" t="s">
        <v>10063</v>
      </c>
      <c r="G210" s="73" t="s">
        <v>65</v>
      </c>
      <c r="H210" s="74" t="s">
        <v>10064</v>
      </c>
      <c r="I210" s="80" t="s">
        <v>120</v>
      </c>
      <c r="J210" s="76" t="s">
        <v>10065</v>
      </c>
      <c r="K210" s="71" t="s">
        <v>10066</v>
      </c>
    </row>
    <row r="211" spans="1:11" x14ac:dyDescent="0.35">
      <c r="A211" s="78"/>
      <c r="B211" s="78"/>
      <c r="C211" s="78"/>
      <c r="D211" s="78"/>
      <c r="E211" s="77" t="s">
        <v>10067</v>
      </c>
      <c r="F211" s="34"/>
      <c r="G211" s="9"/>
      <c r="H211" s="79"/>
      <c r="I211" s="10"/>
      <c r="J211" s="79"/>
      <c r="K211" s="71" t="s">
        <v>10068</v>
      </c>
    </row>
    <row r="212" spans="1:11" x14ac:dyDescent="0.35">
      <c r="A212" s="78"/>
      <c r="B212" s="78"/>
      <c r="C212" s="78"/>
      <c r="D212" s="70" t="s">
        <v>10069</v>
      </c>
      <c r="E212" s="77" t="s">
        <v>10070</v>
      </c>
      <c r="F212" s="72" t="s">
        <v>10071</v>
      </c>
      <c r="G212" s="73" t="s">
        <v>65</v>
      </c>
      <c r="H212" s="74" t="s">
        <v>10072</v>
      </c>
      <c r="I212" s="80" t="s">
        <v>120</v>
      </c>
      <c r="J212" s="76" t="s">
        <v>10073</v>
      </c>
      <c r="K212" s="71" t="s">
        <v>10074</v>
      </c>
    </row>
    <row r="213" spans="1:11" x14ac:dyDescent="0.35">
      <c r="A213" s="78"/>
      <c r="B213" s="78"/>
      <c r="C213" s="78"/>
      <c r="D213" s="78"/>
      <c r="E213" s="77" t="s">
        <v>10075</v>
      </c>
      <c r="F213" s="34"/>
      <c r="G213" s="9"/>
      <c r="H213" s="79"/>
      <c r="I213" s="10"/>
      <c r="J213" s="79"/>
      <c r="K213" s="71" t="s">
        <v>10076</v>
      </c>
    </row>
    <row r="214" spans="1:11" x14ac:dyDescent="0.35">
      <c r="A214" s="78"/>
      <c r="B214" s="78"/>
      <c r="C214" s="78"/>
      <c r="D214" s="70" t="s">
        <v>10077</v>
      </c>
      <c r="E214" s="77" t="s">
        <v>10078</v>
      </c>
      <c r="F214" s="72" t="s">
        <v>10079</v>
      </c>
      <c r="G214" s="73" t="s">
        <v>244</v>
      </c>
      <c r="H214" s="74" t="s">
        <v>10080</v>
      </c>
      <c r="I214" s="81" t="s">
        <v>250</v>
      </c>
      <c r="J214" s="76" t="s">
        <v>10081</v>
      </c>
      <c r="K214" s="71" t="s">
        <v>10082</v>
      </c>
    </row>
    <row r="215" spans="1:11" x14ac:dyDescent="0.35">
      <c r="A215" s="78"/>
      <c r="B215" s="78"/>
      <c r="C215" s="78"/>
      <c r="D215" s="78"/>
      <c r="E215" s="77" t="s">
        <v>10083</v>
      </c>
      <c r="F215" s="34"/>
      <c r="G215" s="9"/>
      <c r="H215" s="79"/>
      <c r="I215" s="10"/>
      <c r="J215" s="79"/>
      <c r="K215" s="71" t="s">
        <v>10084</v>
      </c>
    </row>
    <row r="216" spans="1:11" x14ac:dyDescent="0.35">
      <c r="A216" s="78"/>
      <c r="B216" s="78"/>
      <c r="C216" s="78"/>
      <c r="D216" s="70" t="s">
        <v>10085</v>
      </c>
      <c r="E216" s="77" t="s">
        <v>10086</v>
      </c>
      <c r="F216" s="72" t="s">
        <v>10087</v>
      </c>
      <c r="G216" s="73" t="s">
        <v>2545</v>
      </c>
      <c r="H216" s="74" t="s">
        <v>10088</v>
      </c>
      <c r="I216" s="75" t="s">
        <v>58</v>
      </c>
      <c r="J216" s="76" t="s">
        <v>10089</v>
      </c>
      <c r="K216" s="71" t="s">
        <v>10090</v>
      </c>
    </row>
    <row r="217" spans="1:11" x14ac:dyDescent="0.35">
      <c r="A217" s="78"/>
      <c r="B217" s="78"/>
      <c r="C217" s="78"/>
      <c r="D217" s="78"/>
      <c r="E217" s="77" t="s">
        <v>10091</v>
      </c>
      <c r="F217" s="34"/>
      <c r="G217" s="9"/>
      <c r="H217" s="79"/>
      <c r="I217" s="10"/>
      <c r="J217" s="79"/>
      <c r="K217" s="71" t="s">
        <v>10092</v>
      </c>
    </row>
    <row r="218" spans="1:11" x14ac:dyDescent="0.35">
      <c r="A218" s="78"/>
      <c r="B218" s="78"/>
      <c r="C218" s="78"/>
      <c r="D218" s="70" t="s">
        <v>10093</v>
      </c>
      <c r="E218" s="77" t="s">
        <v>10094</v>
      </c>
      <c r="F218" s="72" t="s">
        <v>10095</v>
      </c>
      <c r="G218" s="73" t="s">
        <v>244</v>
      </c>
      <c r="H218" s="74" t="s">
        <v>10096</v>
      </c>
      <c r="I218" s="81" t="s">
        <v>250</v>
      </c>
      <c r="J218" s="76" t="s">
        <v>10097</v>
      </c>
      <c r="K218" s="71" t="s">
        <v>10098</v>
      </c>
    </row>
    <row r="219" spans="1:11" x14ac:dyDescent="0.35">
      <c r="A219" s="78"/>
      <c r="B219" s="78"/>
      <c r="C219" s="78"/>
      <c r="D219" s="78"/>
      <c r="E219" s="77" t="s">
        <v>10099</v>
      </c>
      <c r="F219" s="34"/>
      <c r="G219" s="9"/>
      <c r="H219" s="79"/>
      <c r="I219" s="10"/>
      <c r="J219" s="79"/>
      <c r="K219" s="71" t="s">
        <v>10100</v>
      </c>
    </row>
    <row r="220" spans="1:11" x14ac:dyDescent="0.35">
      <c r="A220" s="78"/>
      <c r="B220" s="78"/>
      <c r="C220" s="70" t="s">
        <v>15</v>
      </c>
      <c r="D220" s="70" t="s">
        <v>10101</v>
      </c>
      <c r="E220" s="77" t="s">
        <v>10102</v>
      </c>
      <c r="F220" s="72" t="s">
        <v>10103</v>
      </c>
      <c r="G220" s="73" t="s">
        <v>244</v>
      </c>
      <c r="H220" s="74" t="s">
        <v>10104</v>
      </c>
      <c r="I220" s="80" t="s">
        <v>120</v>
      </c>
      <c r="J220" s="76" t="s">
        <v>10105</v>
      </c>
      <c r="K220" s="71" t="s">
        <v>10106</v>
      </c>
    </row>
    <row r="221" spans="1:11" x14ac:dyDescent="0.35">
      <c r="A221" s="78"/>
      <c r="B221" s="78"/>
      <c r="C221" s="78"/>
      <c r="D221" s="78"/>
      <c r="E221" s="77" t="s">
        <v>10107</v>
      </c>
      <c r="F221" s="34"/>
      <c r="G221" s="9"/>
      <c r="H221" s="79"/>
      <c r="I221" s="10"/>
      <c r="J221" s="79"/>
      <c r="K221" s="71" t="s">
        <v>10108</v>
      </c>
    </row>
    <row r="222" spans="1:11" x14ac:dyDescent="0.35">
      <c r="A222" s="78"/>
      <c r="B222" s="78"/>
      <c r="C222" s="78"/>
      <c r="D222" s="70" t="s">
        <v>10109</v>
      </c>
      <c r="E222" s="77" t="s">
        <v>10110</v>
      </c>
      <c r="F222" s="72" t="s">
        <v>10111</v>
      </c>
      <c r="G222" s="73" t="s">
        <v>65</v>
      </c>
      <c r="H222" s="74" t="s">
        <v>10112</v>
      </c>
      <c r="I222" s="80" t="s">
        <v>120</v>
      </c>
      <c r="J222" s="76" t="s">
        <v>10113</v>
      </c>
      <c r="K222" s="71" t="s">
        <v>10114</v>
      </c>
    </row>
    <row r="223" spans="1:11" x14ac:dyDescent="0.35">
      <c r="A223" s="78"/>
      <c r="B223" s="78"/>
      <c r="C223" s="78"/>
      <c r="D223" s="78"/>
      <c r="E223" s="77" t="s">
        <v>10115</v>
      </c>
      <c r="F223" s="34"/>
      <c r="G223" s="9"/>
      <c r="H223" s="79"/>
      <c r="I223" s="10"/>
      <c r="J223" s="79"/>
      <c r="K223" s="71" t="s">
        <v>10116</v>
      </c>
    </row>
    <row r="224" spans="1:11" x14ac:dyDescent="0.35">
      <c r="A224" s="78"/>
      <c r="B224" s="78"/>
      <c r="C224" s="78"/>
      <c r="D224" s="70" t="s">
        <v>10117</v>
      </c>
      <c r="E224" s="77" t="s">
        <v>10118</v>
      </c>
      <c r="F224" s="72" t="s">
        <v>10119</v>
      </c>
      <c r="G224" s="73" t="s">
        <v>65</v>
      </c>
      <c r="H224" s="74" t="s">
        <v>10120</v>
      </c>
      <c r="I224" s="81" t="s">
        <v>250</v>
      </c>
      <c r="J224" s="76" t="s">
        <v>10121</v>
      </c>
      <c r="K224" s="71" t="s">
        <v>10122</v>
      </c>
    </row>
    <row r="225" spans="1:11" x14ac:dyDescent="0.35">
      <c r="A225" s="78"/>
      <c r="B225" s="78"/>
      <c r="C225" s="78"/>
      <c r="D225" s="78"/>
      <c r="E225" s="77" t="s">
        <v>10123</v>
      </c>
      <c r="F225" s="34"/>
      <c r="G225" s="9"/>
      <c r="H225" s="79"/>
      <c r="I225" s="10"/>
      <c r="J225" s="79"/>
      <c r="K225" s="71" t="s">
        <v>881</v>
      </c>
    </row>
    <row r="226" spans="1:11" x14ac:dyDescent="0.35">
      <c r="A226" s="78"/>
      <c r="B226" s="78"/>
      <c r="C226" s="78"/>
      <c r="D226" s="70" t="s">
        <v>10124</v>
      </c>
      <c r="E226" s="77" t="s">
        <v>10125</v>
      </c>
      <c r="F226" s="72" t="s">
        <v>10126</v>
      </c>
      <c r="G226" s="73" t="s">
        <v>65</v>
      </c>
      <c r="H226" s="74" t="s">
        <v>10127</v>
      </c>
      <c r="I226" s="75" t="s">
        <v>58</v>
      </c>
      <c r="J226" s="76" t="s">
        <v>10128</v>
      </c>
      <c r="K226" s="71" t="s">
        <v>10129</v>
      </c>
    </row>
    <row r="227" spans="1:11" x14ac:dyDescent="0.35">
      <c r="A227" s="78"/>
      <c r="B227" s="78"/>
      <c r="C227" s="78"/>
      <c r="D227" s="78"/>
      <c r="E227" s="77" t="s">
        <v>10130</v>
      </c>
      <c r="F227" s="34"/>
      <c r="G227" s="9"/>
      <c r="H227" s="79"/>
      <c r="I227" s="10"/>
      <c r="J227" s="79"/>
      <c r="K227" s="71" t="s">
        <v>10131</v>
      </c>
    </row>
    <row r="228" spans="1:11" x14ac:dyDescent="0.35">
      <c r="A228" s="78"/>
      <c r="B228" s="78"/>
      <c r="C228" s="78"/>
      <c r="D228" s="70" t="s">
        <v>10132</v>
      </c>
      <c r="E228" s="77" t="s">
        <v>10133</v>
      </c>
      <c r="F228" s="72" t="s">
        <v>10134</v>
      </c>
      <c r="G228" s="73" t="s">
        <v>244</v>
      </c>
      <c r="H228" s="74" t="s">
        <v>10135</v>
      </c>
      <c r="I228" s="81" t="s">
        <v>250</v>
      </c>
      <c r="J228" s="76" t="s">
        <v>10136</v>
      </c>
      <c r="K228" s="71" t="s">
        <v>10137</v>
      </c>
    </row>
    <row r="229" spans="1:11" x14ac:dyDescent="0.35">
      <c r="A229" s="78"/>
      <c r="B229" s="78"/>
      <c r="C229" s="78"/>
      <c r="D229" s="78"/>
      <c r="E229" s="77" t="s">
        <v>10138</v>
      </c>
      <c r="F229" s="34"/>
      <c r="G229" s="9"/>
      <c r="H229" s="79"/>
      <c r="I229" s="10"/>
      <c r="J229" s="79"/>
      <c r="K229" s="71" t="s">
        <v>10139</v>
      </c>
    </row>
    <row r="230" spans="1:11" x14ac:dyDescent="0.35">
      <c r="A230" s="78"/>
      <c r="B230" s="78"/>
      <c r="C230" s="70" t="s">
        <v>10140</v>
      </c>
      <c r="D230" s="70" t="s">
        <v>10141</v>
      </c>
      <c r="E230" s="77" t="s">
        <v>10142</v>
      </c>
      <c r="F230" s="72" t="s">
        <v>10143</v>
      </c>
      <c r="G230" s="73" t="s">
        <v>2545</v>
      </c>
      <c r="H230" s="74" t="s">
        <v>10144</v>
      </c>
      <c r="I230" s="80" t="s">
        <v>120</v>
      </c>
      <c r="J230" s="76" t="s">
        <v>10145</v>
      </c>
      <c r="K230" s="71" t="s">
        <v>10146</v>
      </c>
    </row>
    <row r="231" spans="1:11" x14ac:dyDescent="0.35">
      <c r="A231" s="78"/>
      <c r="B231" s="78"/>
      <c r="C231" s="78"/>
      <c r="D231" s="78"/>
      <c r="E231" s="77" t="s">
        <v>10147</v>
      </c>
      <c r="F231" s="34"/>
      <c r="G231" s="9"/>
      <c r="H231" s="79"/>
      <c r="I231" s="10"/>
      <c r="J231" s="79"/>
      <c r="K231" s="71" t="s">
        <v>10148</v>
      </c>
    </row>
    <row r="232" spans="1:11" x14ac:dyDescent="0.35">
      <c r="A232" s="78"/>
      <c r="B232" s="78"/>
      <c r="C232" s="78"/>
      <c r="D232" s="70" t="s">
        <v>10149</v>
      </c>
      <c r="E232" s="77" t="s">
        <v>10150</v>
      </c>
      <c r="F232" s="72" t="s">
        <v>10151</v>
      </c>
      <c r="G232" s="73" t="s">
        <v>244</v>
      </c>
      <c r="H232" s="74" t="s">
        <v>10152</v>
      </c>
      <c r="I232" s="80" t="s">
        <v>120</v>
      </c>
      <c r="J232" s="76" t="s">
        <v>10153</v>
      </c>
      <c r="K232" s="71" t="s">
        <v>10154</v>
      </c>
    </row>
    <row r="233" spans="1:11" x14ac:dyDescent="0.35">
      <c r="A233" s="78"/>
      <c r="B233" s="78"/>
      <c r="C233" s="78"/>
      <c r="D233" s="78"/>
      <c r="E233" s="77" t="s">
        <v>10155</v>
      </c>
      <c r="F233" s="34"/>
      <c r="G233" s="9"/>
      <c r="H233" s="79"/>
      <c r="I233" s="10"/>
      <c r="J233" s="79"/>
      <c r="K233" s="71" t="s">
        <v>10156</v>
      </c>
    </row>
    <row r="234" spans="1:11" x14ac:dyDescent="0.35">
      <c r="A234" s="78"/>
      <c r="B234" s="78"/>
      <c r="C234" s="78"/>
      <c r="D234" s="70" t="s">
        <v>10157</v>
      </c>
      <c r="E234" s="77" t="s">
        <v>10158</v>
      </c>
      <c r="F234" s="83" t="s">
        <v>10159</v>
      </c>
      <c r="G234" s="73" t="s">
        <v>244</v>
      </c>
      <c r="H234" s="74" t="s">
        <v>10160</v>
      </c>
      <c r="I234" s="81" t="s">
        <v>250</v>
      </c>
      <c r="J234" s="76" t="s">
        <v>10161</v>
      </c>
      <c r="K234" s="71" t="s">
        <v>10162</v>
      </c>
    </row>
    <row r="235" spans="1:11" x14ac:dyDescent="0.35">
      <c r="A235" s="78"/>
      <c r="B235" s="78"/>
      <c r="C235" s="78"/>
      <c r="D235" s="78"/>
      <c r="E235" s="77" t="s">
        <v>10163</v>
      </c>
      <c r="F235" s="78"/>
      <c r="G235" s="9"/>
      <c r="H235" s="79"/>
      <c r="I235" s="10"/>
      <c r="J235" s="79"/>
      <c r="K235" s="71" t="s">
        <v>10164</v>
      </c>
    </row>
    <row r="236" spans="1:11" x14ac:dyDescent="0.35">
      <c r="A236" s="78"/>
      <c r="B236" s="78"/>
      <c r="C236" s="78"/>
      <c r="D236" s="70" t="s">
        <v>10165</v>
      </c>
      <c r="E236" s="77" t="s">
        <v>10166</v>
      </c>
      <c r="F236" s="72" t="s">
        <v>10167</v>
      </c>
      <c r="G236" s="73" t="s">
        <v>65</v>
      </c>
      <c r="H236" s="74" t="s">
        <v>10168</v>
      </c>
      <c r="I236" s="75" t="s">
        <v>58</v>
      </c>
      <c r="J236" s="76" t="s">
        <v>10169</v>
      </c>
      <c r="K236" s="71" t="s">
        <v>10170</v>
      </c>
    </row>
    <row r="237" spans="1:11" x14ac:dyDescent="0.35">
      <c r="A237" s="78"/>
      <c r="B237" s="78"/>
      <c r="C237" s="78"/>
      <c r="D237" s="78"/>
      <c r="E237" s="77" t="s">
        <v>10171</v>
      </c>
      <c r="F237" s="34"/>
      <c r="G237" s="9"/>
      <c r="H237" s="79"/>
      <c r="I237" s="10"/>
      <c r="J237" s="79"/>
      <c r="K237" s="71" t="s">
        <v>10172</v>
      </c>
    </row>
    <row r="238" spans="1:11" x14ac:dyDescent="0.35">
      <c r="A238" s="78"/>
      <c r="B238" s="78"/>
      <c r="C238" s="78"/>
      <c r="D238" s="70" t="s">
        <v>10173</v>
      </c>
      <c r="E238" s="77" t="s">
        <v>10174</v>
      </c>
      <c r="F238" s="72" t="s">
        <v>10175</v>
      </c>
      <c r="G238" s="73" t="s">
        <v>65</v>
      </c>
      <c r="H238" s="74" t="s">
        <v>10176</v>
      </c>
      <c r="I238" s="81" t="s">
        <v>250</v>
      </c>
      <c r="J238" s="76" t="s">
        <v>10177</v>
      </c>
      <c r="K238" s="71" t="s">
        <v>10178</v>
      </c>
    </row>
    <row r="239" spans="1:11" x14ac:dyDescent="0.35">
      <c r="A239" s="78"/>
      <c r="B239" s="78"/>
      <c r="C239" s="78"/>
      <c r="D239" s="78"/>
      <c r="E239" s="77" t="s">
        <v>10179</v>
      </c>
      <c r="F239" s="34"/>
      <c r="G239" s="9"/>
      <c r="H239" s="79"/>
      <c r="I239" s="10"/>
      <c r="J239" s="79"/>
      <c r="K239" s="71" t="s">
        <v>10180</v>
      </c>
    </row>
    <row r="240" spans="1:11" x14ac:dyDescent="0.35">
      <c r="A240" s="78"/>
      <c r="B240" s="78"/>
      <c r="C240" s="70" t="s">
        <v>10181</v>
      </c>
      <c r="D240" s="70" t="s">
        <v>10182</v>
      </c>
      <c r="E240" s="77" t="s">
        <v>10183</v>
      </c>
      <c r="F240" s="83" t="s">
        <v>10184</v>
      </c>
      <c r="G240" s="73" t="s">
        <v>65</v>
      </c>
      <c r="H240" s="74" t="s">
        <v>10185</v>
      </c>
      <c r="I240" s="80" t="s">
        <v>120</v>
      </c>
      <c r="J240" s="76" t="s">
        <v>10177</v>
      </c>
      <c r="K240" s="71" t="s">
        <v>10186</v>
      </c>
    </row>
    <row r="241" spans="1:11" x14ac:dyDescent="0.35">
      <c r="A241" s="78"/>
      <c r="B241" s="78"/>
      <c r="C241" s="78"/>
      <c r="D241" s="78"/>
      <c r="E241" s="77" t="s">
        <v>10187</v>
      </c>
      <c r="F241" s="78"/>
      <c r="G241" s="9"/>
      <c r="H241" s="79"/>
      <c r="I241" s="10"/>
      <c r="J241" s="79"/>
      <c r="K241" s="71" t="s">
        <v>10188</v>
      </c>
    </row>
    <row r="242" spans="1:11" x14ac:dyDescent="0.35">
      <c r="A242" s="78"/>
      <c r="B242" s="78"/>
      <c r="C242" s="78"/>
      <c r="D242" s="70" t="s">
        <v>10189</v>
      </c>
      <c r="E242" s="77" t="s">
        <v>10190</v>
      </c>
      <c r="F242" s="83" t="s">
        <v>10191</v>
      </c>
      <c r="G242" s="73" t="s">
        <v>244</v>
      </c>
      <c r="H242" s="74" t="s">
        <v>10192</v>
      </c>
      <c r="I242" s="80" t="s">
        <v>120</v>
      </c>
      <c r="J242" s="76" t="s">
        <v>10193</v>
      </c>
      <c r="K242" s="71" t="s">
        <v>10098</v>
      </c>
    </row>
    <row r="243" spans="1:11" x14ac:dyDescent="0.35">
      <c r="A243" s="78"/>
      <c r="B243" s="78"/>
      <c r="C243" s="78"/>
      <c r="D243" s="78"/>
      <c r="E243" s="77" t="s">
        <v>10194</v>
      </c>
      <c r="F243" s="78"/>
      <c r="G243" s="9"/>
      <c r="H243" s="79"/>
      <c r="I243" s="10"/>
      <c r="J243" s="79"/>
      <c r="K243" s="71" t="s">
        <v>10195</v>
      </c>
    </row>
    <row r="244" spans="1:11" x14ac:dyDescent="0.35">
      <c r="A244" s="78"/>
      <c r="B244" s="78"/>
      <c r="C244" s="78"/>
      <c r="D244" s="70" t="s">
        <v>10196</v>
      </c>
      <c r="E244" s="77" t="s">
        <v>10197</v>
      </c>
      <c r="F244" s="83" t="s">
        <v>10198</v>
      </c>
      <c r="G244" s="73" t="s">
        <v>2545</v>
      </c>
      <c r="H244" s="74" t="s">
        <v>10199</v>
      </c>
      <c r="I244" s="81" t="s">
        <v>250</v>
      </c>
      <c r="J244" s="76" t="s">
        <v>10200</v>
      </c>
      <c r="K244" s="71" t="s">
        <v>10201</v>
      </c>
    </row>
    <row r="245" spans="1:11" x14ac:dyDescent="0.35">
      <c r="A245" s="78"/>
      <c r="B245" s="78"/>
      <c r="C245" s="78"/>
      <c r="D245" s="78"/>
      <c r="E245" s="77" t="s">
        <v>10202</v>
      </c>
      <c r="F245" s="78"/>
      <c r="G245" s="9"/>
      <c r="H245" s="79"/>
      <c r="I245" s="10"/>
      <c r="J245" s="79"/>
      <c r="K245" s="71" t="s">
        <v>10203</v>
      </c>
    </row>
    <row r="246" spans="1:11" x14ac:dyDescent="0.35">
      <c r="A246" s="78"/>
      <c r="B246" s="78"/>
      <c r="C246" s="78"/>
      <c r="D246" s="70" t="s">
        <v>10204</v>
      </c>
      <c r="E246" s="77" t="s">
        <v>10205</v>
      </c>
      <c r="F246" s="83" t="s">
        <v>10206</v>
      </c>
      <c r="G246" s="73" t="s">
        <v>244</v>
      </c>
      <c r="H246" s="74" t="s">
        <v>10207</v>
      </c>
      <c r="I246" s="75" t="s">
        <v>58</v>
      </c>
      <c r="J246" s="76" t="s">
        <v>10208</v>
      </c>
      <c r="K246" s="71" t="s">
        <v>10209</v>
      </c>
    </row>
    <row r="247" spans="1:11" x14ac:dyDescent="0.35">
      <c r="A247" s="78"/>
      <c r="B247" s="78"/>
      <c r="C247" s="78"/>
      <c r="D247" s="78"/>
      <c r="E247" s="77" t="s">
        <v>10210</v>
      </c>
      <c r="F247" s="78"/>
      <c r="G247" s="9"/>
      <c r="H247" s="79"/>
      <c r="I247" s="10"/>
      <c r="J247" s="79"/>
      <c r="K247" s="71" t="s">
        <v>10211</v>
      </c>
    </row>
    <row r="248" spans="1:11" x14ac:dyDescent="0.35">
      <c r="A248" s="78"/>
      <c r="B248" s="78"/>
      <c r="C248" s="78"/>
      <c r="D248" s="70" t="s">
        <v>10212</v>
      </c>
      <c r="E248" s="77" t="s">
        <v>10213</v>
      </c>
      <c r="F248" s="83" t="s">
        <v>10214</v>
      </c>
      <c r="G248" s="73" t="s">
        <v>244</v>
      </c>
      <c r="H248" s="74" t="s">
        <v>10215</v>
      </c>
      <c r="I248" s="81" t="s">
        <v>250</v>
      </c>
      <c r="J248" s="76" t="s">
        <v>10216</v>
      </c>
      <c r="K248" s="71" t="s">
        <v>10217</v>
      </c>
    </row>
    <row r="249" spans="1:11" x14ac:dyDescent="0.35">
      <c r="A249" s="78"/>
      <c r="B249" s="78"/>
      <c r="C249" s="78"/>
      <c r="D249" s="78"/>
      <c r="E249" s="77" t="s">
        <v>10218</v>
      </c>
      <c r="F249" s="78"/>
      <c r="G249" s="9"/>
      <c r="H249" s="79"/>
      <c r="I249" s="10"/>
      <c r="J249" s="79"/>
      <c r="K249" s="71" t="s">
        <v>10219</v>
      </c>
    </row>
    <row r="250" spans="1:11" x14ac:dyDescent="0.35">
      <c r="A250" s="78"/>
      <c r="B250" s="78"/>
      <c r="C250" s="70" t="s">
        <v>16</v>
      </c>
      <c r="D250" s="70" t="s">
        <v>10220</v>
      </c>
      <c r="E250" s="77" t="s">
        <v>10221</v>
      </c>
      <c r="F250" s="83" t="s">
        <v>10222</v>
      </c>
      <c r="G250" s="73" t="s">
        <v>65</v>
      </c>
      <c r="H250" s="74" t="s">
        <v>10223</v>
      </c>
      <c r="I250" s="80" t="s">
        <v>120</v>
      </c>
      <c r="J250" s="76" t="s">
        <v>10224</v>
      </c>
      <c r="K250" s="71" t="s">
        <v>10225</v>
      </c>
    </row>
    <row r="251" spans="1:11" x14ac:dyDescent="0.35">
      <c r="A251" s="78"/>
      <c r="B251" s="78"/>
      <c r="C251" s="78"/>
      <c r="D251" s="78"/>
      <c r="E251" s="77" t="s">
        <v>10226</v>
      </c>
      <c r="F251" s="78"/>
      <c r="G251" s="9"/>
      <c r="H251" s="79"/>
      <c r="I251" s="10"/>
      <c r="J251" s="79"/>
      <c r="K251" s="71" t="s">
        <v>10227</v>
      </c>
    </row>
    <row r="252" spans="1:11" x14ac:dyDescent="0.35">
      <c r="A252" s="78"/>
      <c r="B252" s="78"/>
      <c r="C252" s="78"/>
      <c r="D252" s="70" t="s">
        <v>10228</v>
      </c>
      <c r="E252" s="77" t="s">
        <v>10229</v>
      </c>
      <c r="F252" s="83" t="s">
        <v>10230</v>
      </c>
      <c r="G252" s="73" t="s">
        <v>65</v>
      </c>
      <c r="H252" s="74" t="s">
        <v>10231</v>
      </c>
      <c r="I252" s="80" t="s">
        <v>120</v>
      </c>
      <c r="J252" s="76" t="s">
        <v>10232</v>
      </c>
      <c r="K252" s="71" t="s">
        <v>10233</v>
      </c>
    </row>
    <row r="253" spans="1:11" x14ac:dyDescent="0.35">
      <c r="A253" s="78"/>
      <c r="B253" s="78"/>
      <c r="C253" s="78"/>
      <c r="D253" s="78"/>
      <c r="E253" s="77" t="s">
        <v>10234</v>
      </c>
      <c r="F253" s="78"/>
      <c r="G253" s="9"/>
      <c r="H253" s="79"/>
      <c r="I253" s="10"/>
      <c r="J253" s="79"/>
      <c r="K253" s="71" t="s">
        <v>10235</v>
      </c>
    </row>
    <row r="254" spans="1:11" x14ac:dyDescent="0.35">
      <c r="A254" s="78"/>
      <c r="B254" s="78"/>
      <c r="C254" s="78"/>
      <c r="D254" s="70" t="s">
        <v>10236</v>
      </c>
      <c r="E254" s="77" t="s">
        <v>10237</v>
      </c>
      <c r="F254" s="83" t="s">
        <v>10238</v>
      </c>
      <c r="G254" s="73" t="s">
        <v>65</v>
      </c>
      <c r="H254" s="74" t="s">
        <v>9720</v>
      </c>
      <c r="I254" s="81" t="s">
        <v>250</v>
      </c>
      <c r="J254" s="76" t="s">
        <v>10239</v>
      </c>
      <c r="K254" s="71" t="s">
        <v>10240</v>
      </c>
    </row>
    <row r="255" spans="1:11" x14ac:dyDescent="0.35">
      <c r="A255" s="78"/>
      <c r="B255" s="78"/>
      <c r="C255" s="78"/>
      <c r="D255" s="78"/>
      <c r="E255" s="77" t="s">
        <v>10241</v>
      </c>
      <c r="F255" s="78"/>
      <c r="G255" s="9"/>
      <c r="H255" s="79"/>
      <c r="I255" s="10"/>
      <c r="J255" s="79"/>
      <c r="K255" s="71" t="s">
        <v>10242</v>
      </c>
    </row>
    <row r="256" spans="1:11" x14ac:dyDescent="0.35">
      <c r="A256" s="78"/>
      <c r="B256" s="78"/>
      <c r="C256" s="78"/>
      <c r="D256" s="70" t="s">
        <v>10243</v>
      </c>
      <c r="E256" s="77" t="s">
        <v>10244</v>
      </c>
      <c r="F256" s="83" t="s">
        <v>10245</v>
      </c>
      <c r="G256" s="73" t="s">
        <v>244</v>
      </c>
      <c r="H256" s="74" t="s">
        <v>10246</v>
      </c>
      <c r="I256" s="75" t="s">
        <v>58</v>
      </c>
      <c r="J256" s="76" t="s">
        <v>10247</v>
      </c>
      <c r="K256" s="71" t="s">
        <v>10248</v>
      </c>
    </row>
    <row r="257" spans="1:11" x14ac:dyDescent="0.35">
      <c r="A257" s="78"/>
      <c r="B257" s="78"/>
      <c r="C257" s="78"/>
      <c r="D257" s="78"/>
      <c r="E257" s="77" t="s">
        <v>10249</v>
      </c>
      <c r="F257" s="78"/>
      <c r="G257" s="9"/>
      <c r="H257" s="79"/>
      <c r="I257" s="10"/>
      <c r="J257" s="79"/>
      <c r="K257" s="71" t="s">
        <v>10250</v>
      </c>
    </row>
    <row r="258" spans="1:11" x14ac:dyDescent="0.35">
      <c r="A258" s="78"/>
      <c r="B258" s="78"/>
      <c r="C258" s="78"/>
      <c r="D258" s="70" t="s">
        <v>10251</v>
      </c>
      <c r="E258" s="77" t="s">
        <v>10252</v>
      </c>
      <c r="F258" s="83" t="s">
        <v>10253</v>
      </c>
      <c r="G258" s="73" t="s">
        <v>2545</v>
      </c>
      <c r="H258" s="74" t="s">
        <v>10254</v>
      </c>
      <c r="I258" s="81" t="s">
        <v>250</v>
      </c>
      <c r="J258" s="76" t="s">
        <v>10255</v>
      </c>
      <c r="K258" s="71" t="s">
        <v>10256</v>
      </c>
    </row>
    <row r="259" spans="1:11" x14ac:dyDescent="0.35">
      <c r="A259" s="78"/>
      <c r="B259" s="78"/>
      <c r="C259" s="78"/>
      <c r="D259" s="78"/>
      <c r="E259" s="77" t="s">
        <v>10257</v>
      </c>
      <c r="F259" s="78"/>
      <c r="G259" s="9"/>
      <c r="H259" s="79"/>
      <c r="I259" s="10"/>
      <c r="J259" s="79"/>
      <c r="K259" s="71" t="s">
        <v>10258</v>
      </c>
    </row>
    <row r="260" spans="1:11" x14ac:dyDescent="0.35">
      <c r="A260" s="78"/>
      <c r="B260" s="78"/>
      <c r="C260" s="70" t="s">
        <v>10259</v>
      </c>
      <c r="D260" s="70" t="s">
        <v>10260</v>
      </c>
      <c r="E260" s="77" t="s">
        <v>10260</v>
      </c>
      <c r="F260" s="83" t="s">
        <v>10261</v>
      </c>
      <c r="G260" s="73" t="s">
        <v>244</v>
      </c>
      <c r="H260" s="74" t="s">
        <v>10262</v>
      </c>
      <c r="I260" s="80" t="s">
        <v>120</v>
      </c>
      <c r="J260" s="76" t="s">
        <v>10263</v>
      </c>
      <c r="K260" s="71" t="s">
        <v>10264</v>
      </c>
    </row>
    <row r="261" spans="1:11" x14ac:dyDescent="0.35">
      <c r="A261" s="78"/>
      <c r="B261" s="78"/>
      <c r="C261" s="78"/>
      <c r="D261" s="78"/>
      <c r="E261" s="77" t="s">
        <v>10265</v>
      </c>
      <c r="F261" s="78"/>
      <c r="G261" s="9"/>
      <c r="H261" s="79"/>
      <c r="I261" s="10"/>
      <c r="J261" s="79"/>
      <c r="K261" s="71" t="s">
        <v>10266</v>
      </c>
    </row>
    <row r="262" spans="1:11" x14ac:dyDescent="0.35">
      <c r="A262" s="78"/>
      <c r="B262" s="78"/>
      <c r="C262" s="78"/>
      <c r="D262" s="70" t="s">
        <v>10267</v>
      </c>
      <c r="E262" s="77" t="s">
        <v>10267</v>
      </c>
      <c r="F262" s="83" t="s">
        <v>10268</v>
      </c>
      <c r="G262" s="73" t="s">
        <v>244</v>
      </c>
      <c r="H262" s="74" t="s">
        <v>10269</v>
      </c>
      <c r="I262" s="80" t="s">
        <v>120</v>
      </c>
      <c r="J262" s="76" t="s">
        <v>10270</v>
      </c>
      <c r="K262" s="71" t="s">
        <v>10271</v>
      </c>
    </row>
    <row r="263" spans="1:11" x14ac:dyDescent="0.35">
      <c r="A263" s="78"/>
      <c r="B263" s="78"/>
      <c r="C263" s="78"/>
      <c r="D263" s="78"/>
      <c r="E263" s="77" t="s">
        <v>2331</v>
      </c>
      <c r="F263" s="78"/>
      <c r="G263" s="9"/>
      <c r="H263" s="79"/>
      <c r="I263" s="10"/>
      <c r="J263" s="79"/>
      <c r="K263" s="71" t="s">
        <v>10272</v>
      </c>
    </row>
    <row r="264" spans="1:11" x14ac:dyDescent="0.35">
      <c r="A264" s="78"/>
      <c r="B264" s="78"/>
      <c r="C264" s="78"/>
      <c r="D264" s="70" t="s">
        <v>10273</v>
      </c>
      <c r="E264" s="77" t="s">
        <v>10274</v>
      </c>
      <c r="F264" s="83" t="s">
        <v>10275</v>
      </c>
      <c r="G264" s="73" t="s">
        <v>65</v>
      </c>
      <c r="H264" s="74" t="s">
        <v>10276</v>
      </c>
      <c r="I264" s="81" t="s">
        <v>250</v>
      </c>
      <c r="J264" s="76" t="s">
        <v>10277</v>
      </c>
      <c r="K264" s="71" t="s">
        <v>10278</v>
      </c>
    </row>
    <row r="265" spans="1:11" x14ac:dyDescent="0.35">
      <c r="A265" s="78"/>
      <c r="B265" s="78"/>
      <c r="C265" s="78"/>
      <c r="D265" s="78"/>
      <c r="E265" s="77" t="s">
        <v>10279</v>
      </c>
      <c r="F265" s="78"/>
      <c r="G265" s="9"/>
      <c r="H265" s="79"/>
      <c r="I265" s="10"/>
      <c r="J265" s="79"/>
      <c r="K265" s="71" t="s">
        <v>10280</v>
      </c>
    </row>
    <row r="266" spans="1:11" x14ac:dyDescent="0.35">
      <c r="A266" s="78"/>
      <c r="B266" s="78"/>
      <c r="C266" s="78"/>
      <c r="D266" s="70" t="s">
        <v>10281</v>
      </c>
      <c r="E266" s="77" t="s">
        <v>10282</v>
      </c>
      <c r="F266" s="83" t="s">
        <v>10283</v>
      </c>
      <c r="G266" s="73" t="s">
        <v>65</v>
      </c>
      <c r="H266" s="74" t="s">
        <v>10284</v>
      </c>
      <c r="I266" s="75" t="s">
        <v>58</v>
      </c>
      <c r="J266" s="76" t="s">
        <v>10285</v>
      </c>
      <c r="K266" s="71" t="s">
        <v>10286</v>
      </c>
    </row>
    <row r="267" spans="1:11" x14ac:dyDescent="0.35">
      <c r="A267" s="78"/>
      <c r="B267" s="78"/>
      <c r="C267" s="78"/>
      <c r="D267" s="78"/>
      <c r="E267" s="77" t="s">
        <v>10287</v>
      </c>
      <c r="F267" s="78"/>
      <c r="G267" s="9"/>
      <c r="H267" s="79"/>
      <c r="I267" s="10"/>
      <c r="J267" s="79"/>
      <c r="K267" s="71" t="s">
        <v>10288</v>
      </c>
    </row>
    <row r="268" spans="1:11" x14ac:dyDescent="0.35">
      <c r="A268" s="78"/>
      <c r="B268" s="78"/>
      <c r="C268" s="78"/>
      <c r="D268" s="70" t="s">
        <v>10289</v>
      </c>
      <c r="E268" s="77" t="s">
        <v>10290</v>
      </c>
      <c r="F268" s="83" t="s">
        <v>10291</v>
      </c>
      <c r="G268" s="73" t="s">
        <v>65</v>
      </c>
      <c r="H268" s="74" t="s">
        <v>10292</v>
      </c>
      <c r="I268" s="81" t="s">
        <v>250</v>
      </c>
      <c r="J268" s="76" t="s">
        <v>10293</v>
      </c>
      <c r="K268" s="71" t="s">
        <v>10294</v>
      </c>
    </row>
    <row r="269" spans="1:11" x14ac:dyDescent="0.35">
      <c r="A269" s="78"/>
      <c r="B269" s="78"/>
      <c r="C269" s="78"/>
      <c r="D269" s="78"/>
      <c r="E269" s="77" t="s">
        <v>10295</v>
      </c>
      <c r="F269" s="78"/>
      <c r="G269" s="9"/>
      <c r="H269" s="79"/>
      <c r="I269" s="10"/>
      <c r="J269" s="79"/>
      <c r="K269" s="71" t="s">
        <v>10296</v>
      </c>
    </row>
    <row r="270" spans="1:11" x14ac:dyDescent="0.35">
      <c r="A270" s="78"/>
      <c r="B270" s="78"/>
      <c r="C270" s="70" t="s">
        <v>10297</v>
      </c>
      <c r="D270" s="70" t="s">
        <v>10298</v>
      </c>
      <c r="E270" s="77" t="s">
        <v>10299</v>
      </c>
      <c r="F270" s="83" t="s">
        <v>10300</v>
      </c>
      <c r="G270" s="73" t="s">
        <v>244</v>
      </c>
      <c r="H270" s="74" t="s">
        <v>10301</v>
      </c>
      <c r="I270" s="80" t="s">
        <v>120</v>
      </c>
      <c r="J270" s="76" t="s">
        <v>10302</v>
      </c>
      <c r="K270" s="71" t="s">
        <v>10303</v>
      </c>
    </row>
    <row r="271" spans="1:11" x14ac:dyDescent="0.35">
      <c r="A271" s="78"/>
      <c r="B271" s="78"/>
      <c r="C271" s="78"/>
      <c r="D271" s="78"/>
      <c r="E271" s="77" t="s">
        <v>10304</v>
      </c>
      <c r="F271" s="78"/>
      <c r="G271" s="9"/>
      <c r="H271" s="79"/>
      <c r="I271" s="10"/>
      <c r="J271" s="79"/>
      <c r="K271" s="71" t="s">
        <v>10305</v>
      </c>
    </row>
    <row r="272" spans="1:11" x14ac:dyDescent="0.35">
      <c r="A272" s="78"/>
      <c r="B272" s="78"/>
      <c r="C272" s="78"/>
      <c r="D272" s="70" t="s">
        <v>10306</v>
      </c>
      <c r="E272" s="77" t="s">
        <v>10307</v>
      </c>
      <c r="F272" s="83" t="s">
        <v>10308</v>
      </c>
      <c r="G272" s="73" t="s">
        <v>2545</v>
      </c>
      <c r="H272" s="74" t="s">
        <v>10309</v>
      </c>
      <c r="I272" s="80" t="s">
        <v>120</v>
      </c>
      <c r="J272" s="76" t="s">
        <v>10310</v>
      </c>
      <c r="K272" s="71" t="s">
        <v>10311</v>
      </c>
    </row>
    <row r="273" spans="1:11" x14ac:dyDescent="0.35">
      <c r="A273" s="78"/>
      <c r="B273" s="78"/>
      <c r="C273" s="78"/>
      <c r="D273" s="78"/>
      <c r="E273" s="77" t="s">
        <v>10312</v>
      </c>
      <c r="F273" s="78"/>
      <c r="G273" s="9"/>
      <c r="H273" s="79"/>
      <c r="I273" s="10"/>
      <c r="J273" s="79"/>
      <c r="K273" s="71" t="s">
        <v>10203</v>
      </c>
    </row>
    <row r="274" spans="1:11" x14ac:dyDescent="0.35">
      <c r="A274" s="78"/>
      <c r="B274" s="78"/>
      <c r="C274" s="78"/>
      <c r="D274" s="70" t="s">
        <v>10313</v>
      </c>
      <c r="E274" s="77" t="s">
        <v>10314</v>
      </c>
      <c r="F274" s="83" t="s">
        <v>10315</v>
      </c>
      <c r="G274" s="73" t="s">
        <v>244</v>
      </c>
      <c r="H274" s="74" t="s">
        <v>10316</v>
      </c>
      <c r="I274" s="81" t="s">
        <v>250</v>
      </c>
      <c r="J274" s="76" t="s">
        <v>10317</v>
      </c>
      <c r="K274" s="71" t="s">
        <v>10318</v>
      </c>
    </row>
    <row r="275" spans="1:11" x14ac:dyDescent="0.35">
      <c r="A275" s="78"/>
      <c r="B275" s="78"/>
      <c r="C275" s="78"/>
      <c r="D275" s="78"/>
      <c r="E275" s="77" t="s">
        <v>10319</v>
      </c>
      <c r="F275" s="78"/>
      <c r="G275" s="9"/>
      <c r="H275" s="79"/>
      <c r="I275" s="10"/>
      <c r="J275" s="79"/>
      <c r="K275" s="71" t="s">
        <v>10320</v>
      </c>
    </row>
    <row r="276" spans="1:11" x14ac:dyDescent="0.35">
      <c r="A276" s="78"/>
      <c r="B276" s="78"/>
      <c r="C276" s="78"/>
      <c r="D276" s="70" t="s">
        <v>10321</v>
      </c>
      <c r="E276" s="77" t="s">
        <v>10322</v>
      </c>
      <c r="F276" s="83" t="s">
        <v>10323</v>
      </c>
      <c r="G276" s="73" t="s">
        <v>244</v>
      </c>
      <c r="H276" s="74" t="s">
        <v>10324</v>
      </c>
      <c r="I276" s="75" t="s">
        <v>58</v>
      </c>
      <c r="J276" s="76" t="s">
        <v>10325</v>
      </c>
      <c r="K276" s="71" t="s">
        <v>10326</v>
      </c>
    </row>
    <row r="277" spans="1:11" x14ac:dyDescent="0.35">
      <c r="A277" s="78"/>
      <c r="B277" s="78"/>
      <c r="C277" s="78"/>
      <c r="D277" s="78"/>
      <c r="E277" s="77" t="s">
        <v>10327</v>
      </c>
      <c r="F277" s="78"/>
      <c r="G277" s="9"/>
      <c r="H277" s="79"/>
      <c r="I277" s="10"/>
      <c r="J277" s="79"/>
      <c r="K277" s="71" t="s">
        <v>10217</v>
      </c>
    </row>
    <row r="278" spans="1:11" x14ac:dyDescent="0.35">
      <c r="A278" s="78"/>
      <c r="B278" s="78"/>
      <c r="C278" s="78"/>
      <c r="D278" s="70" t="s">
        <v>10328</v>
      </c>
      <c r="E278" s="77" t="s">
        <v>10328</v>
      </c>
      <c r="F278" s="83" t="s">
        <v>10329</v>
      </c>
      <c r="G278" s="73" t="s">
        <v>65</v>
      </c>
      <c r="H278" s="74" t="s">
        <v>9816</v>
      </c>
      <c r="I278" s="81" t="s">
        <v>250</v>
      </c>
      <c r="J278" s="76" t="s">
        <v>10330</v>
      </c>
      <c r="K278" s="71" t="s">
        <v>10219</v>
      </c>
    </row>
    <row r="279" spans="1:11" x14ac:dyDescent="0.35">
      <c r="A279" s="78"/>
      <c r="B279" s="78"/>
      <c r="C279" s="78"/>
      <c r="D279" s="78"/>
      <c r="E279" s="77" t="s">
        <v>10331</v>
      </c>
      <c r="F279" s="78"/>
      <c r="G279" s="9"/>
      <c r="H279" s="79"/>
      <c r="I279" s="10"/>
      <c r="J279" s="79"/>
      <c r="K279" s="71" t="s">
        <v>10332</v>
      </c>
    </row>
    <row r="280" spans="1:11" x14ac:dyDescent="0.35">
      <c r="A280" s="78"/>
      <c r="B280" s="78"/>
      <c r="C280" s="70" t="s">
        <v>17</v>
      </c>
      <c r="D280" s="70" t="s">
        <v>10333</v>
      </c>
      <c r="E280" s="77" t="s">
        <v>10334</v>
      </c>
      <c r="F280" s="83" t="s">
        <v>10335</v>
      </c>
      <c r="G280" s="73" t="s">
        <v>65</v>
      </c>
      <c r="H280" s="74" t="s">
        <v>10336</v>
      </c>
      <c r="I280" s="80" t="s">
        <v>120</v>
      </c>
      <c r="J280" s="76" t="s">
        <v>10337</v>
      </c>
      <c r="K280" s="71" t="s">
        <v>10227</v>
      </c>
    </row>
    <row r="281" spans="1:11" x14ac:dyDescent="0.35">
      <c r="A281" s="78"/>
      <c r="B281" s="78"/>
      <c r="C281" s="78"/>
      <c r="D281" s="78"/>
      <c r="E281" s="77" t="s">
        <v>10338</v>
      </c>
      <c r="F281" s="78"/>
      <c r="G281" s="9"/>
      <c r="H281" s="79"/>
      <c r="I281" s="10"/>
      <c r="J281" s="79"/>
      <c r="K281" s="71" t="s">
        <v>10233</v>
      </c>
    </row>
    <row r="282" spans="1:11" x14ac:dyDescent="0.35">
      <c r="A282" s="78"/>
      <c r="B282" s="78"/>
      <c r="C282" s="78"/>
      <c r="D282" s="70" t="s">
        <v>10339</v>
      </c>
      <c r="E282" s="77" t="s">
        <v>10340</v>
      </c>
      <c r="F282" s="83" t="s">
        <v>10341</v>
      </c>
      <c r="G282" s="73" t="s">
        <v>65</v>
      </c>
      <c r="H282" s="74" t="s">
        <v>10342</v>
      </c>
      <c r="I282" s="80" t="s">
        <v>120</v>
      </c>
      <c r="J282" s="76" t="s">
        <v>10343</v>
      </c>
      <c r="K282" s="71" t="s">
        <v>10235</v>
      </c>
    </row>
    <row r="283" spans="1:11" x14ac:dyDescent="0.35">
      <c r="A283" s="78"/>
      <c r="B283" s="78"/>
      <c r="C283" s="78"/>
      <c r="D283" s="78"/>
      <c r="E283" s="77" t="s">
        <v>10344</v>
      </c>
      <c r="F283" s="78"/>
      <c r="G283" s="9"/>
      <c r="H283" s="79"/>
      <c r="I283" s="10"/>
      <c r="J283" s="79"/>
      <c r="K283" s="71" t="s">
        <v>10240</v>
      </c>
    </row>
    <row r="284" spans="1:11" x14ac:dyDescent="0.35">
      <c r="A284" s="78"/>
      <c r="B284" s="78"/>
      <c r="C284" s="78"/>
      <c r="D284" s="70" t="s">
        <v>10345</v>
      </c>
      <c r="E284" s="77" t="s">
        <v>10346</v>
      </c>
      <c r="F284" s="83" t="s">
        <v>10347</v>
      </c>
      <c r="G284" s="73" t="s">
        <v>244</v>
      </c>
      <c r="H284" s="74" t="s">
        <v>10348</v>
      </c>
      <c r="I284" s="81" t="s">
        <v>250</v>
      </c>
      <c r="J284" s="76" t="s">
        <v>10349</v>
      </c>
      <c r="K284" s="71" t="s">
        <v>10242</v>
      </c>
    </row>
    <row r="285" spans="1:11" x14ac:dyDescent="0.35">
      <c r="A285" s="78"/>
      <c r="B285" s="78"/>
      <c r="C285" s="78"/>
      <c r="D285" s="78"/>
      <c r="E285" s="77" t="s">
        <v>10350</v>
      </c>
      <c r="F285" s="78"/>
      <c r="G285" s="9"/>
      <c r="H285" s="79"/>
      <c r="I285" s="10"/>
      <c r="J285" s="79"/>
      <c r="K285" s="71" t="s">
        <v>10248</v>
      </c>
    </row>
    <row r="286" spans="1:11" x14ac:dyDescent="0.35">
      <c r="A286" s="78"/>
      <c r="B286" s="78"/>
      <c r="C286" s="78"/>
      <c r="D286" s="70" t="s">
        <v>10351</v>
      </c>
      <c r="E286" s="77" t="s">
        <v>10352</v>
      </c>
      <c r="F286" s="83" t="s">
        <v>10353</v>
      </c>
      <c r="G286" s="73" t="s">
        <v>2545</v>
      </c>
      <c r="H286" s="74" t="s">
        <v>10354</v>
      </c>
      <c r="I286" s="75" t="s">
        <v>58</v>
      </c>
      <c r="J286" s="76" t="s">
        <v>10355</v>
      </c>
      <c r="K286" s="71" t="s">
        <v>10250</v>
      </c>
    </row>
    <row r="287" spans="1:11" x14ac:dyDescent="0.35">
      <c r="A287" s="78"/>
      <c r="B287" s="78"/>
      <c r="C287" s="78"/>
      <c r="D287" s="78"/>
      <c r="E287" s="77" t="s">
        <v>10356</v>
      </c>
      <c r="F287" s="78"/>
      <c r="G287" s="9"/>
      <c r="H287" s="79"/>
      <c r="I287" s="10"/>
      <c r="J287" s="79"/>
      <c r="K287" s="71" t="s">
        <v>10357</v>
      </c>
    </row>
    <row r="288" spans="1:11" x14ac:dyDescent="0.35">
      <c r="A288" s="78"/>
      <c r="B288" s="78"/>
      <c r="C288" s="78"/>
      <c r="D288" s="70" t="s">
        <v>10358</v>
      </c>
      <c r="E288" s="77" t="s">
        <v>10359</v>
      </c>
      <c r="F288" s="83" t="s">
        <v>10360</v>
      </c>
      <c r="G288" s="73" t="s">
        <v>244</v>
      </c>
      <c r="H288" s="74" t="s">
        <v>10361</v>
      </c>
      <c r="I288" s="81" t="s">
        <v>250</v>
      </c>
      <c r="J288" s="76" t="s">
        <v>10362</v>
      </c>
      <c r="K288" s="71" t="s">
        <v>10258</v>
      </c>
    </row>
    <row r="289" spans="1:11" x14ac:dyDescent="0.35">
      <c r="A289" s="78"/>
      <c r="B289" s="78"/>
      <c r="C289" s="78"/>
      <c r="D289" s="78"/>
      <c r="E289" s="77" t="s">
        <v>10363</v>
      </c>
      <c r="F289" s="78"/>
      <c r="G289" s="9"/>
      <c r="H289" s="79"/>
      <c r="I289" s="10"/>
      <c r="J289" s="79"/>
      <c r="K289" s="71" t="s">
        <v>10264</v>
      </c>
    </row>
    <row r="290" spans="1:11" x14ac:dyDescent="0.35">
      <c r="A290" s="78"/>
      <c r="B290" s="78"/>
      <c r="C290" s="70" t="s">
        <v>18</v>
      </c>
      <c r="D290" s="70" t="s">
        <v>10364</v>
      </c>
      <c r="E290" s="77" t="s">
        <v>10365</v>
      </c>
      <c r="F290" s="83" t="s">
        <v>10366</v>
      </c>
      <c r="G290" s="73" t="s">
        <v>244</v>
      </c>
      <c r="H290" s="74" t="s">
        <v>10367</v>
      </c>
      <c r="I290" s="80" t="s">
        <v>120</v>
      </c>
      <c r="J290" s="76" t="s">
        <v>10368</v>
      </c>
      <c r="K290" s="71" t="s">
        <v>10266</v>
      </c>
    </row>
    <row r="291" spans="1:11" x14ac:dyDescent="0.35">
      <c r="A291" s="78"/>
      <c r="B291" s="78"/>
      <c r="C291" s="78"/>
      <c r="D291" s="78"/>
      <c r="E291" s="77" t="s">
        <v>10369</v>
      </c>
      <c r="F291" s="78"/>
      <c r="G291" s="9"/>
      <c r="H291" s="79"/>
      <c r="I291" s="10"/>
      <c r="J291" s="79"/>
      <c r="K291" s="71" t="s">
        <v>10271</v>
      </c>
    </row>
    <row r="292" spans="1:11" x14ac:dyDescent="0.35">
      <c r="A292" s="78"/>
      <c r="B292" s="78"/>
      <c r="C292" s="78"/>
      <c r="D292" s="70" t="s">
        <v>10370</v>
      </c>
      <c r="E292" s="77" t="s">
        <v>10371</v>
      </c>
      <c r="F292" s="83" t="s">
        <v>10372</v>
      </c>
      <c r="G292" s="73" t="s">
        <v>65</v>
      </c>
      <c r="H292" s="74" t="s">
        <v>10373</v>
      </c>
      <c r="I292" s="80" t="s">
        <v>120</v>
      </c>
      <c r="J292" s="76" t="s">
        <v>10374</v>
      </c>
      <c r="K292" s="71" t="s">
        <v>10278</v>
      </c>
    </row>
    <row r="293" spans="1:11" x14ac:dyDescent="0.35">
      <c r="A293" s="78"/>
      <c r="B293" s="78"/>
      <c r="C293" s="78"/>
      <c r="D293" s="78"/>
      <c r="E293" s="77" t="s">
        <v>10375</v>
      </c>
      <c r="F293" s="78"/>
      <c r="G293" s="9"/>
      <c r="H293" s="79"/>
      <c r="I293" s="10"/>
      <c r="J293" s="79"/>
      <c r="K293" s="71" t="s">
        <v>10280</v>
      </c>
    </row>
    <row r="294" spans="1:11" x14ac:dyDescent="0.35">
      <c r="A294" s="78"/>
      <c r="B294" s="78"/>
      <c r="C294" s="78"/>
      <c r="D294" s="70" t="s">
        <v>10376</v>
      </c>
      <c r="E294" s="77" t="s">
        <v>10377</v>
      </c>
      <c r="F294" s="83" t="s">
        <v>10378</v>
      </c>
      <c r="G294" s="73" t="s">
        <v>65</v>
      </c>
      <c r="H294" s="74" t="s">
        <v>10379</v>
      </c>
      <c r="I294" s="81" t="s">
        <v>250</v>
      </c>
      <c r="J294" s="76" t="s">
        <v>10380</v>
      </c>
      <c r="K294" s="71" t="s">
        <v>10286</v>
      </c>
    </row>
    <row r="295" spans="1:11" x14ac:dyDescent="0.35">
      <c r="A295" s="78"/>
      <c r="B295" s="78"/>
      <c r="C295" s="78"/>
      <c r="D295" s="78"/>
      <c r="E295" s="77" t="s">
        <v>10381</v>
      </c>
      <c r="F295" s="78"/>
      <c r="G295" s="9"/>
      <c r="H295" s="79"/>
      <c r="I295" s="10"/>
      <c r="J295" s="79"/>
      <c r="K295" s="71" t="s">
        <v>10288</v>
      </c>
    </row>
    <row r="296" spans="1:11" x14ac:dyDescent="0.35">
      <c r="A296" s="78"/>
      <c r="B296" s="78"/>
      <c r="C296" s="78"/>
      <c r="D296" s="70" t="s">
        <v>10382</v>
      </c>
      <c r="E296" s="77" t="s">
        <v>10383</v>
      </c>
      <c r="F296" s="83" t="s">
        <v>10384</v>
      </c>
      <c r="G296" s="73" t="s">
        <v>65</v>
      </c>
      <c r="H296" s="74" t="s">
        <v>10385</v>
      </c>
      <c r="I296" s="75" t="s">
        <v>58</v>
      </c>
      <c r="J296" s="76" t="s">
        <v>10386</v>
      </c>
      <c r="K296" s="71" t="s">
        <v>10387</v>
      </c>
    </row>
    <row r="297" spans="1:11" x14ac:dyDescent="0.35">
      <c r="A297" s="78"/>
      <c r="B297" s="78"/>
      <c r="C297" s="78"/>
      <c r="D297" s="78"/>
      <c r="E297" s="77" t="s">
        <v>10388</v>
      </c>
      <c r="F297" s="78"/>
      <c r="G297" s="9"/>
      <c r="H297" s="79"/>
      <c r="I297" s="10"/>
      <c r="J297" s="79"/>
      <c r="K297" s="71" t="s">
        <v>10389</v>
      </c>
    </row>
    <row r="298" spans="1:11" x14ac:dyDescent="0.35">
      <c r="A298" s="78"/>
      <c r="B298" s="78"/>
      <c r="C298" s="78"/>
      <c r="D298" s="70" t="s">
        <v>10390</v>
      </c>
      <c r="E298" s="77" t="s">
        <v>10391</v>
      </c>
      <c r="F298" s="83" t="s">
        <v>10392</v>
      </c>
      <c r="G298" s="73" t="s">
        <v>244</v>
      </c>
      <c r="H298" s="74" t="s">
        <v>10393</v>
      </c>
      <c r="I298" s="81" t="s">
        <v>250</v>
      </c>
      <c r="J298" s="76" t="s">
        <v>10394</v>
      </c>
      <c r="K298" s="71" t="s">
        <v>10303</v>
      </c>
    </row>
    <row r="299" spans="1:11" x14ac:dyDescent="0.35">
      <c r="A299" s="78"/>
      <c r="B299" s="78"/>
      <c r="C299" s="78"/>
      <c r="D299" s="78"/>
      <c r="E299" s="77" t="s">
        <v>10395</v>
      </c>
      <c r="F299" s="78"/>
      <c r="G299" s="9"/>
      <c r="H299" s="79"/>
      <c r="I299" s="10"/>
      <c r="J299" s="79"/>
      <c r="K299" s="71" t="s">
        <v>10305</v>
      </c>
    </row>
    <row r="300" spans="1:11" x14ac:dyDescent="0.35">
      <c r="A300" s="78"/>
      <c r="B300" s="78"/>
      <c r="C300" s="70" t="s">
        <v>19</v>
      </c>
      <c r="D300" s="70" t="s">
        <v>10396</v>
      </c>
      <c r="E300" s="77" t="s">
        <v>10397</v>
      </c>
      <c r="F300" s="83" t="s">
        <v>10398</v>
      </c>
      <c r="G300" s="73" t="s">
        <v>2545</v>
      </c>
      <c r="H300" s="74" t="s">
        <v>10399</v>
      </c>
      <c r="I300" s="80" t="s">
        <v>120</v>
      </c>
      <c r="J300" s="76" t="s">
        <v>10400</v>
      </c>
      <c r="K300" s="71" t="s">
        <v>10401</v>
      </c>
    </row>
    <row r="301" spans="1:11" x14ac:dyDescent="0.35">
      <c r="A301" s="78"/>
      <c r="B301" s="78"/>
      <c r="C301" s="78"/>
      <c r="D301" s="78"/>
      <c r="E301" s="77" t="s">
        <v>10402</v>
      </c>
      <c r="F301" s="78"/>
      <c r="G301" s="9"/>
      <c r="H301" s="79"/>
      <c r="I301" s="10"/>
      <c r="J301" s="79"/>
      <c r="K301" s="71" t="s">
        <v>10403</v>
      </c>
    </row>
    <row r="302" spans="1:11" x14ac:dyDescent="0.35">
      <c r="A302" s="78"/>
      <c r="B302" s="78"/>
      <c r="C302" s="78"/>
      <c r="D302" s="70" t="s">
        <v>10404</v>
      </c>
      <c r="E302" s="77" t="s">
        <v>10405</v>
      </c>
      <c r="F302" s="83" t="s">
        <v>10406</v>
      </c>
      <c r="G302" s="73" t="s">
        <v>244</v>
      </c>
      <c r="H302" s="74" t="s">
        <v>10407</v>
      </c>
      <c r="I302" s="80" t="s">
        <v>120</v>
      </c>
      <c r="J302" s="76" t="s">
        <v>10408</v>
      </c>
      <c r="K302" s="71" t="s">
        <v>10409</v>
      </c>
    </row>
    <row r="303" spans="1:11" x14ac:dyDescent="0.35">
      <c r="A303" s="78"/>
      <c r="B303" s="78"/>
      <c r="C303" s="78"/>
      <c r="D303" s="78"/>
      <c r="E303" s="77" t="s">
        <v>10410</v>
      </c>
      <c r="F303" s="78"/>
      <c r="G303" s="9"/>
      <c r="H303" s="79"/>
      <c r="I303" s="10"/>
      <c r="J303" s="79"/>
      <c r="K303" s="71" t="s">
        <v>10411</v>
      </c>
    </row>
    <row r="304" spans="1:11" x14ac:dyDescent="0.35">
      <c r="A304" s="78"/>
      <c r="B304" s="78"/>
      <c r="C304" s="78"/>
      <c r="D304" s="70" t="s">
        <v>10412</v>
      </c>
      <c r="E304" s="77" t="s">
        <v>10413</v>
      </c>
      <c r="F304" s="83" t="s">
        <v>10414</v>
      </c>
      <c r="G304" s="73" t="s">
        <v>244</v>
      </c>
      <c r="H304" s="74" t="s">
        <v>10310</v>
      </c>
      <c r="I304" s="81" t="s">
        <v>250</v>
      </c>
      <c r="J304" s="76" t="s">
        <v>10415</v>
      </c>
      <c r="K304" s="71" t="s">
        <v>10416</v>
      </c>
    </row>
    <row r="305" spans="1:11" x14ac:dyDescent="0.35">
      <c r="A305" s="78"/>
      <c r="B305" s="78"/>
      <c r="C305" s="78"/>
      <c r="D305" s="78"/>
      <c r="E305" s="77" t="s">
        <v>10417</v>
      </c>
      <c r="F305" s="78"/>
      <c r="G305" s="9"/>
      <c r="H305" s="79"/>
      <c r="I305" s="10"/>
      <c r="J305" s="79"/>
      <c r="K305" s="71" t="s">
        <v>10418</v>
      </c>
    </row>
    <row r="306" spans="1:11" x14ac:dyDescent="0.35">
      <c r="A306" s="78"/>
      <c r="B306" s="78"/>
      <c r="C306" s="78"/>
      <c r="D306" s="70" t="s">
        <v>10419</v>
      </c>
      <c r="E306" s="77" t="s">
        <v>10420</v>
      </c>
      <c r="F306" s="83" t="s">
        <v>10421</v>
      </c>
      <c r="G306" s="73" t="s">
        <v>65</v>
      </c>
      <c r="H306" s="74" t="s">
        <v>10422</v>
      </c>
      <c r="I306" s="75" t="s">
        <v>58</v>
      </c>
      <c r="J306" s="76" t="s">
        <v>10423</v>
      </c>
      <c r="K306" s="71" t="s">
        <v>10424</v>
      </c>
    </row>
    <row r="307" spans="1:11" x14ac:dyDescent="0.35">
      <c r="A307" s="78"/>
      <c r="B307" s="78"/>
      <c r="C307" s="78"/>
      <c r="D307" s="78"/>
      <c r="E307" s="77" t="s">
        <v>10425</v>
      </c>
      <c r="F307" s="78"/>
      <c r="G307" s="9"/>
      <c r="H307" s="79"/>
      <c r="I307" s="10"/>
      <c r="J307" s="79"/>
      <c r="K307" s="71" t="s">
        <v>10426</v>
      </c>
    </row>
    <row r="308" spans="1:11" x14ac:dyDescent="0.35">
      <c r="A308" s="78"/>
      <c r="B308" s="78"/>
      <c r="C308" s="78"/>
      <c r="D308" s="70" t="s">
        <v>10427</v>
      </c>
      <c r="E308" s="77" t="s">
        <v>10428</v>
      </c>
      <c r="F308" s="83" t="s">
        <v>10429</v>
      </c>
      <c r="G308" s="73" t="s">
        <v>65</v>
      </c>
      <c r="H308" s="74" t="s">
        <v>10430</v>
      </c>
      <c r="I308" s="81" t="s">
        <v>250</v>
      </c>
      <c r="J308" s="76" t="s">
        <v>10431</v>
      </c>
      <c r="K308" s="71" t="s">
        <v>10432</v>
      </c>
    </row>
    <row r="309" spans="1:11" x14ac:dyDescent="0.35">
      <c r="A309" s="78"/>
      <c r="B309" s="78"/>
      <c r="C309" s="78"/>
      <c r="D309" s="78"/>
      <c r="E309" s="77" t="s">
        <v>10433</v>
      </c>
      <c r="F309" s="78"/>
      <c r="G309" s="9"/>
      <c r="H309" s="79"/>
      <c r="I309" s="10"/>
      <c r="J309" s="79"/>
      <c r="K309" s="71" t="s">
        <v>10434</v>
      </c>
    </row>
    <row r="310" spans="1:11" x14ac:dyDescent="0.35">
      <c r="A310" s="78"/>
      <c r="B310" s="78"/>
      <c r="C310" s="70" t="s">
        <v>10435</v>
      </c>
      <c r="D310" s="70" t="s">
        <v>10436</v>
      </c>
      <c r="E310" s="77" t="s">
        <v>10437</v>
      </c>
      <c r="F310" s="83" t="s">
        <v>10438</v>
      </c>
      <c r="G310" s="73" t="s">
        <v>65</v>
      </c>
      <c r="H310" s="74" t="s">
        <v>10439</v>
      </c>
      <c r="I310" s="80" t="s">
        <v>120</v>
      </c>
      <c r="J310" s="76" t="s">
        <v>10440</v>
      </c>
      <c r="K310" s="71" t="s">
        <v>10441</v>
      </c>
    </row>
    <row r="311" spans="1:11" x14ac:dyDescent="0.35">
      <c r="A311" s="78"/>
      <c r="B311" s="78"/>
      <c r="C311" s="78"/>
      <c r="D311" s="78"/>
      <c r="E311" s="77" t="s">
        <v>10442</v>
      </c>
      <c r="F311" s="78"/>
      <c r="G311" s="9"/>
      <c r="H311" s="79"/>
      <c r="I311" s="10"/>
      <c r="J311" s="79"/>
      <c r="K311" s="71" t="s">
        <v>10443</v>
      </c>
    </row>
    <row r="312" spans="1:11" x14ac:dyDescent="0.35">
      <c r="A312" s="78"/>
      <c r="B312" s="78"/>
      <c r="C312" s="78"/>
      <c r="D312" s="70" t="s">
        <v>10444</v>
      </c>
      <c r="E312" s="77" t="s">
        <v>10445</v>
      </c>
      <c r="F312" s="83" t="s">
        <v>10446</v>
      </c>
      <c r="G312" s="73" t="s">
        <v>244</v>
      </c>
      <c r="H312" s="74" t="s">
        <v>10447</v>
      </c>
      <c r="I312" s="80" t="s">
        <v>120</v>
      </c>
      <c r="J312" s="76" t="s">
        <v>10386</v>
      </c>
      <c r="K312" s="71" t="s">
        <v>10448</v>
      </c>
    </row>
    <row r="313" spans="1:11" x14ac:dyDescent="0.35">
      <c r="A313" s="78"/>
      <c r="B313" s="78"/>
      <c r="C313" s="78"/>
      <c r="D313" s="78"/>
      <c r="E313" s="77" t="s">
        <v>10344</v>
      </c>
      <c r="F313" s="78"/>
      <c r="G313" s="9"/>
      <c r="H313" s="79"/>
      <c r="I313" s="10"/>
      <c r="J313" s="79"/>
      <c r="K313" s="71" t="s">
        <v>10449</v>
      </c>
    </row>
    <row r="314" spans="1:11" x14ac:dyDescent="0.35">
      <c r="A314" s="78"/>
      <c r="B314" s="78"/>
      <c r="C314" s="78"/>
      <c r="D314" s="70" t="s">
        <v>10450</v>
      </c>
      <c r="E314" s="77" t="s">
        <v>10451</v>
      </c>
      <c r="F314" s="83" t="s">
        <v>10452</v>
      </c>
      <c r="G314" s="73" t="s">
        <v>2545</v>
      </c>
      <c r="H314" s="74" t="s">
        <v>10453</v>
      </c>
      <c r="I314" s="81" t="s">
        <v>250</v>
      </c>
      <c r="J314" s="76" t="s">
        <v>10454</v>
      </c>
      <c r="K314" s="71" t="s">
        <v>10455</v>
      </c>
    </row>
    <row r="315" spans="1:11" x14ac:dyDescent="0.35">
      <c r="A315" s="78"/>
      <c r="B315" s="78"/>
      <c r="C315" s="78"/>
      <c r="D315" s="78"/>
      <c r="E315" s="77" t="s">
        <v>10456</v>
      </c>
      <c r="F315" s="78"/>
      <c r="G315" s="9"/>
      <c r="H315" s="79"/>
      <c r="I315" s="10"/>
      <c r="J315" s="79"/>
      <c r="K315" s="71" t="s">
        <v>10457</v>
      </c>
    </row>
    <row r="316" spans="1:11" x14ac:dyDescent="0.35">
      <c r="A316" s="78"/>
      <c r="B316" s="78"/>
      <c r="C316" s="78"/>
      <c r="D316" s="70" t="s">
        <v>10458</v>
      </c>
      <c r="E316" s="77" t="s">
        <v>10459</v>
      </c>
      <c r="F316" s="83" t="s">
        <v>10460</v>
      </c>
      <c r="G316" s="73" t="s">
        <v>244</v>
      </c>
      <c r="H316" s="74" t="s">
        <v>10461</v>
      </c>
      <c r="I316" s="75" t="s">
        <v>58</v>
      </c>
      <c r="J316" s="76" t="s">
        <v>10462</v>
      </c>
      <c r="K316" s="71" t="s">
        <v>10463</v>
      </c>
    </row>
    <row r="317" spans="1:11" x14ac:dyDescent="0.35">
      <c r="A317" s="78"/>
      <c r="B317" s="78"/>
      <c r="C317" s="78"/>
      <c r="D317" s="78"/>
      <c r="E317" s="77" t="s">
        <v>10464</v>
      </c>
      <c r="F317" s="78"/>
      <c r="G317" s="9"/>
      <c r="H317" s="79"/>
      <c r="I317" s="10"/>
      <c r="J317" s="79"/>
      <c r="K317" s="71" t="s">
        <v>10465</v>
      </c>
    </row>
    <row r="318" spans="1:11" x14ac:dyDescent="0.35">
      <c r="A318" s="78"/>
      <c r="B318" s="78"/>
      <c r="C318" s="78"/>
      <c r="D318" s="70" t="s">
        <v>10466</v>
      </c>
      <c r="E318" s="77" t="s">
        <v>10467</v>
      </c>
      <c r="F318" s="83" t="s">
        <v>10468</v>
      </c>
      <c r="G318" s="73" t="s">
        <v>244</v>
      </c>
      <c r="H318" s="74" t="s">
        <v>10469</v>
      </c>
      <c r="I318" s="81" t="s">
        <v>250</v>
      </c>
      <c r="J318" s="76" t="s">
        <v>10470</v>
      </c>
      <c r="K318" s="71" t="s">
        <v>10471</v>
      </c>
    </row>
    <row r="319" spans="1:11" x14ac:dyDescent="0.35">
      <c r="A319" s="78"/>
      <c r="B319" s="78"/>
      <c r="C319" s="78"/>
      <c r="D319" s="78"/>
      <c r="E319" s="77" t="s">
        <v>10472</v>
      </c>
      <c r="F319" s="78"/>
      <c r="G319" s="9"/>
      <c r="H319" s="79"/>
      <c r="I319" s="10"/>
      <c r="J319" s="79"/>
      <c r="K319" s="71" t="s">
        <v>10473</v>
      </c>
    </row>
    <row r="320" spans="1:11" x14ac:dyDescent="0.35">
      <c r="A320" s="78"/>
      <c r="B320" s="78"/>
      <c r="C320" s="70" t="s">
        <v>10474</v>
      </c>
      <c r="D320" s="70" t="s">
        <v>10475</v>
      </c>
      <c r="E320" s="77" t="s">
        <v>10476</v>
      </c>
      <c r="F320" s="83" t="s">
        <v>10477</v>
      </c>
      <c r="G320" s="73" t="s">
        <v>65</v>
      </c>
      <c r="H320" s="74" t="s">
        <v>10478</v>
      </c>
      <c r="I320" s="80" t="s">
        <v>120</v>
      </c>
      <c r="J320" s="76" t="s">
        <v>10479</v>
      </c>
      <c r="K320" s="71" t="s">
        <v>10480</v>
      </c>
    </row>
    <row r="321" spans="1:11" x14ac:dyDescent="0.35">
      <c r="A321" s="78"/>
      <c r="B321" s="78"/>
      <c r="C321" s="78"/>
      <c r="D321" s="78"/>
      <c r="E321" s="77" t="s">
        <v>2449</v>
      </c>
      <c r="F321" s="78"/>
      <c r="G321" s="9"/>
      <c r="H321" s="79"/>
      <c r="I321" s="10"/>
      <c r="J321" s="79"/>
      <c r="K321" s="71" t="s">
        <v>10481</v>
      </c>
    </row>
    <row r="322" spans="1:11" x14ac:dyDescent="0.35">
      <c r="A322" s="78"/>
      <c r="B322" s="78"/>
      <c r="C322" s="78"/>
      <c r="D322" s="70" t="s">
        <v>10482</v>
      </c>
      <c r="E322" s="77" t="s">
        <v>10483</v>
      </c>
      <c r="F322" s="83" t="s">
        <v>10484</v>
      </c>
      <c r="G322" s="73" t="s">
        <v>65</v>
      </c>
      <c r="H322" s="74" t="s">
        <v>10485</v>
      </c>
      <c r="I322" s="80" t="s">
        <v>120</v>
      </c>
      <c r="J322" s="76" t="s">
        <v>10486</v>
      </c>
      <c r="K322" s="71" t="s">
        <v>10487</v>
      </c>
    </row>
    <row r="323" spans="1:11" x14ac:dyDescent="0.35">
      <c r="A323" s="78"/>
      <c r="B323" s="78"/>
      <c r="C323" s="78"/>
      <c r="D323" s="78"/>
      <c r="E323" s="77" t="s">
        <v>10488</v>
      </c>
      <c r="F323" s="78"/>
      <c r="G323" s="9"/>
      <c r="H323" s="79"/>
      <c r="I323" s="10"/>
      <c r="J323" s="79"/>
      <c r="K323" s="71" t="s">
        <v>10489</v>
      </c>
    </row>
    <row r="324" spans="1:11" x14ac:dyDescent="0.35">
      <c r="A324" s="78"/>
      <c r="B324" s="78"/>
      <c r="C324" s="78"/>
      <c r="D324" s="70" t="s">
        <v>10490</v>
      </c>
      <c r="E324" s="77" t="s">
        <v>10491</v>
      </c>
      <c r="F324" s="83" t="s">
        <v>10492</v>
      </c>
      <c r="G324" s="73" t="s">
        <v>65</v>
      </c>
      <c r="H324" s="74" t="s">
        <v>10310</v>
      </c>
      <c r="I324" s="81" t="s">
        <v>250</v>
      </c>
      <c r="J324" s="76" t="s">
        <v>10493</v>
      </c>
      <c r="K324" s="71" t="s">
        <v>10494</v>
      </c>
    </row>
    <row r="325" spans="1:11" x14ac:dyDescent="0.35">
      <c r="A325" s="78"/>
      <c r="B325" s="78"/>
      <c r="C325" s="78"/>
      <c r="D325" s="78"/>
      <c r="E325" s="77" t="s">
        <v>10495</v>
      </c>
      <c r="F325" s="78"/>
      <c r="G325" s="9"/>
      <c r="H325" s="79"/>
      <c r="I325" s="10"/>
      <c r="J325" s="79"/>
      <c r="K325" s="71" t="s">
        <v>10496</v>
      </c>
    </row>
    <row r="326" spans="1:11" x14ac:dyDescent="0.35">
      <c r="A326" s="78"/>
      <c r="B326" s="78"/>
      <c r="C326" s="78"/>
      <c r="D326" s="70" t="s">
        <v>10497</v>
      </c>
      <c r="E326" s="77" t="s">
        <v>10498</v>
      </c>
      <c r="F326" s="83" t="s">
        <v>10499</v>
      </c>
      <c r="G326" s="73" t="s">
        <v>244</v>
      </c>
      <c r="H326" s="74" t="s">
        <v>10500</v>
      </c>
      <c r="I326" s="75" t="s">
        <v>58</v>
      </c>
      <c r="J326" s="76" t="s">
        <v>10501</v>
      </c>
      <c r="K326" s="71" t="s">
        <v>10502</v>
      </c>
    </row>
    <row r="327" spans="1:11" x14ac:dyDescent="0.35">
      <c r="A327" s="78"/>
      <c r="B327" s="78"/>
      <c r="C327" s="78"/>
      <c r="D327" s="78"/>
      <c r="E327" s="77" t="s">
        <v>10503</v>
      </c>
      <c r="F327" s="78"/>
      <c r="G327" s="9"/>
      <c r="H327" s="79"/>
      <c r="I327" s="10"/>
      <c r="J327" s="79"/>
      <c r="K327" s="71" t="s">
        <v>10504</v>
      </c>
    </row>
    <row r="328" spans="1:11" x14ac:dyDescent="0.35">
      <c r="A328" s="78"/>
      <c r="B328" s="78"/>
      <c r="C328" s="78"/>
      <c r="D328" s="70" t="s">
        <v>10505</v>
      </c>
      <c r="E328" s="77" t="s">
        <v>10506</v>
      </c>
      <c r="F328" s="83" t="s">
        <v>10507</v>
      </c>
      <c r="G328" s="73" t="s">
        <v>2545</v>
      </c>
      <c r="H328" s="74" t="s">
        <v>10508</v>
      </c>
      <c r="I328" s="81" t="s">
        <v>250</v>
      </c>
      <c r="J328" s="76" t="s">
        <v>10509</v>
      </c>
      <c r="K328" s="71" t="s">
        <v>10510</v>
      </c>
    </row>
    <row r="329" spans="1:11" x14ac:dyDescent="0.35">
      <c r="A329" s="78"/>
      <c r="B329" s="78"/>
      <c r="C329" s="78"/>
      <c r="D329" s="78"/>
      <c r="E329" s="77" t="s">
        <v>10511</v>
      </c>
      <c r="F329" s="78"/>
      <c r="G329" s="9"/>
      <c r="H329" s="79"/>
      <c r="I329" s="10"/>
      <c r="J329" s="79"/>
      <c r="K329" s="71" t="s">
        <v>10512</v>
      </c>
    </row>
    <row r="330" spans="1:11" x14ac:dyDescent="0.35">
      <c r="A330" s="78"/>
      <c r="B330" s="78"/>
      <c r="C330" s="70" t="s">
        <v>10513</v>
      </c>
      <c r="D330" s="70" t="s">
        <v>10514</v>
      </c>
      <c r="E330" s="77" t="s">
        <v>10515</v>
      </c>
      <c r="F330" s="83" t="s">
        <v>10516</v>
      </c>
      <c r="G330" s="73" t="s">
        <v>244</v>
      </c>
      <c r="H330" s="74" t="s">
        <v>10517</v>
      </c>
      <c r="I330" s="80" t="s">
        <v>120</v>
      </c>
      <c r="J330" s="76" t="s">
        <v>10518</v>
      </c>
      <c r="K330" s="71" t="s">
        <v>10519</v>
      </c>
    </row>
    <row r="331" spans="1:11" x14ac:dyDescent="0.35">
      <c r="A331" s="78"/>
      <c r="B331" s="78"/>
      <c r="C331" s="78"/>
      <c r="D331" s="78"/>
      <c r="E331" s="77" t="s">
        <v>10520</v>
      </c>
      <c r="F331" s="78"/>
      <c r="G331" s="9"/>
      <c r="H331" s="79"/>
      <c r="I331" s="10"/>
      <c r="J331" s="79"/>
      <c r="K331" s="71" t="s">
        <v>10521</v>
      </c>
    </row>
    <row r="332" spans="1:11" x14ac:dyDescent="0.35">
      <c r="A332" s="78"/>
      <c r="B332" s="78"/>
      <c r="C332" s="78"/>
      <c r="D332" s="70" t="s">
        <v>10522</v>
      </c>
      <c r="E332" s="77" t="s">
        <v>10523</v>
      </c>
      <c r="F332" s="83" t="s">
        <v>10524</v>
      </c>
      <c r="G332" s="73" t="s">
        <v>244</v>
      </c>
      <c r="H332" s="74" t="s">
        <v>10525</v>
      </c>
      <c r="I332" s="80" t="s">
        <v>120</v>
      </c>
      <c r="J332" s="76" t="s">
        <v>10526</v>
      </c>
      <c r="K332" s="71" t="s">
        <v>10527</v>
      </c>
    </row>
    <row r="333" spans="1:11" x14ac:dyDescent="0.35">
      <c r="A333" s="78"/>
      <c r="B333" s="78"/>
      <c r="C333" s="78"/>
      <c r="D333" s="78"/>
      <c r="E333" s="77" t="s">
        <v>10528</v>
      </c>
      <c r="F333" s="78"/>
      <c r="G333" s="9"/>
      <c r="H333" s="79"/>
      <c r="I333" s="10"/>
      <c r="J333" s="79"/>
      <c r="K333" s="71" t="s">
        <v>10529</v>
      </c>
    </row>
    <row r="334" spans="1:11" x14ac:dyDescent="0.35">
      <c r="A334" s="78"/>
      <c r="B334" s="78"/>
      <c r="C334" s="78"/>
      <c r="D334" s="70" t="s">
        <v>10530</v>
      </c>
      <c r="E334" s="77" t="s">
        <v>10531</v>
      </c>
      <c r="F334" s="83" t="s">
        <v>10532</v>
      </c>
      <c r="G334" s="73" t="s">
        <v>65</v>
      </c>
      <c r="H334" s="74" t="s">
        <v>10533</v>
      </c>
      <c r="I334" s="81" t="s">
        <v>250</v>
      </c>
      <c r="J334" s="76" t="s">
        <v>10534</v>
      </c>
      <c r="K334" s="71" t="s">
        <v>10535</v>
      </c>
    </row>
    <row r="335" spans="1:11" x14ac:dyDescent="0.35">
      <c r="A335" s="78"/>
      <c r="B335" s="78"/>
      <c r="C335" s="78"/>
      <c r="D335" s="78"/>
      <c r="E335" s="77" t="s">
        <v>10536</v>
      </c>
      <c r="F335" s="78"/>
      <c r="G335" s="9"/>
      <c r="H335" s="79"/>
      <c r="I335" s="10"/>
      <c r="J335" s="79"/>
      <c r="K335" s="71" t="s">
        <v>10537</v>
      </c>
    </row>
    <row r="336" spans="1:11" x14ac:dyDescent="0.35">
      <c r="A336" s="78"/>
      <c r="B336" s="78"/>
      <c r="C336" s="78"/>
      <c r="D336" s="70" t="s">
        <v>10538</v>
      </c>
      <c r="E336" s="77" t="s">
        <v>10539</v>
      </c>
      <c r="F336" s="83" t="s">
        <v>10540</v>
      </c>
      <c r="G336" s="73" t="s">
        <v>65</v>
      </c>
      <c r="H336" s="74" t="s">
        <v>10541</v>
      </c>
      <c r="I336" s="75" t="s">
        <v>58</v>
      </c>
      <c r="J336" s="76" t="s">
        <v>10542</v>
      </c>
      <c r="K336" s="71" t="s">
        <v>10543</v>
      </c>
    </row>
    <row r="337" spans="1:11" x14ac:dyDescent="0.35">
      <c r="A337" s="78"/>
      <c r="B337" s="78"/>
      <c r="C337" s="78"/>
      <c r="D337" s="78"/>
      <c r="E337" s="77" t="s">
        <v>10544</v>
      </c>
      <c r="F337" s="78"/>
      <c r="G337" s="9"/>
      <c r="H337" s="79"/>
      <c r="I337" s="10"/>
      <c r="J337" s="79"/>
      <c r="K337" s="71" t="s">
        <v>10545</v>
      </c>
    </row>
    <row r="338" spans="1:11" x14ac:dyDescent="0.35">
      <c r="A338" s="78"/>
      <c r="B338" s="78"/>
      <c r="C338" s="78"/>
      <c r="D338" s="70" t="s">
        <v>10546</v>
      </c>
      <c r="E338" s="77" t="s">
        <v>10547</v>
      </c>
      <c r="F338" s="83" t="s">
        <v>10548</v>
      </c>
      <c r="G338" s="73" t="s">
        <v>65</v>
      </c>
      <c r="H338" s="74" t="s">
        <v>10549</v>
      </c>
      <c r="I338" s="81" t="s">
        <v>250</v>
      </c>
      <c r="J338" s="76" t="s">
        <v>10550</v>
      </c>
      <c r="K338" s="71" t="s">
        <v>10551</v>
      </c>
    </row>
    <row r="339" spans="1:11" x14ac:dyDescent="0.35">
      <c r="A339" s="78"/>
      <c r="B339" s="78"/>
      <c r="C339" s="78"/>
      <c r="D339" s="78"/>
      <c r="E339" s="77" t="s">
        <v>10552</v>
      </c>
      <c r="F339" s="78"/>
      <c r="G339" s="9"/>
      <c r="H339" s="79"/>
      <c r="I339" s="10"/>
      <c r="J339" s="79"/>
      <c r="K339" s="71" t="s">
        <v>10553</v>
      </c>
    </row>
    <row r="340" spans="1:11" x14ac:dyDescent="0.35">
      <c r="A340" s="78"/>
      <c r="B340" s="78"/>
      <c r="C340" s="70" t="s">
        <v>20</v>
      </c>
      <c r="D340" s="70" t="s">
        <v>10554</v>
      </c>
      <c r="E340" s="77" t="s">
        <v>10555</v>
      </c>
      <c r="F340" s="83" t="s">
        <v>10556</v>
      </c>
      <c r="G340" s="73" t="s">
        <v>244</v>
      </c>
      <c r="H340" s="74" t="s">
        <v>10557</v>
      </c>
      <c r="I340" s="80" t="s">
        <v>120</v>
      </c>
      <c r="J340" s="76" t="s">
        <v>10558</v>
      </c>
      <c r="K340" s="71" t="s">
        <v>10559</v>
      </c>
    </row>
    <row r="341" spans="1:11" x14ac:dyDescent="0.35">
      <c r="A341" s="78"/>
      <c r="B341" s="78"/>
      <c r="C341" s="78"/>
      <c r="D341" s="78"/>
      <c r="E341" s="77" t="s">
        <v>10560</v>
      </c>
      <c r="F341" s="78"/>
      <c r="G341" s="9"/>
      <c r="H341" s="79"/>
      <c r="I341" s="10"/>
      <c r="J341" s="79"/>
      <c r="K341" s="71" t="s">
        <v>10561</v>
      </c>
    </row>
    <row r="342" spans="1:11" x14ac:dyDescent="0.35">
      <c r="A342" s="78"/>
      <c r="B342" s="78"/>
      <c r="C342" s="78"/>
      <c r="D342" s="70" t="s">
        <v>10562</v>
      </c>
      <c r="E342" s="77" t="s">
        <v>10563</v>
      </c>
      <c r="F342" s="83" t="s">
        <v>10564</v>
      </c>
      <c r="G342" s="73" t="s">
        <v>2545</v>
      </c>
      <c r="H342" s="74" t="s">
        <v>10565</v>
      </c>
      <c r="I342" s="80" t="s">
        <v>120</v>
      </c>
      <c r="J342" s="76" t="s">
        <v>10566</v>
      </c>
      <c r="K342" s="71" t="s">
        <v>10567</v>
      </c>
    </row>
    <row r="343" spans="1:11" x14ac:dyDescent="0.35">
      <c r="A343" s="78"/>
      <c r="B343" s="78"/>
      <c r="C343" s="78"/>
      <c r="D343" s="78"/>
      <c r="E343" s="77" t="s">
        <v>10568</v>
      </c>
      <c r="F343" s="78"/>
      <c r="G343" s="9"/>
      <c r="H343" s="79"/>
      <c r="I343" s="10"/>
      <c r="J343" s="79"/>
      <c r="K343" s="71" t="s">
        <v>10569</v>
      </c>
    </row>
    <row r="344" spans="1:11" x14ac:dyDescent="0.35">
      <c r="A344" s="78"/>
      <c r="B344" s="78"/>
      <c r="C344" s="78"/>
      <c r="D344" s="70" t="s">
        <v>10570</v>
      </c>
      <c r="E344" s="77" t="s">
        <v>10571</v>
      </c>
      <c r="F344" s="83" t="s">
        <v>10572</v>
      </c>
      <c r="G344" s="73" t="s">
        <v>244</v>
      </c>
      <c r="H344" s="74" t="s">
        <v>10573</v>
      </c>
      <c r="I344" s="81" t="s">
        <v>250</v>
      </c>
      <c r="J344" s="76" t="s">
        <v>10574</v>
      </c>
      <c r="K344" s="71" t="s">
        <v>10575</v>
      </c>
    </row>
    <row r="345" spans="1:11" x14ac:dyDescent="0.35">
      <c r="A345" s="78"/>
      <c r="B345" s="78"/>
      <c r="C345" s="78"/>
      <c r="D345" s="78"/>
      <c r="E345" s="77" t="s">
        <v>10576</v>
      </c>
      <c r="F345" s="78"/>
      <c r="G345" s="9"/>
      <c r="H345" s="79"/>
      <c r="I345" s="10"/>
      <c r="J345" s="79"/>
      <c r="K345" s="71" t="s">
        <v>10577</v>
      </c>
    </row>
    <row r="346" spans="1:11" x14ac:dyDescent="0.35">
      <c r="A346" s="78"/>
      <c r="B346" s="78"/>
      <c r="C346" s="78"/>
      <c r="D346" s="70" t="s">
        <v>10578</v>
      </c>
      <c r="E346" s="77" t="s">
        <v>10579</v>
      </c>
      <c r="F346" s="83" t="s">
        <v>10580</v>
      </c>
      <c r="G346" s="73" t="s">
        <v>244</v>
      </c>
      <c r="H346" s="74" t="s">
        <v>10581</v>
      </c>
      <c r="I346" s="75" t="s">
        <v>58</v>
      </c>
      <c r="J346" s="76" t="s">
        <v>10582</v>
      </c>
      <c r="K346" s="71" t="s">
        <v>10583</v>
      </c>
    </row>
    <row r="347" spans="1:11" x14ac:dyDescent="0.35">
      <c r="A347" s="78"/>
      <c r="B347" s="78"/>
      <c r="C347" s="78"/>
      <c r="D347" s="78"/>
      <c r="E347" s="77" t="s">
        <v>10584</v>
      </c>
      <c r="F347" s="78"/>
      <c r="G347" s="9"/>
      <c r="H347" s="79"/>
      <c r="I347" s="10"/>
      <c r="J347" s="79"/>
      <c r="K347" s="71" t="s">
        <v>10585</v>
      </c>
    </row>
    <row r="348" spans="1:11" x14ac:dyDescent="0.35">
      <c r="A348" s="78"/>
      <c r="B348" s="78"/>
      <c r="C348" s="78"/>
      <c r="D348" s="70" t="s">
        <v>10586</v>
      </c>
      <c r="E348" s="77" t="s">
        <v>10586</v>
      </c>
      <c r="F348" s="83" t="s">
        <v>10587</v>
      </c>
      <c r="G348" s="73" t="s">
        <v>65</v>
      </c>
      <c r="H348" s="74" t="s">
        <v>10588</v>
      </c>
      <c r="I348" s="81" t="s">
        <v>250</v>
      </c>
      <c r="J348" s="76" t="s">
        <v>10589</v>
      </c>
      <c r="K348" s="71" t="s">
        <v>10590</v>
      </c>
    </row>
    <row r="349" spans="1:11" x14ac:dyDescent="0.35">
      <c r="A349" s="78"/>
      <c r="B349" s="78"/>
      <c r="C349" s="78"/>
      <c r="D349" s="78"/>
      <c r="E349" s="77" t="s">
        <v>10591</v>
      </c>
      <c r="F349" s="78"/>
      <c r="G349" s="9"/>
      <c r="H349" s="79"/>
      <c r="I349" s="10"/>
      <c r="J349" s="79"/>
      <c r="K349" s="71" t="s">
        <v>10592</v>
      </c>
    </row>
    <row r="350" spans="1:11" x14ac:dyDescent="0.35">
      <c r="A350" s="78"/>
      <c r="B350" s="78"/>
      <c r="C350" s="70" t="s">
        <v>10593</v>
      </c>
      <c r="D350" s="70" t="s">
        <v>10594</v>
      </c>
      <c r="E350" s="77" t="s">
        <v>10594</v>
      </c>
      <c r="F350" s="83" t="s">
        <v>10595</v>
      </c>
      <c r="G350" s="73" t="s">
        <v>65</v>
      </c>
      <c r="H350" s="74" t="s">
        <v>10596</v>
      </c>
      <c r="I350" s="80" t="s">
        <v>120</v>
      </c>
      <c r="J350" s="76" t="s">
        <v>10597</v>
      </c>
      <c r="K350" s="71" t="s">
        <v>10598</v>
      </c>
    </row>
    <row r="351" spans="1:11" x14ac:dyDescent="0.35">
      <c r="A351" s="78"/>
      <c r="B351" s="78"/>
      <c r="C351" s="78"/>
      <c r="D351" s="78"/>
      <c r="E351" s="77" t="s">
        <v>10599</v>
      </c>
      <c r="F351" s="78"/>
      <c r="G351" s="9"/>
      <c r="H351" s="79"/>
      <c r="I351" s="10"/>
      <c r="J351" s="79"/>
      <c r="K351" s="71" t="s">
        <v>10600</v>
      </c>
    </row>
    <row r="352" spans="1:11" x14ac:dyDescent="0.35">
      <c r="A352" s="78"/>
      <c r="B352" s="78"/>
      <c r="C352" s="78"/>
      <c r="D352" s="70" t="s">
        <v>10601</v>
      </c>
      <c r="E352" s="77" t="s">
        <v>10602</v>
      </c>
      <c r="F352" s="83" t="s">
        <v>10603</v>
      </c>
      <c r="G352" s="73" t="s">
        <v>65</v>
      </c>
      <c r="H352" s="74" t="s">
        <v>10604</v>
      </c>
      <c r="I352" s="80" t="s">
        <v>120</v>
      </c>
      <c r="J352" s="76" t="s">
        <v>10605</v>
      </c>
      <c r="K352" s="71" t="s">
        <v>10606</v>
      </c>
    </row>
    <row r="353" spans="1:11" x14ac:dyDescent="0.35">
      <c r="A353" s="78"/>
      <c r="B353" s="78"/>
      <c r="C353" s="78"/>
      <c r="D353" s="78"/>
      <c r="E353" s="77" t="s">
        <v>10607</v>
      </c>
      <c r="F353" s="78"/>
      <c r="G353" s="9"/>
      <c r="H353" s="79"/>
      <c r="I353" s="10"/>
      <c r="J353" s="79"/>
      <c r="K353" s="71" t="s">
        <v>10608</v>
      </c>
    </row>
    <row r="354" spans="1:11" x14ac:dyDescent="0.35">
      <c r="A354" s="78"/>
      <c r="B354" s="78"/>
      <c r="C354" s="78"/>
      <c r="D354" s="70" t="s">
        <v>10609</v>
      </c>
      <c r="E354" s="77" t="s">
        <v>10609</v>
      </c>
      <c r="F354" s="83" t="s">
        <v>10610</v>
      </c>
      <c r="G354" s="73" t="s">
        <v>244</v>
      </c>
      <c r="H354" s="74" t="s">
        <v>10611</v>
      </c>
      <c r="I354" s="81" t="s">
        <v>250</v>
      </c>
      <c r="J354" s="76" t="s">
        <v>10612</v>
      </c>
      <c r="K354" s="71" t="s">
        <v>10613</v>
      </c>
    </row>
    <row r="355" spans="1:11" x14ac:dyDescent="0.35">
      <c r="A355" s="78"/>
      <c r="B355" s="78"/>
      <c r="C355" s="78"/>
      <c r="D355" s="78"/>
      <c r="E355" s="77" t="s">
        <v>10614</v>
      </c>
      <c r="F355" s="78"/>
      <c r="G355" s="9"/>
      <c r="H355" s="79"/>
      <c r="I355" s="10"/>
      <c r="J355" s="79"/>
      <c r="K355" s="71" t="s">
        <v>10615</v>
      </c>
    </row>
    <row r="356" spans="1:11" x14ac:dyDescent="0.35">
      <c r="A356" s="78"/>
      <c r="B356" s="78"/>
      <c r="C356" s="78"/>
      <c r="D356" s="70" t="s">
        <v>10616</v>
      </c>
      <c r="E356" s="77" t="s">
        <v>10617</v>
      </c>
      <c r="F356" s="83" t="s">
        <v>10618</v>
      </c>
      <c r="G356" s="73" t="s">
        <v>2545</v>
      </c>
      <c r="H356" s="74" t="s">
        <v>10619</v>
      </c>
      <c r="I356" s="75" t="s">
        <v>58</v>
      </c>
      <c r="J356" s="76" t="s">
        <v>10620</v>
      </c>
      <c r="K356" s="71" t="s">
        <v>10621</v>
      </c>
    </row>
    <row r="357" spans="1:11" x14ac:dyDescent="0.35">
      <c r="A357" s="78"/>
      <c r="B357" s="78"/>
      <c r="C357" s="78"/>
      <c r="D357" s="78"/>
      <c r="E357" s="77" t="s">
        <v>10622</v>
      </c>
      <c r="F357" s="78"/>
      <c r="G357" s="9"/>
      <c r="H357" s="79"/>
      <c r="I357" s="10"/>
      <c r="J357" s="79"/>
      <c r="K357" s="71" t="s">
        <v>10623</v>
      </c>
    </row>
    <row r="358" spans="1:11" x14ac:dyDescent="0.35">
      <c r="A358" s="78"/>
      <c r="B358" s="78"/>
      <c r="C358" s="78"/>
      <c r="D358" s="70" t="s">
        <v>10624</v>
      </c>
      <c r="E358" s="77" t="s">
        <v>10625</v>
      </c>
      <c r="F358" s="83" t="s">
        <v>10626</v>
      </c>
      <c r="G358" s="73" t="s">
        <v>244</v>
      </c>
      <c r="H358" s="74" t="s">
        <v>10627</v>
      </c>
      <c r="I358" s="81" t="s">
        <v>250</v>
      </c>
      <c r="J358" s="76" t="s">
        <v>10628</v>
      </c>
      <c r="K358" s="71" t="s">
        <v>10465</v>
      </c>
    </row>
    <row r="359" spans="1:11" x14ac:dyDescent="0.35">
      <c r="A359" s="78"/>
      <c r="B359" s="78"/>
      <c r="C359" s="78"/>
      <c r="D359" s="78"/>
      <c r="E359" s="77" t="s">
        <v>10629</v>
      </c>
      <c r="F359" s="78"/>
      <c r="G359" s="9"/>
      <c r="H359" s="79"/>
      <c r="I359" s="10"/>
      <c r="J359" s="79"/>
      <c r="K359" s="71" t="s">
        <v>10630</v>
      </c>
    </row>
    <row r="360" spans="1:11" x14ac:dyDescent="0.35">
      <c r="A360" s="78"/>
      <c r="B360" s="78"/>
      <c r="C360" s="70" t="s">
        <v>10631</v>
      </c>
      <c r="D360" s="70" t="s">
        <v>10632</v>
      </c>
      <c r="E360" s="77" t="s">
        <v>10633</v>
      </c>
      <c r="F360" s="83" t="s">
        <v>10634</v>
      </c>
      <c r="G360" s="73" t="s">
        <v>244</v>
      </c>
      <c r="H360" s="74" t="s">
        <v>10635</v>
      </c>
      <c r="I360" s="80" t="s">
        <v>120</v>
      </c>
      <c r="J360" s="76" t="s">
        <v>10636</v>
      </c>
      <c r="K360" s="71" t="s">
        <v>10637</v>
      </c>
    </row>
    <row r="361" spans="1:11" x14ac:dyDescent="0.35">
      <c r="A361" s="78"/>
      <c r="B361" s="78"/>
      <c r="C361" s="78"/>
      <c r="D361" s="78"/>
      <c r="E361" s="77" t="s">
        <v>10638</v>
      </c>
      <c r="F361" s="78"/>
      <c r="G361" s="9"/>
      <c r="H361" s="79"/>
      <c r="I361" s="10"/>
      <c r="J361" s="79"/>
      <c r="K361" s="71" t="s">
        <v>10639</v>
      </c>
    </row>
    <row r="362" spans="1:11" x14ac:dyDescent="0.35">
      <c r="A362" s="78"/>
      <c r="B362" s="78"/>
      <c r="C362" s="78"/>
      <c r="D362" s="70" t="s">
        <v>10640</v>
      </c>
      <c r="E362" s="77" t="s">
        <v>10641</v>
      </c>
      <c r="F362" s="83" t="s">
        <v>10642</v>
      </c>
      <c r="G362" s="73" t="s">
        <v>65</v>
      </c>
      <c r="H362" s="74" t="s">
        <v>10643</v>
      </c>
      <c r="I362" s="80" t="s">
        <v>120</v>
      </c>
      <c r="J362" s="76" t="s">
        <v>10644</v>
      </c>
      <c r="K362" s="71" t="s">
        <v>10645</v>
      </c>
    </row>
    <row r="363" spans="1:11" x14ac:dyDescent="0.35">
      <c r="A363" s="78"/>
      <c r="B363" s="78"/>
      <c r="C363" s="78"/>
      <c r="D363" s="78"/>
      <c r="E363" s="77" t="s">
        <v>10646</v>
      </c>
      <c r="F363" s="78"/>
      <c r="G363" s="9"/>
      <c r="H363" s="79"/>
      <c r="I363" s="10"/>
      <c r="J363" s="79"/>
      <c r="K363" s="71" t="s">
        <v>10647</v>
      </c>
    </row>
    <row r="364" spans="1:11" x14ac:dyDescent="0.35">
      <c r="A364" s="78"/>
      <c r="B364" s="78"/>
      <c r="C364" s="78"/>
      <c r="D364" s="70" t="s">
        <v>10648</v>
      </c>
      <c r="E364" s="77" t="s">
        <v>10649</v>
      </c>
      <c r="F364" s="83" t="s">
        <v>10650</v>
      </c>
      <c r="G364" s="73" t="s">
        <v>65</v>
      </c>
      <c r="H364" s="74" t="s">
        <v>10651</v>
      </c>
      <c r="I364" s="81" t="s">
        <v>250</v>
      </c>
      <c r="J364" s="76" t="s">
        <v>10652</v>
      </c>
      <c r="K364" s="71" t="s">
        <v>10653</v>
      </c>
    </row>
    <row r="365" spans="1:11" x14ac:dyDescent="0.35">
      <c r="A365" s="78"/>
      <c r="B365" s="78"/>
      <c r="C365" s="78"/>
      <c r="D365" s="78"/>
      <c r="E365" s="77" t="s">
        <v>10654</v>
      </c>
      <c r="F365" s="78"/>
      <c r="G365" s="9"/>
      <c r="H365" s="79"/>
      <c r="I365" s="10"/>
      <c r="J365" s="79"/>
      <c r="K365" s="71" t="s">
        <v>10655</v>
      </c>
    </row>
    <row r="366" spans="1:11" x14ac:dyDescent="0.35">
      <c r="A366" s="78"/>
      <c r="B366" s="78"/>
      <c r="C366" s="78"/>
      <c r="D366" s="70" t="s">
        <v>10656</v>
      </c>
      <c r="E366" s="77" t="s">
        <v>10657</v>
      </c>
      <c r="F366" s="83" t="s">
        <v>10658</v>
      </c>
      <c r="G366" s="73" t="s">
        <v>65</v>
      </c>
      <c r="H366" s="74" t="s">
        <v>10659</v>
      </c>
      <c r="I366" s="75" t="s">
        <v>58</v>
      </c>
      <c r="J366" s="76" t="s">
        <v>10660</v>
      </c>
      <c r="K366" s="71" t="s">
        <v>10661</v>
      </c>
    </row>
    <row r="367" spans="1:11" x14ac:dyDescent="0.35">
      <c r="A367" s="78"/>
      <c r="B367" s="78"/>
      <c r="C367" s="78"/>
      <c r="D367" s="78"/>
      <c r="E367" s="77" t="s">
        <v>10662</v>
      </c>
      <c r="F367" s="78"/>
      <c r="G367" s="9"/>
      <c r="H367" s="79"/>
      <c r="I367" s="10"/>
      <c r="J367" s="79"/>
      <c r="K367" s="71" t="s">
        <v>10663</v>
      </c>
    </row>
    <row r="368" spans="1:11" x14ac:dyDescent="0.35">
      <c r="A368" s="78"/>
      <c r="B368" s="78"/>
      <c r="C368" s="78"/>
      <c r="D368" s="70" t="s">
        <v>10664</v>
      </c>
      <c r="E368" s="77" t="s">
        <v>10665</v>
      </c>
      <c r="F368" s="72" t="s">
        <v>10666</v>
      </c>
      <c r="G368" s="73" t="s">
        <v>244</v>
      </c>
      <c r="H368" s="74" t="s">
        <v>10667</v>
      </c>
      <c r="I368" s="81" t="s">
        <v>250</v>
      </c>
      <c r="J368" s="76" t="s">
        <v>10668</v>
      </c>
      <c r="K368" s="71" t="s">
        <v>10669</v>
      </c>
    </row>
    <row r="369" spans="1:11" x14ac:dyDescent="0.35">
      <c r="A369" s="78"/>
      <c r="B369" s="78"/>
      <c r="C369" s="78"/>
      <c r="D369" s="78"/>
      <c r="E369" s="77" t="s">
        <v>10670</v>
      </c>
      <c r="F369" s="34"/>
      <c r="G369" s="9"/>
      <c r="H369" s="79"/>
      <c r="I369" s="10"/>
      <c r="J369" s="79"/>
      <c r="K369" s="71" t="s">
        <v>10671</v>
      </c>
    </row>
    <row r="370" spans="1:11" x14ac:dyDescent="0.35">
      <c r="A370" s="78"/>
      <c r="B370" s="78"/>
      <c r="C370" s="70" t="s">
        <v>10672</v>
      </c>
      <c r="D370" s="70" t="s">
        <v>10673</v>
      </c>
      <c r="E370" s="77" t="s">
        <v>10674</v>
      </c>
      <c r="F370" s="72" t="s">
        <v>10675</v>
      </c>
      <c r="G370" s="73" t="s">
        <v>2545</v>
      </c>
      <c r="H370" s="74" t="s">
        <v>10676</v>
      </c>
      <c r="I370" s="80" t="s">
        <v>120</v>
      </c>
      <c r="J370" s="76" t="s">
        <v>10677</v>
      </c>
      <c r="K370" s="71" t="s">
        <v>10678</v>
      </c>
    </row>
    <row r="371" spans="1:11" x14ac:dyDescent="0.35">
      <c r="A371" s="78"/>
      <c r="B371" s="78"/>
      <c r="C371" s="78"/>
      <c r="D371" s="78"/>
      <c r="E371" s="77" t="s">
        <v>10679</v>
      </c>
      <c r="F371" s="34"/>
      <c r="G371" s="9"/>
      <c r="H371" s="79"/>
      <c r="I371" s="10"/>
      <c r="J371" s="79"/>
      <c r="K371" s="71" t="s">
        <v>10680</v>
      </c>
    </row>
    <row r="372" spans="1:11" x14ac:dyDescent="0.35">
      <c r="A372" s="78"/>
      <c r="B372" s="78"/>
      <c r="C372" s="78"/>
      <c r="D372" s="70" t="s">
        <v>10681</v>
      </c>
      <c r="E372" s="77" t="s">
        <v>10682</v>
      </c>
      <c r="F372" s="72" t="s">
        <v>10683</v>
      </c>
      <c r="G372" s="73" t="s">
        <v>244</v>
      </c>
      <c r="H372" s="74" t="s">
        <v>10684</v>
      </c>
      <c r="I372" s="80" t="s">
        <v>120</v>
      </c>
      <c r="J372" s="76" t="s">
        <v>10685</v>
      </c>
      <c r="K372" s="71" t="s">
        <v>10686</v>
      </c>
    </row>
    <row r="373" spans="1:11" x14ac:dyDescent="0.35">
      <c r="A373" s="78"/>
      <c r="B373" s="78"/>
      <c r="C373" s="78"/>
      <c r="D373" s="78"/>
      <c r="E373" s="77" t="s">
        <v>10687</v>
      </c>
      <c r="F373" s="34"/>
      <c r="G373" s="9"/>
      <c r="H373" s="79"/>
      <c r="I373" s="10"/>
      <c r="J373" s="79"/>
      <c r="K373" s="71" t="s">
        <v>10688</v>
      </c>
    </row>
    <row r="374" spans="1:11" x14ac:dyDescent="0.35">
      <c r="A374" s="78"/>
      <c r="B374" s="78"/>
      <c r="C374" s="78"/>
      <c r="D374" s="70" t="s">
        <v>10689</v>
      </c>
      <c r="E374" s="77" t="s">
        <v>10690</v>
      </c>
      <c r="F374" s="72" t="s">
        <v>10691</v>
      </c>
      <c r="G374" s="73" t="s">
        <v>244</v>
      </c>
      <c r="H374" s="74" t="s">
        <v>10692</v>
      </c>
      <c r="I374" s="81" t="s">
        <v>250</v>
      </c>
      <c r="J374" s="76" t="s">
        <v>10693</v>
      </c>
      <c r="K374" s="71" t="s">
        <v>10694</v>
      </c>
    </row>
    <row r="375" spans="1:11" x14ac:dyDescent="0.35">
      <c r="A375" s="78"/>
      <c r="B375" s="78"/>
      <c r="C375" s="78"/>
      <c r="D375" s="78"/>
      <c r="E375" s="77" t="s">
        <v>10695</v>
      </c>
      <c r="F375" s="34"/>
      <c r="G375" s="9"/>
      <c r="H375" s="79"/>
      <c r="I375" s="10"/>
      <c r="J375" s="79"/>
      <c r="K375" s="71" t="s">
        <v>10696</v>
      </c>
    </row>
    <row r="376" spans="1:11" x14ac:dyDescent="0.35">
      <c r="A376" s="78"/>
      <c r="B376" s="78"/>
      <c r="C376" s="78"/>
      <c r="D376" s="70" t="s">
        <v>10697</v>
      </c>
      <c r="E376" s="77" t="s">
        <v>10698</v>
      </c>
      <c r="F376" s="72" t="s">
        <v>10699</v>
      </c>
      <c r="G376" s="73" t="s">
        <v>65</v>
      </c>
      <c r="H376" s="74" t="s">
        <v>10700</v>
      </c>
      <c r="I376" s="75" t="s">
        <v>58</v>
      </c>
      <c r="J376" s="76" t="s">
        <v>10701</v>
      </c>
      <c r="K376" s="71" t="s">
        <v>10702</v>
      </c>
    </row>
    <row r="377" spans="1:11" x14ac:dyDescent="0.35">
      <c r="A377" s="78"/>
      <c r="B377" s="78"/>
      <c r="C377" s="78"/>
      <c r="D377" s="78"/>
      <c r="E377" s="77" t="s">
        <v>10703</v>
      </c>
      <c r="F377" s="34"/>
      <c r="G377" s="9"/>
      <c r="H377" s="79"/>
      <c r="I377" s="10"/>
      <c r="J377" s="79"/>
      <c r="K377" s="71" t="s">
        <v>10704</v>
      </c>
    </row>
    <row r="378" spans="1:11" x14ac:dyDescent="0.35">
      <c r="A378" s="78"/>
      <c r="B378" s="78"/>
      <c r="C378" s="78"/>
      <c r="D378" s="70" t="s">
        <v>10705</v>
      </c>
      <c r="E378" s="77" t="s">
        <v>10705</v>
      </c>
      <c r="F378" s="83" t="s">
        <v>10706</v>
      </c>
      <c r="G378" s="73" t="s">
        <v>65</v>
      </c>
      <c r="H378" s="74" t="s">
        <v>10707</v>
      </c>
      <c r="I378" s="81" t="s">
        <v>250</v>
      </c>
      <c r="J378" s="76" t="s">
        <v>10707</v>
      </c>
      <c r="K378" s="84" t="s">
        <v>10708</v>
      </c>
    </row>
    <row r="379" spans="1:11" x14ac:dyDescent="0.35">
      <c r="A379" s="78"/>
      <c r="B379" s="78"/>
      <c r="C379" s="78"/>
      <c r="D379" s="78"/>
      <c r="E379" s="77" t="s">
        <v>10709</v>
      </c>
      <c r="F379" s="78"/>
      <c r="G379" s="9"/>
      <c r="H379" s="79"/>
      <c r="I379" s="10"/>
      <c r="J379" s="79"/>
      <c r="K379" s="84" t="s">
        <v>10710</v>
      </c>
    </row>
    <row r="380" spans="1:11" x14ac:dyDescent="0.35">
      <c r="A380" s="78"/>
      <c r="B380" s="78"/>
      <c r="C380" s="70" t="s">
        <v>10711</v>
      </c>
      <c r="D380" s="70" t="s">
        <v>10712</v>
      </c>
      <c r="E380" s="77" t="s">
        <v>10713</v>
      </c>
      <c r="F380" s="83" t="s">
        <v>10714</v>
      </c>
      <c r="G380" s="73" t="s">
        <v>65</v>
      </c>
      <c r="H380" s="74" t="s">
        <v>10715</v>
      </c>
      <c r="I380" s="80" t="s">
        <v>120</v>
      </c>
      <c r="J380" s="76" t="s">
        <v>10715</v>
      </c>
      <c r="K380" s="84" t="s">
        <v>10716</v>
      </c>
    </row>
    <row r="381" spans="1:11" x14ac:dyDescent="0.35">
      <c r="A381" s="78"/>
      <c r="B381" s="78"/>
      <c r="C381" s="78"/>
      <c r="D381" s="78"/>
      <c r="E381" s="77" t="s">
        <v>10717</v>
      </c>
      <c r="F381" s="78"/>
      <c r="G381" s="9"/>
      <c r="H381" s="79"/>
      <c r="I381" s="10"/>
      <c r="J381" s="79"/>
      <c r="K381" s="84" t="s">
        <v>10718</v>
      </c>
    </row>
    <row r="382" spans="1:11" x14ac:dyDescent="0.35">
      <c r="A382" s="78"/>
      <c r="B382" s="78"/>
      <c r="C382" s="78"/>
      <c r="D382" s="70" t="s">
        <v>10719</v>
      </c>
      <c r="E382" s="77" t="s">
        <v>10720</v>
      </c>
      <c r="F382" s="83" t="s">
        <v>10721</v>
      </c>
      <c r="G382" s="73" t="s">
        <v>244</v>
      </c>
      <c r="H382" s="74" t="s">
        <v>10722</v>
      </c>
      <c r="I382" s="80" t="s">
        <v>120</v>
      </c>
      <c r="J382" s="76" t="s">
        <v>10722</v>
      </c>
      <c r="K382" s="84" t="s">
        <v>10723</v>
      </c>
    </row>
    <row r="383" spans="1:11" x14ac:dyDescent="0.35">
      <c r="A383" s="78"/>
      <c r="B383" s="78"/>
      <c r="C383" s="78"/>
      <c r="D383" s="78"/>
      <c r="E383" s="77" t="s">
        <v>10724</v>
      </c>
      <c r="F383" s="78"/>
      <c r="G383" s="9"/>
      <c r="H383" s="79"/>
      <c r="I383" s="10"/>
      <c r="J383" s="79"/>
      <c r="K383" s="84" t="s">
        <v>10725</v>
      </c>
    </row>
    <row r="384" spans="1:11" x14ac:dyDescent="0.35">
      <c r="A384" s="78"/>
      <c r="B384" s="78"/>
      <c r="C384" s="78"/>
      <c r="D384" s="70" t="s">
        <v>10726</v>
      </c>
      <c r="E384" s="77" t="s">
        <v>10727</v>
      </c>
      <c r="F384" s="83" t="s">
        <v>10728</v>
      </c>
      <c r="G384" s="73" t="s">
        <v>2545</v>
      </c>
      <c r="H384" s="74" t="s">
        <v>10729</v>
      </c>
      <c r="I384" s="81" t="s">
        <v>250</v>
      </c>
      <c r="J384" s="76" t="s">
        <v>10730</v>
      </c>
      <c r="K384" s="71" t="s">
        <v>10731</v>
      </c>
    </row>
    <row r="385" spans="1:11" x14ac:dyDescent="0.35">
      <c r="A385" s="78"/>
      <c r="B385" s="78"/>
      <c r="C385" s="78"/>
      <c r="D385" s="78"/>
      <c r="E385" s="77" t="s">
        <v>1889</v>
      </c>
      <c r="F385" s="78"/>
      <c r="G385" s="9"/>
      <c r="H385" s="79"/>
      <c r="I385" s="10"/>
      <c r="J385" s="79"/>
      <c r="K385" s="71" t="s">
        <v>10732</v>
      </c>
    </row>
    <row r="386" spans="1:11" x14ac:dyDescent="0.35">
      <c r="A386" s="78"/>
      <c r="B386" s="78"/>
      <c r="C386" s="78"/>
      <c r="D386" s="70" t="s">
        <v>10733</v>
      </c>
      <c r="E386" s="77" t="s">
        <v>10734</v>
      </c>
      <c r="F386" s="83" t="s">
        <v>10735</v>
      </c>
      <c r="G386" s="73" t="s">
        <v>244</v>
      </c>
      <c r="H386" s="74" t="s">
        <v>10736</v>
      </c>
      <c r="I386" s="75" t="s">
        <v>58</v>
      </c>
      <c r="J386" s="76" t="s">
        <v>10737</v>
      </c>
      <c r="K386" s="71" t="s">
        <v>10738</v>
      </c>
    </row>
    <row r="387" spans="1:11" x14ac:dyDescent="0.35">
      <c r="A387" s="78"/>
      <c r="B387" s="78"/>
      <c r="C387" s="78"/>
      <c r="D387" s="78"/>
      <c r="E387" s="77" t="s">
        <v>10739</v>
      </c>
      <c r="F387" s="78"/>
      <c r="G387" s="9"/>
      <c r="H387" s="79"/>
      <c r="I387" s="10"/>
      <c r="J387" s="79"/>
      <c r="K387" s="71" t="s">
        <v>10740</v>
      </c>
    </row>
    <row r="388" spans="1:11" x14ac:dyDescent="0.35">
      <c r="A388" s="78"/>
      <c r="B388" s="78"/>
      <c r="C388" s="78"/>
      <c r="D388" s="70" t="s">
        <v>6487</v>
      </c>
      <c r="E388" s="77" t="s">
        <v>10741</v>
      </c>
      <c r="F388" s="83" t="s">
        <v>10742</v>
      </c>
      <c r="G388" s="73" t="s">
        <v>244</v>
      </c>
      <c r="H388" s="74" t="s">
        <v>10743</v>
      </c>
      <c r="I388" s="81" t="s">
        <v>250</v>
      </c>
      <c r="J388" s="76" t="s">
        <v>10744</v>
      </c>
      <c r="K388" s="71" t="s">
        <v>10745</v>
      </c>
    </row>
    <row r="389" spans="1:11" x14ac:dyDescent="0.35">
      <c r="A389" s="78"/>
      <c r="B389" s="78"/>
      <c r="C389" s="78"/>
      <c r="D389" s="78"/>
      <c r="E389" s="77" t="s">
        <v>10746</v>
      </c>
      <c r="F389" s="78"/>
      <c r="G389" s="9"/>
      <c r="H389" s="79"/>
      <c r="I389" s="10"/>
      <c r="J389" s="79"/>
      <c r="K389" s="71" t="s">
        <v>10747</v>
      </c>
    </row>
    <row r="390" spans="1:11" x14ac:dyDescent="0.35">
      <c r="A390" s="78"/>
      <c r="B390" s="69" t="s">
        <v>10748</v>
      </c>
      <c r="C390" s="70" t="s">
        <v>10749</v>
      </c>
      <c r="D390" s="70" t="s">
        <v>10712</v>
      </c>
      <c r="E390" s="77" t="s">
        <v>10750</v>
      </c>
      <c r="F390" s="83" t="s">
        <v>10751</v>
      </c>
      <c r="G390" s="73" t="s">
        <v>65</v>
      </c>
      <c r="H390" s="74" t="s">
        <v>10752</v>
      </c>
      <c r="I390" s="80" t="s">
        <v>120</v>
      </c>
      <c r="J390" s="76" t="s">
        <v>10753</v>
      </c>
      <c r="K390" s="71" t="s">
        <v>10754</v>
      </c>
    </row>
    <row r="391" spans="1:11" x14ac:dyDescent="0.35">
      <c r="A391" s="78"/>
      <c r="B391" s="78"/>
      <c r="C391" s="78"/>
      <c r="D391" s="78"/>
      <c r="E391" s="77" t="s">
        <v>10755</v>
      </c>
      <c r="F391" s="78"/>
      <c r="G391" s="9"/>
      <c r="H391" s="79"/>
      <c r="I391" s="10"/>
      <c r="J391" s="79"/>
      <c r="K391" s="71" t="s">
        <v>10512</v>
      </c>
    </row>
    <row r="392" spans="1:11" x14ac:dyDescent="0.35">
      <c r="A392" s="78"/>
      <c r="B392" s="78"/>
      <c r="C392" s="78"/>
      <c r="D392" s="70" t="s">
        <v>10719</v>
      </c>
      <c r="E392" s="77" t="s">
        <v>10756</v>
      </c>
      <c r="F392" s="83" t="s">
        <v>10757</v>
      </c>
      <c r="G392" s="73" t="s">
        <v>65</v>
      </c>
      <c r="H392" s="74" t="s">
        <v>10758</v>
      </c>
      <c r="I392" s="80" t="s">
        <v>120</v>
      </c>
      <c r="J392" s="76" t="s">
        <v>10759</v>
      </c>
      <c r="K392" s="71" t="s">
        <v>10760</v>
      </c>
    </row>
    <row r="393" spans="1:11" x14ac:dyDescent="0.35">
      <c r="A393" s="78"/>
      <c r="B393" s="78"/>
      <c r="C393" s="78"/>
      <c r="D393" s="78"/>
      <c r="E393" s="77" t="s">
        <v>10761</v>
      </c>
      <c r="F393" s="78"/>
      <c r="G393" s="9"/>
      <c r="H393" s="79"/>
      <c r="I393" s="10"/>
      <c r="J393" s="79"/>
      <c r="K393" s="71" t="s">
        <v>10762</v>
      </c>
    </row>
    <row r="394" spans="1:11" x14ac:dyDescent="0.35">
      <c r="A394" s="78"/>
      <c r="B394" s="78"/>
      <c r="C394" s="78"/>
      <c r="D394" s="70" t="s">
        <v>10726</v>
      </c>
      <c r="E394" s="77" t="s">
        <v>10713</v>
      </c>
      <c r="F394" s="83" t="s">
        <v>10763</v>
      </c>
      <c r="G394" s="73" t="s">
        <v>65</v>
      </c>
      <c r="H394" s="74" t="s">
        <v>10764</v>
      </c>
      <c r="I394" s="81" t="s">
        <v>250</v>
      </c>
      <c r="J394" s="76" t="s">
        <v>10765</v>
      </c>
      <c r="K394" s="71" t="s">
        <v>10766</v>
      </c>
    </row>
    <row r="395" spans="1:11" x14ac:dyDescent="0.35">
      <c r="A395" s="78"/>
      <c r="B395" s="78"/>
      <c r="C395" s="78"/>
      <c r="D395" s="78"/>
      <c r="E395" s="77" t="s">
        <v>10717</v>
      </c>
      <c r="F395" s="78"/>
      <c r="G395" s="9"/>
      <c r="H395" s="79"/>
      <c r="I395" s="10"/>
      <c r="J395" s="79"/>
      <c r="K395" s="71" t="s">
        <v>10767</v>
      </c>
    </row>
    <row r="396" spans="1:11" x14ac:dyDescent="0.35">
      <c r="A396" s="78"/>
      <c r="B396" s="78"/>
      <c r="C396" s="78"/>
      <c r="D396" s="70" t="s">
        <v>10733</v>
      </c>
      <c r="E396" s="77" t="s">
        <v>10720</v>
      </c>
      <c r="F396" s="83" t="s">
        <v>10768</v>
      </c>
      <c r="G396" s="73" t="s">
        <v>244</v>
      </c>
      <c r="H396" s="74" t="s">
        <v>10769</v>
      </c>
      <c r="I396" s="75" t="s">
        <v>58</v>
      </c>
      <c r="J396" s="76" t="s">
        <v>10770</v>
      </c>
      <c r="K396" s="71" t="s">
        <v>10771</v>
      </c>
    </row>
    <row r="397" spans="1:11" x14ac:dyDescent="0.35">
      <c r="A397" s="78"/>
      <c r="B397" s="78"/>
      <c r="C397" s="78"/>
      <c r="D397" s="78"/>
      <c r="E397" s="77" t="s">
        <v>10724</v>
      </c>
      <c r="F397" s="78"/>
      <c r="G397" s="9"/>
      <c r="H397" s="79"/>
      <c r="I397" s="10"/>
      <c r="J397" s="79"/>
      <c r="K397" s="71" t="s">
        <v>10772</v>
      </c>
    </row>
    <row r="398" spans="1:11" x14ac:dyDescent="0.35">
      <c r="A398" s="78"/>
      <c r="B398" s="78"/>
      <c r="C398" s="78"/>
      <c r="D398" s="70" t="s">
        <v>6487</v>
      </c>
      <c r="E398" s="77" t="s">
        <v>10727</v>
      </c>
      <c r="F398" s="83" t="s">
        <v>10773</v>
      </c>
      <c r="G398" s="73" t="s">
        <v>2545</v>
      </c>
      <c r="H398" s="74" t="s">
        <v>10774</v>
      </c>
      <c r="I398" s="81" t="s">
        <v>250</v>
      </c>
      <c r="J398" s="76" t="s">
        <v>10775</v>
      </c>
      <c r="K398" s="71" t="s">
        <v>10776</v>
      </c>
    </row>
    <row r="399" spans="1:11" x14ac:dyDescent="0.35">
      <c r="A399" s="78"/>
      <c r="B399" s="78"/>
      <c r="C399" s="78"/>
      <c r="D399" s="78"/>
      <c r="E399" s="77" t="s">
        <v>1889</v>
      </c>
      <c r="F399" s="78"/>
      <c r="G399" s="9"/>
      <c r="H399" s="79"/>
      <c r="I399" s="10"/>
      <c r="J399" s="79"/>
      <c r="K399" s="71" t="s">
        <v>10777</v>
      </c>
    </row>
    <row r="400" spans="1:11" x14ac:dyDescent="0.35">
      <c r="A400" s="78"/>
      <c r="B400" s="78"/>
      <c r="C400" s="70" t="s">
        <v>10778</v>
      </c>
      <c r="D400" s="70" t="s">
        <v>10779</v>
      </c>
      <c r="E400" s="77" t="s">
        <v>10734</v>
      </c>
      <c r="F400" s="83" t="s">
        <v>10780</v>
      </c>
      <c r="G400" s="73" t="s">
        <v>244</v>
      </c>
      <c r="H400" s="74" t="s">
        <v>10781</v>
      </c>
      <c r="I400" s="80" t="s">
        <v>120</v>
      </c>
      <c r="J400" s="76" t="s">
        <v>10782</v>
      </c>
      <c r="K400" s="71" t="s">
        <v>10783</v>
      </c>
    </row>
    <row r="401" spans="1:11" x14ac:dyDescent="0.35">
      <c r="A401" s="78"/>
      <c r="B401" s="78"/>
      <c r="C401" s="78"/>
      <c r="D401" s="78"/>
      <c r="E401" s="77" t="s">
        <v>10739</v>
      </c>
      <c r="F401" s="78"/>
      <c r="G401" s="9"/>
      <c r="H401" s="79"/>
      <c r="I401" s="10"/>
      <c r="J401" s="79"/>
      <c r="K401" s="71" t="s">
        <v>10784</v>
      </c>
    </row>
    <row r="402" spans="1:11" x14ac:dyDescent="0.35">
      <c r="A402" s="78"/>
      <c r="B402" s="78"/>
      <c r="C402" s="78"/>
      <c r="D402" s="70" t="s">
        <v>10785</v>
      </c>
      <c r="E402" s="77" t="s">
        <v>10741</v>
      </c>
      <c r="F402" s="83" t="s">
        <v>10786</v>
      </c>
      <c r="G402" s="73" t="s">
        <v>244</v>
      </c>
      <c r="H402" s="74" t="s">
        <v>10787</v>
      </c>
      <c r="I402" s="80" t="s">
        <v>120</v>
      </c>
      <c r="J402" s="76" t="s">
        <v>10788</v>
      </c>
      <c r="K402" s="71" t="s">
        <v>10789</v>
      </c>
    </row>
    <row r="403" spans="1:11" x14ac:dyDescent="0.35">
      <c r="A403" s="78"/>
      <c r="B403" s="78"/>
      <c r="C403" s="78"/>
      <c r="D403" s="78"/>
      <c r="E403" s="77" t="s">
        <v>10746</v>
      </c>
      <c r="F403" s="78"/>
      <c r="G403" s="9"/>
      <c r="H403" s="79"/>
      <c r="I403" s="10"/>
      <c r="J403" s="79"/>
      <c r="K403" s="71" t="s">
        <v>10790</v>
      </c>
    </row>
    <row r="404" spans="1:11" x14ac:dyDescent="0.35">
      <c r="A404" s="78"/>
      <c r="B404" s="78"/>
      <c r="C404" s="78"/>
      <c r="D404" s="70" t="s">
        <v>10791</v>
      </c>
      <c r="E404" s="77" t="s">
        <v>10750</v>
      </c>
      <c r="F404" s="83" t="s">
        <v>10792</v>
      </c>
      <c r="G404" s="73" t="s">
        <v>65</v>
      </c>
      <c r="H404" s="74" t="s">
        <v>10793</v>
      </c>
      <c r="I404" s="81" t="s">
        <v>250</v>
      </c>
      <c r="J404" s="76" t="s">
        <v>10794</v>
      </c>
      <c r="K404" s="71" t="s">
        <v>10795</v>
      </c>
    </row>
    <row r="405" spans="1:11" x14ac:dyDescent="0.35">
      <c r="A405" s="78"/>
      <c r="B405" s="78"/>
      <c r="C405" s="78"/>
      <c r="D405" s="78"/>
      <c r="E405" s="77" t="s">
        <v>10755</v>
      </c>
      <c r="F405" s="78"/>
      <c r="G405" s="9"/>
      <c r="H405" s="79"/>
      <c r="I405" s="10"/>
      <c r="J405" s="79"/>
      <c r="K405" s="71" t="s">
        <v>10796</v>
      </c>
    </row>
    <row r="406" spans="1:11" x14ac:dyDescent="0.35">
      <c r="A406" s="78"/>
      <c r="B406" s="78"/>
      <c r="C406" s="78"/>
      <c r="D406" s="70" t="s">
        <v>10797</v>
      </c>
      <c r="E406" s="77" t="s">
        <v>10756</v>
      </c>
      <c r="F406" s="83" t="s">
        <v>10798</v>
      </c>
      <c r="G406" s="73" t="s">
        <v>65</v>
      </c>
      <c r="H406" s="74" t="s">
        <v>10799</v>
      </c>
      <c r="I406" s="75" t="s">
        <v>58</v>
      </c>
      <c r="J406" s="76" t="s">
        <v>10800</v>
      </c>
      <c r="K406" s="71" t="s">
        <v>10801</v>
      </c>
    </row>
    <row r="407" spans="1:11" x14ac:dyDescent="0.35">
      <c r="A407" s="78"/>
      <c r="B407" s="78"/>
      <c r="C407" s="78"/>
      <c r="D407" s="78"/>
      <c r="E407" s="77" t="s">
        <v>10761</v>
      </c>
      <c r="F407" s="78"/>
      <c r="G407" s="9"/>
      <c r="H407" s="79"/>
      <c r="I407" s="10"/>
      <c r="J407" s="79"/>
      <c r="K407" s="71" t="s">
        <v>10802</v>
      </c>
    </row>
    <row r="408" spans="1:11" x14ac:dyDescent="0.35">
      <c r="A408" s="78"/>
      <c r="B408" s="78"/>
      <c r="C408" s="78"/>
      <c r="D408" s="70" t="s">
        <v>10803</v>
      </c>
      <c r="E408" s="77" t="s">
        <v>10779</v>
      </c>
      <c r="F408" s="83" t="s">
        <v>10804</v>
      </c>
      <c r="G408" s="73" t="s">
        <v>65</v>
      </c>
      <c r="H408" s="74" t="s">
        <v>10805</v>
      </c>
      <c r="I408" s="81" t="s">
        <v>250</v>
      </c>
      <c r="J408" s="76" t="s">
        <v>10806</v>
      </c>
      <c r="K408" s="71" t="s">
        <v>10807</v>
      </c>
    </row>
    <row r="409" spans="1:11" x14ac:dyDescent="0.35">
      <c r="A409" s="78"/>
      <c r="B409" s="78"/>
      <c r="C409" s="78"/>
      <c r="D409" s="78"/>
      <c r="E409" s="77" t="s">
        <v>10808</v>
      </c>
      <c r="F409" s="78"/>
      <c r="G409" s="9"/>
      <c r="H409" s="79"/>
      <c r="I409" s="10"/>
      <c r="J409" s="79"/>
      <c r="K409" s="71" t="s">
        <v>10809</v>
      </c>
    </row>
    <row r="410" spans="1:11" x14ac:dyDescent="0.35">
      <c r="A410" s="78"/>
      <c r="B410" s="78"/>
      <c r="C410" s="70" t="s">
        <v>10810</v>
      </c>
      <c r="D410" s="70" t="s">
        <v>10811</v>
      </c>
      <c r="E410" s="77" t="s">
        <v>10785</v>
      </c>
      <c r="F410" s="83" t="s">
        <v>10812</v>
      </c>
      <c r="G410" s="73" t="s">
        <v>244</v>
      </c>
      <c r="H410" s="74" t="s">
        <v>10813</v>
      </c>
      <c r="I410" s="80" t="s">
        <v>120</v>
      </c>
      <c r="J410" s="76" t="s">
        <v>10814</v>
      </c>
      <c r="K410" s="71" t="s">
        <v>10815</v>
      </c>
    </row>
    <row r="411" spans="1:11" x14ac:dyDescent="0.35">
      <c r="A411" s="78"/>
      <c r="B411" s="78"/>
      <c r="C411" s="78"/>
      <c r="D411" s="78"/>
      <c r="E411" s="77" t="s">
        <v>10816</v>
      </c>
      <c r="F411" s="78"/>
      <c r="G411" s="9"/>
      <c r="H411" s="79"/>
      <c r="I411" s="10"/>
      <c r="J411" s="79"/>
      <c r="K411" s="71" t="s">
        <v>10817</v>
      </c>
    </row>
    <row r="412" spans="1:11" x14ac:dyDescent="0.35">
      <c r="A412" s="78"/>
      <c r="B412" s="78"/>
      <c r="C412" s="78"/>
      <c r="D412" s="70" t="s">
        <v>10818</v>
      </c>
      <c r="E412" s="77" t="s">
        <v>10819</v>
      </c>
      <c r="F412" s="83" t="s">
        <v>10820</v>
      </c>
      <c r="G412" s="73" t="s">
        <v>2545</v>
      </c>
      <c r="H412" s="74" t="s">
        <v>10821</v>
      </c>
      <c r="I412" s="80" t="s">
        <v>120</v>
      </c>
      <c r="J412" s="76" t="s">
        <v>10822</v>
      </c>
      <c r="K412" s="71" t="s">
        <v>10823</v>
      </c>
    </row>
    <row r="413" spans="1:11" x14ac:dyDescent="0.35">
      <c r="A413" s="78"/>
      <c r="B413" s="78"/>
      <c r="C413" s="78"/>
      <c r="D413" s="78"/>
      <c r="E413" s="77" t="s">
        <v>10824</v>
      </c>
      <c r="F413" s="78"/>
      <c r="G413" s="9"/>
      <c r="H413" s="79"/>
      <c r="I413" s="10"/>
      <c r="J413" s="79"/>
      <c r="K413" s="71" t="s">
        <v>10825</v>
      </c>
    </row>
    <row r="414" spans="1:11" x14ac:dyDescent="0.35">
      <c r="A414" s="78"/>
      <c r="B414" s="78"/>
      <c r="C414" s="78"/>
      <c r="D414" s="70" t="s">
        <v>10826</v>
      </c>
      <c r="E414" s="77" t="s">
        <v>10827</v>
      </c>
      <c r="F414" s="83" t="s">
        <v>10828</v>
      </c>
      <c r="G414" s="73" t="s">
        <v>244</v>
      </c>
      <c r="H414" s="74" t="s">
        <v>10829</v>
      </c>
      <c r="I414" s="81" t="s">
        <v>250</v>
      </c>
      <c r="J414" s="76" t="s">
        <v>10830</v>
      </c>
      <c r="K414" s="71" t="s">
        <v>10831</v>
      </c>
    </row>
    <row r="415" spans="1:11" x14ac:dyDescent="0.35">
      <c r="A415" s="78"/>
      <c r="B415" s="78"/>
      <c r="C415" s="78"/>
      <c r="D415" s="78"/>
      <c r="E415" s="77" t="s">
        <v>10832</v>
      </c>
      <c r="F415" s="78"/>
      <c r="G415" s="9"/>
      <c r="H415" s="79"/>
      <c r="I415" s="10"/>
      <c r="J415" s="79"/>
      <c r="K415" s="71" t="s">
        <v>10833</v>
      </c>
    </row>
    <row r="416" spans="1:11" x14ac:dyDescent="0.35">
      <c r="A416" s="78"/>
      <c r="B416" s="78"/>
      <c r="C416" s="78"/>
      <c r="D416" s="70" t="s">
        <v>10834</v>
      </c>
      <c r="E416" s="77" t="s">
        <v>10835</v>
      </c>
      <c r="F416" s="83" t="s">
        <v>10836</v>
      </c>
      <c r="G416" s="73" t="s">
        <v>244</v>
      </c>
      <c r="H416" s="74" t="s">
        <v>10837</v>
      </c>
      <c r="I416" s="75" t="s">
        <v>58</v>
      </c>
      <c r="J416" s="76" t="s">
        <v>10838</v>
      </c>
      <c r="K416" s="71" t="s">
        <v>10839</v>
      </c>
    </row>
    <row r="417" spans="1:11" x14ac:dyDescent="0.35">
      <c r="A417" s="78"/>
      <c r="B417" s="78"/>
      <c r="C417" s="78"/>
      <c r="D417" s="78"/>
      <c r="E417" s="77" t="s">
        <v>10840</v>
      </c>
      <c r="F417" s="78"/>
      <c r="G417" s="9"/>
      <c r="H417" s="79"/>
      <c r="I417" s="10"/>
      <c r="J417" s="79"/>
      <c r="K417" s="71" t="s">
        <v>10841</v>
      </c>
    </row>
    <row r="418" spans="1:11" x14ac:dyDescent="0.35">
      <c r="A418" s="78"/>
      <c r="B418" s="78"/>
      <c r="C418" s="78"/>
      <c r="D418" s="70" t="s">
        <v>10842</v>
      </c>
      <c r="E418" s="77" t="s">
        <v>10842</v>
      </c>
      <c r="F418" s="83" t="s">
        <v>10843</v>
      </c>
      <c r="G418" s="73" t="s">
        <v>65</v>
      </c>
      <c r="H418" s="74" t="s">
        <v>10844</v>
      </c>
      <c r="I418" s="81" t="s">
        <v>250</v>
      </c>
      <c r="J418" s="76" t="s">
        <v>10845</v>
      </c>
      <c r="K418" s="71" t="s">
        <v>10846</v>
      </c>
    </row>
    <row r="419" spans="1:11" x14ac:dyDescent="0.35">
      <c r="A419" s="78"/>
      <c r="B419" s="78"/>
      <c r="C419" s="78"/>
      <c r="D419" s="78"/>
      <c r="E419" s="77" t="s">
        <v>10847</v>
      </c>
      <c r="F419" s="78"/>
      <c r="G419" s="9"/>
      <c r="H419" s="79"/>
      <c r="I419" s="10"/>
      <c r="J419" s="79"/>
      <c r="K419" s="71" t="s">
        <v>10848</v>
      </c>
    </row>
    <row r="420" spans="1:11" x14ac:dyDescent="0.35">
      <c r="A420" s="78"/>
      <c r="B420" s="78"/>
      <c r="C420" s="70" t="s">
        <v>10849</v>
      </c>
      <c r="D420" s="70" t="s">
        <v>10850</v>
      </c>
      <c r="E420" s="77" t="s">
        <v>10851</v>
      </c>
      <c r="F420" s="83" t="s">
        <v>10852</v>
      </c>
      <c r="G420" s="73" t="s">
        <v>65</v>
      </c>
      <c r="H420" s="74" t="s">
        <v>10845</v>
      </c>
      <c r="I420" s="80" t="s">
        <v>120</v>
      </c>
      <c r="J420" s="76" t="s">
        <v>10829</v>
      </c>
      <c r="K420" s="71" t="s">
        <v>10853</v>
      </c>
    </row>
    <row r="421" spans="1:11" x14ac:dyDescent="0.35">
      <c r="A421" s="78"/>
      <c r="B421" s="78"/>
      <c r="C421" s="78"/>
      <c r="D421" s="78"/>
      <c r="E421" s="77" t="s">
        <v>10854</v>
      </c>
      <c r="F421" s="78"/>
      <c r="G421" s="9"/>
      <c r="H421" s="79"/>
      <c r="I421" s="10"/>
      <c r="J421" s="79"/>
      <c r="K421" s="71" t="s">
        <v>10855</v>
      </c>
    </row>
    <row r="422" spans="1:11" x14ac:dyDescent="0.35">
      <c r="A422" s="78"/>
      <c r="B422" s="78"/>
      <c r="C422" s="78"/>
      <c r="D422" s="70" t="s">
        <v>10856</v>
      </c>
      <c r="E422" s="77" t="s">
        <v>10857</v>
      </c>
      <c r="F422" s="83" t="s">
        <v>10858</v>
      </c>
      <c r="G422" s="73" t="s">
        <v>65</v>
      </c>
      <c r="H422" s="74" t="s">
        <v>10859</v>
      </c>
      <c r="I422" s="80" t="s">
        <v>120</v>
      </c>
      <c r="J422" s="76" t="s">
        <v>10860</v>
      </c>
      <c r="K422" s="71" t="s">
        <v>10861</v>
      </c>
    </row>
    <row r="423" spans="1:11" x14ac:dyDescent="0.35">
      <c r="A423" s="78"/>
      <c r="B423" s="78"/>
      <c r="C423" s="78"/>
      <c r="D423" s="78"/>
      <c r="E423" s="77" t="s">
        <v>10862</v>
      </c>
      <c r="F423" s="78"/>
      <c r="G423" s="9"/>
      <c r="H423" s="79"/>
      <c r="I423" s="10"/>
      <c r="J423" s="79"/>
      <c r="K423" s="71" t="s">
        <v>10863</v>
      </c>
    </row>
    <row r="424" spans="1:11" x14ac:dyDescent="0.35">
      <c r="A424" s="78"/>
      <c r="B424" s="78"/>
      <c r="C424" s="78"/>
      <c r="D424" s="70" t="s">
        <v>10864</v>
      </c>
      <c r="E424" s="77" t="s">
        <v>10865</v>
      </c>
      <c r="F424" s="83" t="s">
        <v>10864</v>
      </c>
      <c r="G424" s="73" t="s">
        <v>244</v>
      </c>
      <c r="H424" s="74" t="s">
        <v>10866</v>
      </c>
      <c r="I424" s="81" t="s">
        <v>250</v>
      </c>
      <c r="J424" s="76" t="s">
        <v>10867</v>
      </c>
      <c r="K424" s="71" t="s">
        <v>10868</v>
      </c>
    </row>
    <row r="425" spans="1:11" x14ac:dyDescent="0.35">
      <c r="A425" s="78"/>
      <c r="B425" s="78"/>
      <c r="C425" s="78"/>
      <c r="D425" s="78"/>
      <c r="E425" s="77" t="s">
        <v>10869</v>
      </c>
      <c r="F425" s="78"/>
      <c r="G425" s="9"/>
      <c r="H425" s="79"/>
      <c r="I425" s="10"/>
      <c r="J425" s="79"/>
      <c r="K425" s="71" t="s">
        <v>10870</v>
      </c>
    </row>
    <row r="426" spans="1:11" x14ac:dyDescent="0.35">
      <c r="A426" s="78"/>
      <c r="B426" s="78"/>
      <c r="C426" s="78"/>
      <c r="D426" s="70" t="s">
        <v>10871</v>
      </c>
      <c r="E426" s="77" t="s">
        <v>10872</v>
      </c>
      <c r="F426" s="83" t="s">
        <v>10873</v>
      </c>
      <c r="G426" s="73" t="s">
        <v>2545</v>
      </c>
      <c r="H426" s="74" t="s">
        <v>10859</v>
      </c>
      <c r="I426" s="75" t="s">
        <v>58</v>
      </c>
      <c r="J426" s="76" t="s">
        <v>10874</v>
      </c>
      <c r="K426" s="71" t="s">
        <v>10875</v>
      </c>
    </row>
    <row r="427" spans="1:11" x14ac:dyDescent="0.35">
      <c r="A427" s="78"/>
      <c r="B427" s="78"/>
      <c r="C427" s="78"/>
      <c r="D427" s="78"/>
      <c r="E427" s="77" t="s">
        <v>10876</v>
      </c>
      <c r="F427" s="78"/>
      <c r="G427" s="9"/>
      <c r="H427" s="79"/>
      <c r="I427" s="10"/>
      <c r="J427" s="79"/>
      <c r="K427" s="71" t="s">
        <v>10877</v>
      </c>
    </row>
    <row r="428" spans="1:11" x14ac:dyDescent="0.35">
      <c r="A428" s="78"/>
      <c r="B428" s="78"/>
      <c r="C428" s="78"/>
      <c r="D428" s="70" t="s">
        <v>10878</v>
      </c>
      <c r="E428" s="77" t="s">
        <v>10879</v>
      </c>
      <c r="F428" s="83" t="s">
        <v>10878</v>
      </c>
      <c r="G428" s="73" t="s">
        <v>244</v>
      </c>
      <c r="H428" s="74" t="s">
        <v>10880</v>
      </c>
      <c r="I428" s="81" t="s">
        <v>250</v>
      </c>
      <c r="J428" s="76" t="s">
        <v>10881</v>
      </c>
      <c r="K428" s="71" t="s">
        <v>10882</v>
      </c>
    </row>
    <row r="429" spans="1:11" x14ac:dyDescent="0.35">
      <c r="A429" s="78"/>
      <c r="B429" s="78"/>
      <c r="C429" s="78"/>
      <c r="D429" s="78"/>
      <c r="E429" s="77" t="s">
        <v>10883</v>
      </c>
      <c r="F429" s="78"/>
      <c r="G429" s="9"/>
      <c r="H429" s="79"/>
      <c r="I429" s="10"/>
      <c r="J429" s="79"/>
      <c r="K429" s="71" t="s">
        <v>10884</v>
      </c>
    </row>
    <row r="430" spans="1:11" x14ac:dyDescent="0.35">
      <c r="A430" s="78"/>
      <c r="B430" s="78"/>
      <c r="C430" s="70" t="s">
        <v>10885</v>
      </c>
      <c r="D430" s="70" t="s">
        <v>10886</v>
      </c>
      <c r="E430" s="77" t="s">
        <v>10887</v>
      </c>
      <c r="F430" s="83" t="s">
        <v>10888</v>
      </c>
      <c r="G430" s="73" t="s">
        <v>244</v>
      </c>
      <c r="H430" s="74" t="s">
        <v>10889</v>
      </c>
      <c r="I430" s="80" t="s">
        <v>120</v>
      </c>
      <c r="J430" s="76" t="s">
        <v>10890</v>
      </c>
      <c r="K430" s="71" t="s">
        <v>10891</v>
      </c>
    </row>
    <row r="431" spans="1:11" x14ac:dyDescent="0.35">
      <c r="A431" s="78"/>
      <c r="B431" s="78"/>
      <c r="C431" s="78"/>
      <c r="D431" s="78"/>
      <c r="E431" s="77" t="s">
        <v>10892</v>
      </c>
      <c r="F431" s="78"/>
      <c r="G431" s="9"/>
      <c r="H431" s="79"/>
      <c r="I431" s="10"/>
      <c r="J431" s="79"/>
      <c r="K431" s="71" t="s">
        <v>10893</v>
      </c>
    </row>
    <row r="432" spans="1:11" x14ac:dyDescent="0.35">
      <c r="A432" s="78"/>
      <c r="B432" s="78"/>
      <c r="C432" s="78"/>
      <c r="D432" s="70" t="s">
        <v>10894</v>
      </c>
      <c r="E432" s="77" t="s">
        <v>10895</v>
      </c>
      <c r="F432" s="83" t="s">
        <v>10894</v>
      </c>
      <c r="G432" s="73" t="s">
        <v>65</v>
      </c>
      <c r="H432" s="74" t="s">
        <v>10896</v>
      </c>
      <c r="I432" s="80" t="s">
        <v>120</v>
      </c>
      <c r="J432" s="76" t="s">
        <v>10897</v>
      </c>
      <c r="K432" s="71" t="s">
        <v>10898</v>
      </c>
    </row>
    <row r="433" spans="1:11" x14ac:dyDescent="0.35">
      <c r="A433" s="78"/>
      <c r="B433" s="78"/>
      <c r="C433" s="78"/>
      <c r="D433" s="78"/>
      <c r="E433" s="77" t="s">
        <v>10899</v>
      </c>
      <c r="F433" s="78"/>
      <c r="G433" s="9"/>
      <c r="H433" s="79"/>
      <c r="I433" s="10"/>
      <c r="J433" s="79"/>
      <c r="K433" s="71" t="s">
        <v>10900</v>
      </c>
    </row>
    <row r="434" spans="1:11" x14ac:dyDescent="0.35">
      <c r="A434" s="78"/>
      <c r="B434" s="78"/>
      <c r="C434" s="78"/>
      <c r="D434" s="70" t="s">
        <v>10901</v>
      </c>
      <c r="E434" s="77" t="s">
        <v>10902</v>
      </c>
      <c r="F434" s="83" t="s">
        <v>10903</v>
      </c>
      <c r="G434" s="73" t="s">
        <v>65</v>
      </c>
      <c r="H434" s="74" t="s">
        <v>10904</v>
      </c>
      <c r="I434" s="81" t="s">
        <v>250</v>
      </c>
      <c r="J434" s="76" t="s">
        <v>10905</v>
      </c>
      <c r="K434" s="71" t="s">
        <v>10906</v>
      </c>
    </row>
    <row r="435" spans="1:11" x14ac:dyDescent="0.35">
      <c r="A435" s="78"/>
      <c r="B435" s="78"/>
      <c r="C435" s="78"/>
      <c r="D435" s="78"/>
      <c r="E435" s="77" t="s">
        <v>10907</v>
      </c>
      <c r="F435" s="78"/>
      <c r="G435" s="9"/>
      <c r="H435" s="79"/>
      <c r="I435" s="10"/>
      <c r="J435" s="79"/>
      <c r="K435" s="71" t="s">
        <v>10908</v>
      </c>
    </row>
    <row r="436" spans="1:11" x14ac:dyDescent="0.35">
      <c r="A436" s="78"/>
      <c r="B436" s="78"/>
      <c r="C436" s="78"/>
      <c r="D436" s="70" t="s">
        <v>10834</v>
      </c>
      <c r="E436" s="77" t="s">
        <v>10909</v>
      </c>
      <c r="F436" s="83" t="s">
        <v>10834</v>
      </c>
      <c r="G436" s="73" t="s">
        <v>65</v>
      </c>
      <c r="H436" s="74" t="s">
        <v>10910</v>
      </c>
      <c r="I436" s="75" t="s">
        <v>58</v>
      </c>
      <c r="J436" s="76" t="s">
        <v>10911</v>
      </c>
      <c r="K436" s="71" t="s">
        <v>10912</v>
      </c>
    </row>
    <row r="437" spans="1:11" x14ac:dyDescent="0.35">
      <c r="A437" s="78"/>
      <c r="B437" s="78"/>
      <c r="C437" s="78"/>
      <c r="D437" s="78"/>
      <c r="E437" s="77" t="s">
        <v>10913</v>
      </c>
      <c r="F437" s="78"/>
      <c r="G437" s="9"/>
      <c r="H437" s="79"/>
      <c r="I437" s="10"/>
      <c r="J437" s="79"/>
      <c r="K437" s="71" t="s">
        <v>10914</v>
      </c>
    </row>
    <row r="438" spans="1:11" x14ac:dyDescent="0.35">
      <c r="A438" s="78"/>
      <c r="B438" s="78"/>
      <c r="C438" s="78"/>
      <c r="D438" s="70" t="s">
        <v>10915</v>
      </c>
      <c r="E438" s="77" t="s">
        <v>10916</v>
      </c>
      <c r="F438" s="83" t="s">
        <v>10917</v>
      </c>
      <c r="G438" s="73" t="s">
        <v>244</v>
      </c>
      <c r="H438" s="74" t="s">
        <v>10918</v>
      </c>
      <c r="I438" s="81" t="s">
        <v>250</v>
      </c>
      <c r="J438" s="76" t="s">
        <v>10919</v>
      </c>
      <c r="K438" s="71" t="s">
        <v>10920</v>
      </c>
    </row>
    <row r="439" spans="1:11" x14ac:dyDescent="0.35">
      <c r="A439" s="78"/>
      <c r="B439" s="78"/>
      <c r="C439" s="78"/>
      <c r="D439" s="78"/>
      <c r="E439" s="77" t="s">
        <v>10921</v>
      </c>
      <c r="F439" s="78"/>
      <c r="G439" s="9"/>
      <c r="H439" s="79"/>
      <c r="I439" s="10"/>
      <c r="J439" s="79"/>
      <c r="K439" s="71" t="s">
        <v>10922</v>
      </c>
    </row>
    <row r="440" spans="1:11" x14ac:dyDescent="0.35">
      <c r="A440" s="78"/>
      <c r="B440" s="78"/>
      <c r="C440" s="70" t="s">
        <v>10923</v>
      </c>
      <c r="D440" s="70" t="s">
        <v>10924</v>
      </c>
      <c r="E440" s="77" t="s">
        <v>10925</v>
      </c>
      <c r="F440" s="83" t="s">
        <v>10926</v>
      </c>
      <c r="G440" s="73" t="s">
        <v>2545</v>
      </c>
      <c r="H440" s="74" t="s">
        <v>10927</v>
      </c>
      <c r="I440" s="80" t="s">
        <v>120</v>
      </c>
      <c r="J440" s="76" t="s">
        <v>10928</v>
      </c>
      <c r="K440" s="71" t="s">
        <v>10929</v>
      </c>
    </row>
    <row r="441" spans="1:11" x14ac:dyDescent="0.35">
      <c r="A441" s="78"/>
      <c r="B441" s="78"/>
      <c r="C441" s="78"/>
      <c r="D441" s="78"/>
      <c r="E441" s="77" t="s">
        <v>10930</v>
      </c>
      <c r="F441" s="78"/>
      <c r="G441" s="9"/>
      <c r="H441" s="79"/>
      <c r="I441" s="10"/>
      <c r="J441" s="79"/>
      <c r="K441" s="71" t="s">
        <v>10931</v>
      </c>
    </row>
    <row r="442" spans="1:11" x14ac:dyDescent="0.35">
      <c r="A442" s="78"/>
      <c r="B442" s="78"/>
      <c r="C442" s="78"/>
      <c r="D442" s="70" t="s">
        <v>10932</v>
      </c>
      <c r="E442" s="77" t="s">
        <v>10933</v>
      </c>
      <c r="F442" s="83" t="s">
        <v>10934</v>
      </c>
      <c r="G442" s="73" t="s">
        <v>244</v>
      </c>
      <c r="H442" s="74" t="s">
        <v>10935</v>
      </c>
      <c r="I442" s="80" t="s">
        <v>120</v>
      </c>
      <c r="J442" s="76" t="s">
        <v>10936</v>
      </c>
      <c r="K442" s="71" t="s">
        <v>10937</v>
      </c>
    </row>
    <row r="443" spans="1:11" x14ac:dyDescent="0.35">
      <c r="A443" s="78"/>
      <c r="B443" s="78"/>
      <c r="C443" s="78"/>
      <c r="D443" s="78"/>
      <c r="E443" s="77" t="s">
        <v>10938</v>
      </c>
      <c r="F443" s="78"/>
      <c r="G443" s="9"/>
      <c r="H443" s="79"/>
      <c r="I443" s="10"/>
      <c r="J443" s="79"/>
      <c r="K443" s="71" t="s">
        <v>10939</v>
      </c>
    </row>
    <row r="444" spans="1:11" x14ac:dyDescent="0.35">
      <c r="A444" s="78"/>
      <c r="B444" s="78"/>
      <c r="C444" s="78"/>
      <c r="D444" s="70" t="s">
        <v>10940</v>
      </c>
      <c r="E444" s="77" t="s">
        <v>10941</v>
      </c>
      <c r="F444" s="83" t="s">
        <v>10942</v>
      </c>
      <c r="G444" s="73" t="s">
        <v>244</v>
      </c>
      <c r="H444" s="74" t="s">
        <v>10943</v>
      </c>
      <c r="I444" s="81" t="s">
        <v>250</v>
      </c>
      <c r="J444" s="76" t="s">
        <v>10944</v>
      </c>
      <c r="K444" s="71" t="s">
        <v>10945</v>
      </c>
    </row>
    <row r="445" spans="1:11" x14ac:dyDescent="0.35">
      <c r="A445" s="78"/>
      <c r="B445" s="78"/>
      <c r="C445" s="78"/>
      <c r="D445" s="78"/>
      <c r="E445" s="77" t="s">
        <v>10946</v>
      </c>
      <c r="F445" s="78"/>
      <c r="G445" s="9"/>
      <c r="H445" s="79"/>
      <c r="I445" s="10"/>
      <c r="J445" s="79"/>
      <c r="K445" s="71" t="s">
        <v>10947</v>
      </c>
    </row>
    <row r="446" spans="1:11" x14ac:dyDescent="0.35">
      <c r="A446" s="78"/>
      <c r="B446" s="78"/>
      <c r="C446" s="78"/>
      <c r="D446" s="70" t="s">
        <v>10948</v>
      </c>
      <c r="E446" s="77" t="s">
        <v>10949</v>
      </c>
      <c r="F446" s="83" t="s">
        <v>10950</v>
      </c>
      <c r="G446" s="73" t="s">
        <v>65</v>
      </c>
      <c r="H446" s="74" t="s">
        <v>10951</v>
      </c>
      <c r="I446" s="75" t="s">
        <v>58</v>
      </c>
      <c r="J446" s="76" t="s">
        <v>10952</v>
      </c>
      <c r="K446" s="71" t="s">
        <v>10953</v>
      </c>
    </row>
    <row r="447" spans="1:11" x14ac:dyDescent="0.35">
      <c r="A447" s="78"/>
      <c r="B447" s="78"/>
      <c r="C447" s="78"/>
      <c r="D447" s="78"/>
      <c r="E447" s="77" t="s">
        <v>10954</v>
      </c>
      <c r="F447" s="78"/>
      <c r="G447" s="9"/>
      <c r="H447" s="79"/>
      <c r="I447" s="10"/>
      <c r="J447" s="79"/>
      <c r="K447" s="71" t="s">
        <v>10796</v>
      </c>
    </row>
    <row r="448" spans="1:11" x14ac:dyDescent="0.35">
      <c r="A448" s="78"/>
      <c r="B448" s="78"/>
      <c r="C448" s="78"/>
      <c r="D448" s="70" t="s">
        <v>10955</v>
      </c>
      <c r="E448" s="77" t="s">
        <v>10956</v>
      </c>
      <c r="F448" s="83" t="s">
        <v>10957</v>
      </c>
      <c r="G448" s="73" t="s">
        <v>65</v>
      </c>
      <c r="H448" s="74" t="s">
        <v>10958</v>
      </c>
      <c r="I448" s="81" t="s">
        <v>250</v>
      </c>
      <c r="J448" s="76" t="s">
        <v>10959</v>
      </c>
      <c r="K448" s="71" t="s">
        <v>10960</v>
      </c>
    </row>
    <row r="449" spans="1:11" x14ac:dyDescent="0.35">
      <c r="A449" s="78"/>
      <c r="B449" s="78"/>
      <c r="C449" s="78"/>
      <c r="D449" s="78"/>
      <c r="E449" s="77" t="s">
        <v>10703</v>
      </c>
      <c r="F449" s="78"/>
      <c r="G449" s="9"/>
      <c r="H449" s="79"/>
      <c r="I449" s="10"/>
      <c r="J449" s="79"/>
      <c r="K449" s="71" t="s">
        <v>10961</v>
      </c>
    </row>
    <row r="450" spans="1:11" x14ac:dyDescent="0.35">
      <c r="A450" s="78"/>
      <c r="B450" s="78"/>
      <c r="C450" s="70" t="s">
        <v>10962</v>
      </c>
      <c r="D450" s="70" t="s">
        <v>10963</v>
      </c>
      <c r="E450" s="77" t="s">
        <v>10964</v>
      </c>
      <c r="F450" s="83" t="s">
        <v>10965</v>
      </c>
      <c r="G450" s="73" t="s">
        <v>65</v>
      </c>
      <c r="H450" s="74" t="s">
        <v>10966</v>
      </c>
      <c r="I450" s="80" t="s">
        <v>120</v>
      </c>
      <c r="J450" s="76" t="s">
        <v>10967</v>
      </c>
      <c r="K450" s="71" t="s">
        <v>10968</v>
      </c>
    </row>
    <row r="451" spans="1:11" x14ac:dyDescent="0.35">
      <c r="A451" s="78"/>
      <c r="B451" s="78"/>
      <c r="C451" s="78"/>
      <c r="D451" s="78"/>
      <c r="E451" s="77" t="s">
        <v>10969</v>
      </c>
      <c r="F451" s="78"/>
      <c r="G451" s="9"/>
      <c r="H451" s="79"/>
      <c r="I451" s="10"/>
      <c r="J451" s="79"/>
      <c r="K451" s="71" t="s">
        <v>10970</v>
      </c>
    </row>
    <row r="452" spans="1:11" x14ac:dyDescent="0.35">
      <c r="A452" s="78"/>
      <c r="B452" s="78"/>
      <c r="C452" s="78"/>
      <c r="D452" s="70" t="s">
        <v>10971</v>
      </c>
      <c r="E452" s="77" t="s">
        <v>10972</v>
      </c>
      <c r="F452" s="83" t="s">
        <v>10973</v>
      </c>
      <c r="G452" s="73" t="s">
        <v>244</v>
      </c>
      <c r="H452" s="74" t="s">
        <v>10974</v>
      </c>
      <c r="I452" s="80" t="s">
        <v>120</v>
      </c>
      <c r="J452" s="76" t="s">
        <v>10975</v>
      </c>
      <c r="K452" s="71" t="s">
        <v>10976</v>
      </c>
    </row>
    <row r="453" spans="1:11" x14ac:dyDescent="0.35">
      <c r="A453" s="78"/>
      <c r="B453" s="78"/>
      <c r="C453" s="78"/>
      <c r="D453" s="78"/>
      <c r="E453" s="77" t="s">
        <v>10977</v>
      </c>
      <c r="F453" s="78"/>
      <c r="G453" s="9"/>
      <c r="H453" s="79"/>
      <c r="I453" s="10"/>
      <c r="J453" s="79"/>
      <c r="K453" s="71" t="s">
        <v>10978</v>
      </c>
    </row>
    <row r="454" spans="1:11" x14ac:dyDescent="0.35">
      <c r="A454" s="78"/>
      <c r="B454" s="78"/>
      <c r="C454" s="78"/>
      <c r="D454" s="70" t="s">
        <v>10979</v>
      </c>
      <c r="E454" s="77" t="s">
        <v>10980</v>
      </c>
      <c r="F454" s="83" t="s">
        <v>10981</v>
      </c>
      <c r="G454" s="73" t="s">
        <v>2545</v>
      </c>
      <c r="H454" s="74" t="s">
        <v>10982</v>
      </c>
      <c r="I454" s="81" t="s">
        <v>250</v>
      </c>
      <c r="J454" s="76" t="s">
        <v>10983</v>
      </c>
      <c r="K454" s="71" t="s">
        <v>10984</v>
      </c>
    </row>
    <row r="455" spans="1:11" x14ac:dyDescent="0.35">
      <c r="A455" s="78"/>
      <c r="B455" s="78"/>
      <c r="C455" s="78"/>
      <c r="D455" s="78"/>
      <c r="E455" s="77" t="s">
        <v>10985</v>
      </c>
      <c r="F455" s="78"/>
      <c r="G455" s="9"/>
      <c r="H455" s="79"/>
      <c r="I455" s="10"/>
      <c r="J455" s="79"/>
      <c r="K455" s="71" t="s">
        <v>10986</v>
      </c>
    </row>
    <row r="456" spans="1:11" x14ac:dyDescent="0.35">
      <c r="A456" s="78"/>
      <c r="B456" s="78"/>
      <c r="C456" s="78"/>
      <c r="D456" s="70" t="s">
        <v>10987</v>
      </c>
      <c r="E456" s="77" t="s">
        <v>10988</v>
      </c>
      <c r="F456" s="83" t="s">
        <v>10989</v>
      </c>
      <c r="G456" s="73" t="s">
        <v>244</v>
      </c>
      <c r="H456" s="74" t="s">
        <v>9918</v>
      </c>
      <c r="I456" s="75" t="s">
        <v>58</v>
      </c>
      <c r="J456" s="76" t="s">
        <v>10990</v>
      </c>
      <c r="K456" s="71" t="s">
        <v>10991</v>
      </c>
    </row>
    <row r="457" spans="1:11" x14ac:dyDescent="0.35">
      <c r="A457" s="78"/>
      <c r="B457" s="78"/>
      <c r="C457" s="78"/>
      <c r="D457" s="78"/>
      <c r="E457" s="77" t="s">
        <v>10992</v>
      </c>
      <c r="F457" s="78"/>
      <c r="G457" s="9"/>
      <c r="H457" s="79"/>
      <c r="I457" s="10"/>
      <c r="J457" s="79"/>
      <c r="K457" s="71" t="s">
        <v>10993</v>
      </c>
    </row>
    <row r="458" spans="1:11" x14ac:dyDescent="0.35">
      <c r="A458" s="78"/>
      <c r="B458" s="78"/>
      <c r="C458" s="78"/>
      <c r="D458" s="70" t="s">
        <v>10994</v>
      </c>
      <c r="E458" s="77" t="s">
        <v>10995</v>
      </c>
      <c r="F458" s="83" t="s">
        <v>10996</v>
      </c>
      <c r="G458" s="73" t="s">
        <v>244</v>
      </c>
      <c r="H458" s="74" t="s">
        <v>10918</v>
      </c>
      <c r="I458" s="81" t="s">
        <v>250</v>
      </c>
      <c r="J458" s="76" t="s">
        <v>10997</v>
      </c>
      <c r="K458" s="71" t="s">
        <v>10998</v>
      </c>
    </row>
    <row r="459" spans="1:11" x14ac:dyDescent="0.35">
      <c r="A459" s="78"/>
      <c r="B459" s="78"/>
      <c r="C459" s="78"/>
      <c r="D459" s="78"/>
      <c r="E459" s="77" t="s">
        <v>10921</v>
      </c>
      <c r="F459" s="78"/>
      <c r="G459" s="9"/>
      <c r="H459" s="79"/>
      <c r="I459" s="10"/>
      <c r="J459" s="79"/>
      <c r="K459" s="71" t="s">
        <v>10999</v>
      </c>
    </row>
    <row r="460" spans="1:11" x14ac:dyDescent="0.35">
      <c r="A460" s="78"/>
      <c r="B460" s="78"/>
      <c r="C460" s="70" t="s">
        <v>21</v>
      </c>
      <c r="D460" s="70" t="s">
        <v>11000</v>
      </c>
      <c r="E460" s="77" t="s">
        <v>11001</v>
      </c>
      <c r="F460" s="83" t="s">
        <v>11002</v>
      </c>
      <c r="G460" s="73" t="s">
        <v>65</v>
      </c>
      <c r="H460" s="74" t="s">
        <v>11003</v>
      </c>
      <c r="I460" s="80" t="s">
        <v>120</v>
      </c>
      <c r="J460" s="76" t="s">
        <v>11004</v>
      </c>
      <c r="K460" s="71" t="s">
        <v>11005</v>
      </c>
    </row>
    <row r="461" spans="1:11" x14ac:dyDescent="0.35">
      <c r="A461" s="78"/>
      <c r="B461" s="78"/>
      <c r="C461" s="78"/>
      <c r="D461" s="78"/>
      <c r="E461" s="77" t="s">
        <v>11006</v>
      </c>
      <c r="F461" s="78"/>
      <c r="G461" s="9"/>
      <c r="H461" s="79"/>
      <c r="I461" s="10"/>
      <c r="J461" s="79"/>
      <c r="K461" s="71" t="s">
        <v>11007</v>
      </c>
    </row>
    <row r="462" spans="1:11" x14ac:dyDescent="0.35">
      <c r="A462" s="78"/>
      <c r="B462" s="78"/>
      <c r="C462" s="78"/>
      <c r="D462" s="70" t="s">
        <v>11008</v>
      </c>
      <c r="E462" s="77" t="s">
        <v>11009</v>
      </c>
      <c r="F462" s="83" t="s">
        <v>11010</v>
      </c>
      <c r="G462" s="73" t="s">
        <v>65</v>
      </c>
      <c r="H462" s="74" t="s">
        <v>11011</v>
      </c>
      <c r="I462" s="80" t="s">
        <v>120</v>
      </c>
      <c r="J462" s="76" t="s">
        <v>11012</v>
      </c>
      <c r="K462" s="71" t="s">
        <v>11013</v>
      </c>
    </row>
    <row r="463" spans="1:11" x14ac:dyDescent="0.35">
      <c r="A463" s="78"/>
      <c r="B463" s="78"/>
      <c r="C463" s="78"/>
      <c r="D463" s="78"/>
      <c r="E463" s="77" t="s">
        <v>11014</v>
      </c>
      <c r="F463" s="78"/>
      <c r="G463" s="9"/>
      <c r="H463" s="79"/>
      <c r="I463" s="10"/>
      <c r="J463" s="79"/>
      <c r="K463" s="71" t="s">
        <v>11015</v>
      </c>
    </row>
    <row r="464" spans="1:11" x14ac:dyDescent="0.35">
      <c r="A464" s="78"/>
      <c r="B464" s="78"/>
      <c r="C464" s="78"/>
      <c r="D464" s="70" t="s">
        <v>11016</v>
      </c>
      <c r="E464" s="77" t="s">
        <v>11017</v>
      </c>
      <c r="F464" s="83" t="s">
        <v>11018</v>
      </c>
      <c r="G464" s="73" t="s">
        <v>65</v>
      </c>
      <c r="H464" s="74" t="s">
        <v>11019</v>
      </c>
      <c r="I464" s="81" t="s">
        <v>250</v>
      </c>
      <c r="J464" s="76" t="s">
        <v>11020</v>
      </c>
      <c r="K464" s="71" t="s">
        <v>11021</v>
      </c>
    </row>
    <row r="465" spans="1:11" x14ac:dyDescent="0.35">
      <c r="A465" s="78"/>
      <c r="B465" s="78"/>
      <c r="C465" s="78"/>
      <c r="D465" s="78"/>
      <c r="E465" s="77" t="s">
        <v>11022</v>
      </c>
      <c r="F465" s="78"/>
      <c r="G465" s="9"/>
      <c r="H465" s="79"/>
      <c r="I465" s="10"/>
      <c r="J465" s="79"/>
      <c r="K465" s="71" t="s">
        <v>11023</v>
      </c>
    </row>
    <row r="466" spans="1:11" x14ac:dyDescent="0.35">
      <c r="A466" s="78"/>
      <c r="B466" s="78"/>
      <c r="C466" s="78"/>
      <c r="D466" s="70" t="s">
        <v>11024</v>
      </c>
      <c r="E466" s="77" t="s">
        <v>11025</v>
      </c>
      <c r="F466" s="83" t="s">
        <v>11026</v>
      </c>
      <c r="G466" s="73" t="s">
        <v>244</v>
      </c>
      <c r="H466" s="74" t="s">
        <v>10813</v>
      </c>
      <c r="I466" s="75" t="s">
        <v>58</v>
      </c>
      <c r="J466" s="76" t="s">
        <v>11027</v>
      </c>
      <c r="K466" s="71" t="s">
        <v>11028</v>
      </c>
    </row>
    <row r="467" spans="1:11" x14ac:dyDescent="0.35">
      <c r="A467" s="78"/>
      <c r="B467" s="78"/>
      <c r="C467" s="78"/>
      <c r="D467" s="78"/>
      <c r="E467" s="77" t="s">
        <v>11029</v>
      </c>
      <c r="F467" s="78"/>
      <c r="G467" s="9"/>
      <c r="H467" s="79"/>
      <c r="I467" s="10"/>
      <c r="J467" s="79"/>
      <c r="K467" s="71" t="s">
        <v>11030</v>
      </c>
    </row>
    <row r="468" spans="1:11" x14ac:dyDescent="0.35">
      <c r="A468" s="78"/>
      <c r="B468" s="78"/>
      <c r="C468" s="78"/>
      <c r="D468" s="70" t="s">
        <v>11031</v>
      </c>
      <c r="E468" s="77" t="s">
        <v>11032</v>
      </c>
      <c r="F468" s="83" t="s">
        <v>11033</v>
      </c>
      <c r="G468" s="73" t="s">
        <v>2545</v>
      </c>
      <c r="H468" s="74" t="s">
        <v>11034</v>
      </c>
      <c r="I468" s="81" t="s">
        <v>250</v>
      </c>
      <c r="J468" s="76" t="s">
        <v>11035</v>
      </c>
      <c r="K468" s="71" t="s">
        <v>11036</v>
      </c>
    </row>
    <row r="469" spans="1:11" x14ac:dyDescent="0.35">
      <c r="A469" s="78"/>
      <c r="B469" s="78"/>
      <c r="C469" s="78"/>
      <c r="D469" s="78"/>
      <c r="E469" s="77" t="s">
        <v>11037</v>
      </c>
      <c r="F469" s="78"/>
      <c r="G469" s="9"/>
      <c r="H469" s="79"/>
      <c r="I469" s="10"/>
      <c r="J469" s="79"/>
      <c r="K469" s="71" t="s">
        <v>11038</v>
      </c>
    </row>
    <row r="470" spans="1:11" x14ac:dyDescent="0.35">
      <c r="A470" s="78"/>
      <c r="B470" s="78"/>
      <c r="C470" s="70" t="s">
        <v>11039</v>
      </c>
      <c r="D470" s="70" t="s">
        <v>11040</v>
      </c>
      <c r="E470" s="77" t="s">
        <v>11041</v>
      </c>
      <c r="F470" s="83" t="s">
        <v>11042</v>
      </c>
      <c r="G470" s="73" t="s">
        <v>244</v>
      </c>
      <c r="H470" s="74" t="s">
        <v>11043</v>
      </c>
      <c r="I470" s="80" t="s">
        <v>120</v>
      </c>
      <c r="J470" s="76" t="s">
        <v>11044</v>
      </c>
      <c r="K470" s="71" t="s">
        <v>11045</v>
      </c>
    </row>
    <row r="471" spans="1:11" x14ac:dyDescent="0.35">
      <c r="A471" s="78"/>
      <c r="B471" s="78"/>
      <c r="C471" s="78"/>
      <c r="D471" s="78"/>
      <c r="E471" s="77" t="s">
        <v>11046</v>
      </c>
      <c r="F471" s="78"/>
      <c r="G471" s="9"/>
      <c r="H471" s="79"/>
      <c r="I471" s="10"/>
      <c r="J471" s="79"/>
      <c r="K471" s="71" t="s">
        <v>11047</v>
      </c>
    </row>
    <row r="472" spans="1:11" x14ac:dyDescent="0.35">
      <c r="A472" s="78"/>
      <c r="B472" s="78"/>
      <c r="C472" s="78"/>
      <c r="D472" s="70" t="s">
        <v>11048</v>
      </c>
      <c r="E472" s="77" t="s">
        <v>11049</v>
      </c>
      <c r="F472" s="83" t="s">
        <v>11050</v>
      </c>
      <c r="G472" s="73" t="s">
        <v>244</v>
      </c>
      <c r="H472" s="74" t="s">
        <v>11051</v>
      </c>
      <c r="I472" s="80" t="s">
        <v>120</v>
      </c>
      <c r="J472" s="76" t="s">
        <v>11052</v>
      </c>
      <c r="K472" s="71" t="s">
        <v>11053</v>
      </c>
    </row>
    <row r="473" spans="1:11" x14ac:dyDescent="0.35">
      <c r="A473" s="78"/>
      <c r="B473" s="78"/>
      <c r="C473" s="78"/>
      <c r="D473" s="78"/>
      <c r="E473" s="77" t="s">
        <v>11054</v>
      </c>
      <c r="F473" s="78"/>
      <c r="G473" s="9"/>
      <c r="H473" s="79"/>
      <c r="I473" s="10"/>
      <c r="J473" s="79"/>
      <c r="K473" s="71" t="s">
        <v>11055</v>
      </c>
    </row>
    <row r="474" spans="1:11" x14ac:dyDescent="0.35">
      <c r="A474" s="78"/>
      <c r="B474" s="78"/>
      <c r="C474" s="78"/>
      <c r="D474" s="70" t="s">
        <v>11056</v>
      </c>
      <c r="E474" s="77" t="s">
        <v>11057</v>
      </c>
      <c r="F474" s="83" t="s">
        <v>11058</v>
      </c>
      <c r="G474" s="73" t="s">
        <v>65</v>
      </c>
      <c r="H474" s="74" t="s">
        <v>11059</v>
      </c>
      <c r="I474" s="81" t="s">
        <v>250</v>
      </c>
      <c r="J474" s="76" t="s">
        <v>11060</v>
      </c>
      <c r="K474" s="71" t="s">
        <v>11061</v>
      </c>
    </row>
    <row r="475" spans="1:11" x14ac:dyDescent="0.35">
      <c r="A475" s="78"/>
      <c r="B475" s="78"/>
      <c r="C475" s="78"/>
      <c r="D475" s="78"/>
      <c r="E475" s="77" t="s">
        <v>11062</v>
      </c>
      <c r="F475" s="78"/>
      <c r="G475" s="9"/>
      <c r="H475" s="79"/>
      <c r="I475" s="10"/>
      <c r="J475" s="79"/>
      <c r="K475" s="71" t="s">
        <v>11063</v>
      </c>
    </row>
    <row r="476" spans="1:11" x14ac:dyDescent="0.35">
      <c r="A476" s="78"/>
      <c r="B476" s="78"/>
      <c r="C476" s="78"/>
      <c r="D476" s="70" t="s">
        <v>11064</v>
      </c>
      <c r="E476" s="77" t="s">
        <v>11065</v>
      </c>
      <c r="F476" s="83" t="s">
        <v>11066</v>
      </c>
      <c r="G476" s="73" t="s">
        <v>65</v>
      </c>
      <c r="H476" s="74" t="s">
        <v>11067</v>
      </c>
      <c r="I476" s="75" t="s">
        <v>58</v>
      </c>
      <c r="J476" s="76" t="s">
        <v>11068</v>
      </c>
      <c r="K476" s="71" t="s">
        <v>11061</v>
      </c>
    </row>
    <row r="477" spans="1:11" x14ac:dyDescent="0.35">
      <c r="A477" s="78"/>
      <c r="B477" s="78"/>
      <c r="C477" s="78"/>
      <c r="D477" s="78"/>
      <c r="E477" s="77" t="s">
        <v>11069</v>
      </c>
      <c r="F477" s="78"/>
      <c r="G477" s="9"/>
      <c r="H477" s="79"/>
      <c r="I477" s="10"/>
      <c r="J477" s="79"/>
      <c r="K477" s="71" t="s">
        <v>11063</v>
      </c>
    </row>
    <row r="478" spans="1:11" x14ac:dyDescent="0.35">
      <c r="A478" s="78"/>
      <c r="B478" s="78"/>
      <c r="C478" s="78"/>
      <c r="D478" s="70" t="s">
        <v>11070</v>
      </c>
      <c r="E478" s="77" t="s">
        <v>11071</v>
      </c>
      <c r="F478" s="83" t="s">
        <v>11072</v>
      </c>
      <c r="G478" s="73" t="s">
        <v>65</v>
      </c>
      <c r="H478" s="74" t="s">
        <v>11073</v>
      </c>
      <c r="I478" s="81" t="s">
        <v>250</v>
      </c>
      <c r="J478" s="76" t="s">
        <v>11074</v>
      </c>
      <c r="K478" s="71" t="s">
        <v>11075</v>
      </c>
    </row>
    <row r="479" spans="1:11" x14ac:dyDescent="0.35">
      <c r="A479" s="78"/>
      <c r="B479" s="78"/>
      <c r="C479" s="78"/>
      <c r="D479" s="78"/>
      <c r="E479" s="77" t="s">
        <v>11076</v>
      </c>
      <c r="F479" s="78"/>
      <c r="G479" s="9"/>
      <c r="H479" s="79"/>
      <c r="I479" s="10"/>
      <c r="J479" s="79"/>
      <c r="K479" s="71" t="s">
        <v>11077</v>
      </c>
    </row>
    <row r="480" spans="1:11" x14ac:dyDescent="0.35">
      <c r="A480" s="78"/>
      <c r="B480" s="78"/>
      <c r="C480" s="70" t="s">
        <v>11078</v>
      </c>
      <c r="D480" s="70" t="s">
        <v>11079</v>
      </c>
      <c r="E480" s="77" t="s">
        <v>11080</v>
      </c>
      <c r="F480" s="83" t="s">
        <v>11081</v>
      </c>
      <c r="G480" s="73" t="s">
        <v>244</v>
      </c>
      <c r="H480" s="74" t="s">
        <v>11082</v>
      </c>
      <c r="I480" s="80" t="s">
        <v>120</v>
      </c>
      <c r="J480" s="76" t="s">
        <v>11083</v>
      </c>
      <c r="K480" s="71" t="s">
        <v>11084</v>
      </c>
    </row>
    <row r="481" spans="1:11" x14ac:dyDescent="0.35">
      <c r="A481" s="78"/>
      <c r="B481" s="78"/>
      <c r="C481" s="78"/>
      <c r="D481" s="78"/>
      <c r="E481" s="77" t="s">
        <v>11085</v>
      </c>
      <c r="F481" s="78"/>
      <c r="G481" s="9"/>
      <c r="H481" s="79"/>
      <c r="I481" s="10"/>
      <c r="J481" s="79"/>
      <c r="K481" s="71" t="s">
        <v>11086</v>
      </c>
    </row>
    <row r="482" spans="1:11" x14ac:dyDescent="0.35">
      <c r="A482" s="78"/>
      <c r="B482" s="78"/>
      <c r="C482" s="78"/>
      <c r="D482" s="70" t="s">
        <v>11087</v>
      </c>
      <c r="E482" s="77" t="s">
        <v>11088</v>
      </c>
      <c r="F482" s="83" t="s">
        <v>11089</v>
      </c>
      <c r="G482" s="73" t="s">
        <v>2545</v>
      </c>
      <c r="H482" s="74" t="s">
        <v>11090</v>
      </c>
      <c r="I482" s="80" t="s">
        <v>120</v>
      </c>
      <c r="J482" s="76" t="s">
        <v>11091</v>
      </c>
      <c r="K482" s="71" t="s">
        <v>11092</v>
      </c>
    </row>
    <row r="483" spans="1:11" x14ac:dyDescent="0.35">
      <c r="A483" s="78"/>
      <c r="B483" s="78"/>
      <c r="C483" s="78"/>
      <c r="D483" s="78"/>
      <c r="E483" s="77" t="s">
        <v>11093</v>
      </c>
      <c r="F483" s="78"/>
      <c r="G483" s="9"/>
      <c r="H483" s="79"/>
      <c r="I483" s="10"/>
      <c r="J483" s="79"/>
      <c r="K483" s="71" t="s">
        <v>11094</v>
      </c>
    </row>
    <row r="484" spans="1:11" x14ac:dyDescent="0.35">
      <c r="A484" s="78"/>
      <c r="B484" s="78"/>
      <c r="C484" s="78"/>
      <c r="D484" s="70" t="s">
        <v>11095</v>
      </c>
      <c r="E484" s="77" t="s">
        <v>11096</v>
      </c>
      <c r="F484" s="83" t="s">
        <v>11097</v>
      </c>
      <c r="G484" s="73" t="s">
        <v>244</v>
      </c>
      <c r="H484" s="74" t="s">
        <v>11098</v>
      </c>
      <c r="I484" s="81" t="s">
        <v>250</v>
      </c>
      <c r="J484" s="76" t="s">
        <v>11099</v>
      </c>
      <c r="K484" s="71" t="s">
        <v>11100</v>
      </c>
    </row>
    <row r="485" spans="1:11" x14ac:dyDescent="0.35">
      <c r="A485" s="78"/>
      <c r="B485" s="78"/>
      <c r="C485" s="78"/>
      <c r="D485" s="78"/>
      <c r="E485" s="77" t="s">
        <v>11101</v>
      </c>
      <c r="F485" s="78"/>
      <c r="G485" s="9"/>
      <c r="H485" s="79"/>
      <c r="I485" s="10"/>
      <c r="J485" s="79"/>
      <c r="K485" s="71" t="s">
        <v>11102</v>
      </c>
    </row>
    <row r="486" spans="1:11" x14ac:dyDescent="0.35">
      <c r="A486" s="78"/>
      <c r="B486" s="78"/>
      <c r="C486" s="78"/>
      <c r="D486" s="70" t="s">
        <v>11103</v>
      </c>
      <c r="E486" s="77" t="s">
        <v>11104</v>
      </c>
      <c r="F486" s="83" t="s">
        <v>11105</v>
      </c>
      <c r="G486" s="73" t="s">
        <v>244</v>
      </c>
      <c r="H486" s="74" t="s">
        <v>11106</v>
      </c>
      <c r="I486" s="75" t="s">
        <v>58</v>
      </c>
      <c r="J486" s="76" t="s">
        <v>11107</v>
      </c>
      <c r="K486" s="71" t="s">
        <v>11108</v>
      </c>
    </row>
    <row r="487" spans="1:11" x14ac:dyDescent="0.35">
      <c r="A487" s="78"/>
      <c r="B487" s="78"/>
      <c r="C487" s="78"/>
      <c r="D487" s="78"/>
      <c r="E487" s="77" t="s">
        <v>9882</v>
      </c>
      <c r="F487" s="78"/>
      <c r="G487" s="9"/>
      <c r="H487" s="79"/>
      <c r="I487" s="10"/>
      <c r="J487" s="79"/>
      <c r="K487" s="71" t="s">
        <v>11109</v>
      </c>
    </row>
    <row r="488" spans="1:11" x14ac:dyDescent="0.35">
      <c r="A488" s="78"/>
      <c r="B488" s="78"/>
      <c r="C488" s="78"/>
      <c r="D488" s="70" t="s">
        <v>11110</v>
      </c>
      <c r="E488" s="77" t="s">
        <v>9976</v>
      </c>
      <c r="F488" s="83" t="s">
        <v>11111</v>
      </c>
      <c r="G488" s="73" t="s">
        <v>65</v>
      </c>
      <c r="H488" s="74" t="s">
        <v>11112</v>
      </c>
      <c r="I488" s="81" t="s">
        <v>250</v>
      </c>
      <c r="J488" s="76" t="s">
        <v>11113</v>
      </c>
      <c r="K488" s="71" t="s">
        <v>11114</v>
      </c>
    </row>
    <row r="489" spans="1:11" x14ac:dyDescent="0.35">
      <c r="A489" s="78"/>
      <c r="B489" s="78"/>
      <c r="C489" s="78"/>
      <c r="D489" s="78"/>
      <c r="E489" s="77" t="s">
        <v>11115</v>
      </c>
      <c r="F489" s="78"/>
      <c r="G489" s="9"/>
      <c r="H489" s="79"/>
      <c r="I489" s="10"/>
      <c r="J489" s="79"/>
      <c r="K489" s="71" t="s">
        <v>11116</v>
      </c>
    </row>
    <row r="490" spans="1:11" x14ac:dyDescent="0.35">
      <c r="A490" s="78"/>
      <c r="B490" s="78"/>
      <c r="C490" s="70" t="s">
        <v>11117</v>
      </c>
      <c r="D490" s="70" t="s">
        <v>11118</v>
      </c>
      <c r="E490" s="77" t="s">
        <v>11119</v>
      </c>
      <c r="F490" s="83" t="s">
        <v>11120</v>
      </c>
      <c r="G490" s="73" t="s">
        <v>65</v>
      </c>
      <c r="H490" s="74" t="s">
        <v>11121</v>
      </c>
      <c r="I490" s="80" t="s">
        <v>120</v>
      </c>
      <c r="J490" s="76" t="s">
        <v>11122</v>
      </c>
      <c r="K490" s="71" t="s">
        <v>11123</v>
      </c>
    </row>
    <row r="491" spans="1:11" x14ac:dyDescent="0.35">
      <c r="A491" s="78"/>
      <c r="B491" s="78"/>
      <c r="C491" s="78"/>
      <c r="D491" s="78"/>
      <c r="E491" s="77" t="s">
        <v>11124</v>
      </c>
      <c r="F491" s="78"/>
      <c r="G491" s="9"/>
      <c r="H491" s="79"/>
      <c r="I491" s="10"/>
      <c r="J491" s="79"/>
      <c r="K491" s="71" t="s">
        <v>11125</v>
      </c>
    </row>
    <row r="492" spans="1:11" x14ac:dyDescent="0.35">
      <c r="A492" s="78"/>
      <c r="B492" s="78"/>
      <c r="C492" s="78"/>
      <c r="D492" s="70" t="s">
        <v>11126</v>
      </c>
      <c r="E492" s="77" t="s">
        <v>11127</v>
      </c>
      <c r="F492" s="83" t="s">
        <v>11128</v>
      </c>
      <c r="G492" s="73" t="s">
        <v>65</v>
      </c>
      <c r="H492" s="74" t="s">
        <v>11129</v>
      </c>
      <c r="I492" s="80" t="s">
        <v>120</v>
      </c>
      <c r="J492" s="76" t="s">
        <v>11130</v>
      </c>
      <c r="K492" s="71" t="s">
        <v>11131</v>
      </c>
    </row>
    <row r="493" spans="1:11" x14ac:dyDescent="0.35">
      <c r="A493" s="78"/>
      <c r="B493" s="78"/>
      <c r="C493" s="78"/>
      <c r="D493" s="78"/>
      <c r="E493" s="77" t="s">
        <v>11132</v>
      </c>
      <c r="F493" s="78"/>
      <c r="G493" s="9"/>
      <c r="H493" s="79"/>
      <c r="I493" s="10"/>
      <c r="J493" s="79"/>
      <c r="K493" s="71" t="s">
        <v>11133</v>
      </c>
    </row>
    <row r="494" spans="1:11" x14ac:dyDescent="0.35">
      <c r="A494" s="78"/>
      <c r="B494" s="78"/>
      <c r="C494" s="78"/>
      <c r="D494" s="70" t="s">
        <v>11134</v>
      </c>
      <c r="E494" s="77" t="s">
        <v>11135</v>
      </c>
      <c r="F494" s="83" t="s">
        <v>11136</v>
      </c>
      <c r="G494" s="73" t="s">
        <v>244</v>
      </c>
      <c r="H494" s="74" t="s">
        <v>11137</v>
      </c>
      <c r="I494" s="81" t="s">
        <v>250</v>
      </c>
      <c r="J494" s="76" t="s">
        <v>11138</v>
      </c>
      <c r="K494" s="71" t="s">
        <v>11139</v>
      </c>
    </row>
    <row r="495" spans="1:11" x14ac:dyDescent="0.35">
      <c r="A495" s="78"/>
      <c r="B495" s="78"/>
      <c r="C495" s="78"/>
      <c r="D495" s="78"/>
      <c r="E495" s="77" t="s">
        <v>11140</v>
      </c>
      <c r="F495" s="78"/>
      <c r="G495" s="9"/>
      <c r="H495" s="79"/>
      <c r="I495" s="10"/>
      <c r="J495" s="79"/>
      <c r="K495" s="71" t="s">
        <v>11141</v>
      </c>
    </row>
    <row r="496" spans="1:11" x14ac:dyDescent="0.35">
      <c r="A496" s="78"/>
      <c r="B496" s="78"/>
      <c r="C496" s="78"/>
      <c r="D496" s="70" t="s">
        <v>11142</v>
      </c>
      <c r="E496" s="77" t="s">
        <v>11143</v>
      </c>
      <c r="F496" s="83" t="s">
        <v>11144</v>
      </c>
      <c r="G496" s="73" t="s">
        <v>2545</v>
      </c>
      <c r="H496" s="74" t="s">
        <v>11145</v>
      </c>
      <c r="I496" s="75" t="s">
        <v>58</v>
      </c>
      <c r="J496" s="76" t="s">
        <v>11146</v>
      </c>
      <c r="K496" s="71" t="s">
        <v>11147</v>
      </c>
    </row>
    <row r="497" spans="1:11" x14ac:dyDescent="0.35">
      <c r="A497" s="78"/>
      <c r="B497" s="78"/>
      <c r="C497" s="78"/>
      <c r="D497" s="78"/>
      <c r="E497" s="77" t="s">
        <v>11148</v>
      </c>
      <c r="F497" s="78"/>
      <c r="G497" s="9"/>
      <c r="H497" s="79"/>
      <c r="I497" s="10"/>
      <c r="J497" s="79"/>
      <c r="K497" s="71" t="s">
        <v>11149</v>
      </c>
    </row>
    <row r="498" spans="1:11" x14ac:dyDescent="0.35">
      <c r="A498" s="78"/>
      <c r="B498" s="78"/>
      <c r="C498" s="78"/>
      <c r="D498" s="70" t="s">
        <v>11150</v>
      </c>
      <c r="E498" s="77" t="s">
        <v>11151</v>
      </c>
      <c r="F498" s="83" t="s">
        <v>11152</v>
      </c>
      <c r="G498" s="73" t="s">
        <v>244</v>
      </c>
      <c r="H498" s="74" t="s">
        <v>10813</v>
      </c>
      <c r="I498" s="81" t="s">
        <v>250</v>
      </c>
      <c r="J498" s="76" t="s">
        <v>11153</v>
      </c>
      <c r="K498" s="71" t="s">
        <v>11154</v>
      </c>
    </row>
    <row r="499" spans="1:11" x14ac:dyDescent="0.35">
      <c r="A499" s="78"/>
      <c r="B499" s="78"/>
      <c r="C499" s="78"/>
      <c r="D499" s="78"/>
      <c r="E499" s="77" t="s">
        <v>11155</v>
      </c>
      <c r="F499" s="78"/>
      <c r="G499" s="9"/>
      <c r="H499" s="79"/>
      <c r="I499" s="10"/>
      <c r="J499" s="79"/>
      <c r="K499" s="71" t="s">
        <v>11156</v>
      </c>
    </row>
    <row r="500" spans="1:11" x14ac:dyDescent="0.35">
      <c r="A500" s="78"/>
      <c r="B500" s="78"/>
      <c r="C500" s="70" t="s">
        <v>11157</v>
      </c>
      <c r="D500" s="70" t="s">
        <v>11158</v>
      </c>
      <c r="E500" s="77" t="s">
        <v>11159</v>
      </c>
      <c r="F500" s="83" t="s">
        <v>11160</v>
      </c>
      <c r="G500" s="73" t="s">
        <v>244</v>
      </c>
      <c r="H500" s="74" t="s">
        <v>11161</v>
      </c>
      <c r="I500" s="80" t="s">
        <v>120</v>
      </c>
      <c r="J500" s="76" t="s">
        <v>11162</v>
      </c>
      <c r="K500" s="71" t="s">
        <v>11163</v>
      </c>
    </row>
    <row r="501" spans="1:11" x14ac:dyDescent="0.35">
      <c r="A501" s="78"/>
      <c r="B501" s="78"/>
      <c r="C501" s="78"/>
      <c r="D501" s="78"/>
      <c r="E501" s="77" t="s">
        <v>11164</v>
      </c>
      <c r="F501" s="78"/>
      <c r="G501" s="9"/>
      <c r="H501" s="79"/>
      <c r="I501" s="10"/>
      <c r="J501" s="79"/>
      <c r="K501" s="71" t="s">
        <v>11165</v>
      </c>
    </row>
    <row r="502" spans="1:11" x14ac:dyDescent="0.35">
      <c r="A502" s="78"/>
      <c r="B502" s="78"/>
      <c r="C502" s="78"/>
      <c r="D502" s="70" t="s">
        <v>11166</v>
      </c>
      <c r="E502" s="77" t="s">
        <v>11167</v>
      </c>
      <c r="F502" s="83" t="s">
        <v>11168</v>
      </c>
      <c r="G502" s="73" t="s">
        <v>65</v>
      </c>
      <c r="H502" s="74" t="s">
        <v>11169</v>
      </c>
      <c r="I502" s="80" t="s">
        <v>120</v>
      </c>
      <c r="J502" s="76" t="s">
        <v>11170</v>
      </c>
      <c r="K502" s="71" t="s">
        <v>11171</v>
      </c>
    </row>
    <row r="503" spans="1:11" x14ac:dyDescent="0.35">
      <c r="A503" s="78"/>
      <c r="B503" s="78"/>
      <c r="C503" s="78"/>
      <c r="D503" s="78"/>
      <c r="E503" s="77" t="s">
        <v>11172</v>
      </c>
      <c r="F503" s="78"/>
      <c r="G503" s="9"/>
      <c r="H503" s="79"/>
      <c r="I503" s="10"/>
      <c r="J503" s="79"/>
      <c r="K503" s="71" t="s">
        <v>11173</v>
      </c>
    </row>
    <row r="504" spans="1:11" x14ac:dyDescent="0.35">
      <c r="A504" s="78"/>
      <c r="B504" s="78"/>
      <c r="C504" s="78"/>
      <c r="D504" s="70" t="s">
        <v>11174</v>
      </c>
      <c r="E504" s="77" t="s">
        <v>11175</v>
      </c>
      <c r="F504" s="83" t="s">
        <v>11176</v>
      </c>
      <c r="G504" s="73" t="s">
        <v>65</v>
      </c>
      <c r="H504" s="74" t="s">
        <v>11177</v>
      </c>
      <c r="I504" s="81" t="s">
        <v>250</v>
      </c>
      <c r="J504" s="76" t="s">
        <v>11178</v>
      </c>
      <c r="K504" s="71" t="s">
        <v>11179</v>
      </c>
    </row>
    <row r="505" spans="1:11" x14ac:dyDescent="0.35">
      <c r="A505" s="78"/>
      <c r="B505" s="78"/>
      <c r="C505" s="78"/>
      <c r="D505" s="78"/>
      <c r="E505" s="77" t="s">
        <v>11180</v>
      </c>
      <c r="F505" s="78"/>
      <c r="G505" s="9"/>
      <c r="H505" s="79"/>
      <c r="I505" s="10"/>
      <c r="J505" s="79"/>
      <c r="K505" s="71" t="s">
        <v>11181</v>
      </c>
    </row>
    <row r="506" spans="1:11" x14ac:dyDescent="0.35">
      <c r="A506" s="78"/>
      <c r="B506" s="78"/>
      <c r="C506" s="78"/>
      <c r="D506" s="70" t="s">
        <v>11182</v>
      </c>
      <c r="E506" s="77" t="s">
        <v>11183</v>
      </c>
      <c r="F506" s="83" t="s">
        <v>11184</v>
      </c>
      <c r="G506" s="73" t="s">
        <v>65</v>
      </c>
      <c r="H506" s="74" t="s">
        <v>11185</v>
      </c>
      <c r="I506" s="75" t="s">
        <v>58</v>
      </c>
      <c r="J506" s="76" t="s">
        <v>11186</v>
      </c>
      <c r="K506" s="71" t="s">
        <v>11187</v>
      </c>
    </row>
    <row r="507" spans="1:11" x14ac:dyDescent="0.35">
      <c r="A507" s="78"/>
      <c r="B507" s="78"/>
      <c r="C507" s="78"/>
      <c r="D507" s="78"/>
      <c r="E507" s="77" t="s">
        <v>11188</v>
      </c>
      <c r="F507" s="78"/>
      <c r="G507" s="9"/>
      <c r="H507" s="79"/>
      <c r="I507" s="10"/>
      <c r="J507" s="79"/>
      <c r="K507" s="71" t="s">
        <v>11189</v>
      </c>
    </row>
    <row r="508" spans="1:11" x14ac:dyDescent="0.35">
      <c r="A508" s="78"/>
      <c r="B508" s="78"/>
      <c r="C508" s="78"/>
      <c r="D508" s="70" t="s">
        <v>11190</v>
      </c>
      <c r="E508" s="77" t="s">
        <v>11191</v>
      </c>
      <c r="F508" s="83" t="s">
        <v>11192</v>
      </c>
      <c r="G508" s="73" t="s">
        <v>244</v>
      </c>
      <c r="H508" s="74" t="s">
        <v>11193</v>
      </c>
      <c r="I508" s="81" t="s">
        <v>250</v>
      </c>
      <c r="J508" s="76" t="s">
        <v>11194</v>
      </c>
      <c r="K508" s="71" t="s">
        <v>11195</v>
      </c>
    </row>
    <row r="509" spans="1:11" x14ac:dyDescent="0.35">
      <c r="A509" s="78"/>
      <c r="B509" s="78"/>
      <c r="C509" s="78"/>
      <c r="D509" s="78"/>
      <c r="E509" s="77" t="s">
        <v>11196</v>
      </c>
      <c r="F509" s="78"/>
      <c r="G509" s="9"/>
      <c r="H509" s="79"/>
      <c r="I509" s="10"/>
      <c r="J509" s="79"/>
      <c r="K509" s="71" t="s">
        <v>11197</v>
      </c>
    </row>
    <row r="510" spans="1:11" x14ac:dyDescent="0.35">
      <c r="A510" s="78"/>
      <c r="B510" s="78"/>
      <c r="C510" s="70" t="s">
        <v>11198</v>
      </c>
      <c r="D510" s="70" t="s">
        <v>11199</v>
      </c>
      <c r="E510" s="77" t="s">
        <v>11200</v>
      </c>
      <c r="F510" s="83" t="s">
        <v>11201</v>
      </c>
      <c r="G510" s="73" t="s">
        <v>2545</v>
      </c>
      <c r="H510" s="74" t="s">
        <v>11145</v>
      </c>
      <c r="I510" s="80" t="s">
        <v>120</v>
      </c>
      <c r="J510" s="76" t="s">
        <v>11202</v>
      </c>
      <c r="K510" s="71" t="s">
        <v>11203</v>
      </c>
    </row>
    <row r="511" spans="1:11" x14ac:dyDescent="0.35">
      <c r="A511" s="78"/>
      <c r="B511" s="78"/>
      <c r="C511" s="78"/>
      <c r="D511" s="78"/>
      <c r="E511" s="77" t="s">
        <v>11204</v>
      </c>
      <c r="F511" s="78"/>
      <c r="G511" s="9"/>
      <c r="H511" s="79"/>
      <c r="I511" s="10"/>
      <c r="J511" s="79"/>
      <c r="K511" s="71" t="s">
        <v>11205</v>
      </c>
    </row>
    <row r="512" spans="1:11" x14ac:dyDescent="0.35">
      <c r="A512" s="78"/>
      <c r="B512" s="78"/>
      <c r="C512" s="78"/>
      <c r="D512" s="70" t="s">
        <v>11206</v>
      </c>
      <c r="E512" s="77" t="s">
        <v>11207</v>
      </c>
      <c r="F512" s="83" t="s">
        <v>11208</v>
      </c>
      <c r="G512" s="73" t="s">
        <v>244</v>
      </c>
      <c r="H512" s="74" t="s">
        <v>11209</v>
      </c>
      <c r="I512" s="80" t="s">
        <v>120</v>
      </c>
      <c r="J512" s="76" t="s">
        <v>11210</v>
      </c>
      <c r="K512" s="71" t="s">
        <v>11211</v>
      </c>
    </row>
    <row r="513" spans="1:11" x14ac:dyDescent="0.35">
      <c r="A513" s="78"/>
      <c r="B513" s="78"/>
      <c r="C513" s="78"/>
      <c r="D513" s="78"/>
      <c r="E513" s="77" t="s">
        <v>11212</v>
      </c>
      <c r="F513" s="78"/>
      <c r="G513" s="9"/>
      <c r="H513" s="79"/>
      <c r="I513" s="10"/>
      <c r="J513" s="79"/>
      <c r="K513" s="71" t="s">
        <v>11213</v>
      </c>
    </row>
    <row r="514" spans="1:11" x14ac:dyDescent="0.35">
      <c r="A514" s="78"/>
      <c r="B514" s="78"/>
      <c r="C514" s="78"/>
      <c r="D514" s="70" t="s">
        <v>11214</v>
      </c>
      <c r="E514" s="77" t="s">
        <v>11215</v>
      </c>
      <c r="F514" s="83" t="s">
        <v>11216</v>
      </c>
      <c r="G514" s="73" t="s">
        <v>244</v>
      </c>
      <c r="H514" s="74" t="s">
        <v>11217</v>
      </c>
      <c r="I514" s="81" t="s">
        <v>250</v>
      </c>
      <c r="J514" s="76" t="s">
        <v>11218</v>
      </c>
      <c r="K514" s="71" t="s">
        <v>11219</v>
      </c>
    </row>
    <row r="515" spans="1:11" x14ac:dyDescent="0.35">
      <c r="A515" s="78"/>
      <c r="B515" s="78"/>
      <c r="C515" s="78"/>
      <c r="D515" s="78"/>
      <c r="E515" s="77" t="s">
        <v>11220</v>
      </c>
      <c r="F515" s="78"/>
      <c r="G515" s="9"/>
      <c r="H515" s="79"/>
      <c r="I515" s="10"/>
      <c r="J515" s="79"/>
      <c r="K515" s="71" t="s">
        <v>11221</v>
      </c>
    </row>
    <row r="516" spans="1:11" x14ac:dyDescent="0.35">
      <c r="A516" s="78"/>
      <c r="B516" s="78"/>
      <c r="C516" s="78"/>
      <c r="D516" s="70" t="s">
        <v>11222</v>
      </c>
      <c r="E516" s="77" t="s">
        <v>11223</v>
      </c>
      <c r="F516" s="83" t="s">
        <v>11224</v>
      </c>
      <c r="G516" s="73" t="s">
        <v>65</v>
      </c>
      <c r="H516" s="74" t="s">
        <v>11225</v>
      </c>
      <c r="I516" s="75" t="s">
        <v>58</v>
      </c>
      <c r="J516" s="76" t="s">
        <v>11226</v>
      </c>
      <c r="K516" s="71" t="s">
        <v>11227</v>
      </c>
    </row>
    <row r="517" spans="1:11" x14ac:dyDescent="0.35">
      <c r="A517" s="78"/>
      <c r="B517" s="78"/>
      <c r="C517" s="78"/>
      <c r="D517" s="78"/>
      <c r="E517" s="77" t="s">
        <v>11228</v>
      </c>
      <c r="F517" s="78"/>
      <c r="G517" s="9"/>
      <c r="H517" s="79"/>
      <c r="I517" s="10"/>
      <c r="J517" s="79"/>
      <c r="K517" s="71" t="s">
        <v>11229</v>
      </c>
    </row>
    <row r="518" spans="1:11" x14ac:dyDescent="0.35">
      <c r="A518" s="78"/>
      <c r="B518" s="78"/>
      <c r="C518" s="78"/>
      <c r="D518" s="70" t="s">
        <v>11230</v>
      </c>
      <c r="E518" s="77" t="s">
        <v>11230</v>
      </c>
      <c r="F518" s="83" t="s">
        <v>11231</v>
      </c>
      <c r="G518" s="73" t="s">
        <v>65</v>
      </c>
      <c r="H518" s="74" t="s">
        <v>11232</v>
      </c>
      <c r="I518" s="81" t="s">
        <v>250</v>
      </c>
      <c r="J518" s="76" t="s">
        <v>11233</v>
      </c>
      <c r="K518" s="71" t="s">
        <v>11234</v>
      </c>
    </row>
    <row r="519" spans="1:11" x14ac:dyDescent="0.35">
      <c r="A519" s="78"/>
      <c r="B519" s="78"/>
      <c r="C519" s="78"/>
      <c r="D519" s="78"/>
      <c r="E519" s="77" t="s">
        <v>11235</v>
      </c>
      <c r="F519" s="78"/>
      <c r="G519" s="9"/>
      <c r="H519" s="79"/>
      <c r="I519" s="10"/>
      <c r="J519" s="79"/>
      <c r="K519" s="71" t="s">
        <v>11236</v>
      </c>
    </row>
    <row r="520" spans="1:11" x14ac:dyDescent="0.35">
      <c r="A520" s="78"/>
      <c r="B520" s="78"/>
      <c r="C520" s="70" t="s">
        <v>22</v>
      </c>
      <c r="D520" s="70" t="s">
        <v>11237</v>
      </c>
      <c r="E520" s="77" t="s">
        <v>11237</v>
      </c>
      <c r="F520" s="83" t="s">
        <v>11238</v>
      </c>
      <c r="G520" s="73" t="s">
        <v>65</v>
      </c>
      <c r="H520" s="74" t="s">
        <v>11239</v>
      </c>
      <c r="I520" s="80" t="s">
        <v>120</v>
      </c>
      <c r="J520" s="76" t="s">
        <v>11240</v>
      </c>
      <c r="K520" s="71" t="s">
        <v>11241</v>
      </c>
    </row>
    <row r="521" spans="1:11" x14ac:dyDescent="0.35">
      <c r="A521" s="78"/>
      <c r="B521" s="78"/>
      <c r="C521" s="78"/>
      <c r="D521" s="78"/>
      <c r="E521" s="77" t="s">
        <v>11242</v>
      </c>
      <c r="F521" s="78"/>
      <c r="G521" s="9"/>
      <c r="H521" s="79"/>
      <c r="I521" s="10"/>
      <c r="J521" s="79"/>
      <c r="K521" s="71" t="s">
        <v>11243</v>
      </c>
    </row>
    <row r="522" spans="1:11" x14ac:dyDescent="0.35">
      <c r="A522" s="78"/>
      <c r="B522" s="78"/>
      <c r="C522" s="78"/>
      <c r="D522" s="70" t="s">
        <v>11244</v>
      </c>
      <c r="E522" s="77" t="s">
        <v>11245</v>
      </c>
      <c r="F522" s="83" t="s">
        <v>11246</v>
      </c>
      <c r="G522" s="73" t="s">
        <v>244</v>
      </c>
      <c r="H522" s="74" t="s">
        <v>11247</v>
      </c>
      <c r="I522" s="80" t="s">
        <v>120</v>
      </c>
      <c r="J522" s="76" t="s">
        <v>11248</v>
      </c>
      <c r="K522" s="71" t="s">
        <v>11249</v>
      </c>
    </row>
    <row r="523" spans="1:11" x14ac:dyDescent="0.35">
      <c r="A523" s="78"/>
      <c r="B523" s="78"/>
      <c r="C523" s="78"/>
      <c r="D523" s="78"/>
      <c r="E523" s="77" t="s">
        <v>11250</v>
      </c>
      <c r="F523" s="78"/>
      <c r="G523" s="9"/>
      <c r="H523" s="79"/>
      <c r="I523" s="10"/>
      <c r="J523" s="79"/>
      <c r="K523" s="71" t="s">
        <v>11251</v>
      </c>
    </row>
    <row r="524" spans="1:11" x14ac:dyDescent="0.35">
      <c r="A524" s="78"/>
      <c r="B524" s="78"/>
      <c r="C524" s="78"/>
      <c r="D524" s="70" t="s">
        <v>11252</v>
      </c>
      <c r="E524" s="77" t="s">
        <v>11253</v>
      </c>
      <c r="F524" s="83" t="s">
        <v>11254</v>
      </c>
      <c r="G524" s="73" t="s">
        <v>2545</v>
      </c>
      <c r="H524" s="74" t="s">
        <v>11255</v>
      </c>
      <c r="I524" s="81" t="s">
        <v>250</v>
      </c>
      <c r="J524" s="76" t="s">
        <v>11256</v>
      </c>
      <c r="K524" s="71" t="s">
        <v>11257</v>
      </c>
    </row>
    <row r="525" spans="1:11" x14ac:dyDescent="0.35">
      <c r="A525" s="78"/>
      <c r="B525" s="78"/>
      <c r="C525" s="78"/>
      <c r="D525" s="78"/>
      <c r="E525" s="77" t="s">
        <v>11041</v>
      </c>
      <c r="F525" s="78"/>
      <c r="G525" s="9"/>
      <c r="H525" s="79"/>
      <c r="I525" s="10"/>
      <c r="J525" s="79"/>
      <c r="K525" s="71" t="s">
        <v>11258</v>
      </c>
    </row>
    <row r="526" spans="1:11" x14ac:dyDescent="0.35">
      <c r="A526" s="78"/>
      <c r="B526" s="78"/>
      <c r="C526" s="78"/>
      <c r="D526" s="70" t="s">
        <v>11259</v>
      </c>
      <c r="E526" s="77" t="s">
        <v>11260</v>
      </c>
      <c r="F526" s="83" t="s">
        <v>11261</v>
      </c>
      <c r="G526" s="73" t="s">
        <v>244</v>
      </c>
      <c r="H526" s="74" t="s">
        <v>11262</v>
      </c>
      <c r="I526" s="75" t="s">
        <v>58</v>
      </c>
      <c r="J526" s="76" t="s">
        <v>11263</v>
      </c>
      <c r="K526" s="71" t="s">
        <v>11264</v>
      </c>
    </row>
    <row r="527" spans="1:11" x14ac:dyDescent="0.35">
      <c r="A527" s="78"/>
      <c r="B527" s="78"/>
      <c r="C527" s="78"/>
      <c r="D527" s="78"/>
      <c r="E527" s="77" t="s">
        <v>11265</v>
      </c>
      <c r="F527" s="78"/>
      <c r="G527" s="9"/>
      <c r="H527" s="79"/>
      <c r="I527" s="10"/>
      <c r="J527" s="79"/>
      <c r="K527" s="71" t="s">
        <v>11266</v>
      </c>
    </row>
    <row r="528" spans="1:11" x14ac:dyDescent="0.35">
      <c r="A528" s="78"/>
      <c r="B528" s="78"/>
      <c r="C528" s="78"/>
      <c r="D528" s="70" t="s">
        <v>11267</v>
      </c>
      <c r="E528" s="77" t="s">
        <v>11268</v>
      </c>
      <c r="F528" s="83" t="s">
        <v>11269</v>
      </c>
      <c r="G528" s="73" t="s">
        <v>244</v>
      </c>
      <c r="H528" s="74" t="s">
        <v>11270</v>
      </c>
      <c r="I528" s="81" t="s">
        <v>250</v>
      </c>
      <c r="J528" s="76" t="s">
        <v>11271</v>
      </c>
      <c r="K528" s="71" t="s">
        <v>11272</v>
      </c>
    </row>
    <row r="529" spans="1:11" x14ac:dyDescent="0.35">
      <c r="A529" s="78"/>
      <c r="B529" s="78"/>
      <c r="C529" s="78"/>
      <c r="D529" s="78"/>
      <c r="E529" s="77" t="s">
        <v>11273</v>
      </c>
      <c r="F529" s="78"/>
      <c r="G529" s="9"/>
      <c r="H529" s="79"/>
      <c r="I529" s="10"/>
      <c r="J529" s="79"/>
      <c r="K529" s="71" t="s">
        <v>11274</v>
      </c>
    </row>
    <row r="530" spans="1:11" x14ac:dyDescent="0.35">
      <c r="A530" s="78"/>
      <c r="B530" s="78"/>
      <c r="C530" s="70" t="s">
        <v>23</v>
      </c>
      <c r="D530" s="70" t="s">
        <v>11275</v>
      </c>
      <c r="E530" s="77" t="s">
        <v>11276</v>
      </c>
      <c r="F530" s="83" t="s">
        <v>11277</v>
      </c>
      <c r="G530" s="73" t="s">
        <v>65</v>
      </c>
      <c r="H530" s="74" t="s">
        <v>11278</v>
      </c>
      <c r="I530" s="80" t="s">
        <v>120</v>
      </c>
      <c r="J530" s="76" t="s">
        <v>11279</v>
      </c>
      <c r="K530" s="71" t="s">
        <v>11280</v>
      </c>
    </row>
    <row r="531" spans="1:11" x14ac:dyDescent="0.35">
      <c r="A531" s="78"/>
      <c r="B531" s="78"/>
      <c r="C531" s="78"/>
      <c r="D531" s="78"/>
      <c r="E531" s="77" t="s">
        <v>11281</v>
      </c>
      <c r="F531" s="78"/>
      <c r="G531" s="9"/>
      <c r="H531" s="79"/>
      <c r="I531" s="10"/>
      <c r="J531" s="79"/>
      <c r="K531" s="71" t="s">
        <v>11282</v>
      </c>
    </row>
    <row r="532" spans="1:11" x14ac:dyDescent="0.35">
      <c r="A532" s="78"/>
      <c r="B532" s="78"/>
      <c r="C532" s="78"/>
      <c r="D532" s="70" t="s">
        <v>11283</v>
      </c>
      <c r="E532" s="77" t="s">
        <v>11284</v>
      </c>
      <c r="F532" s="83" t="s">
        <v>11285</v>
      </c>
      <c r="G532" s="73" t="s">
        <v>65</v>
      </c>
      <c r="H532" s="74" t="s">
        <v>11286</v>
      </c>
      <c r="I532" s="80" t="s">
        <v>120</v>
      </c>
      <c r="J532" s="76" t="s">
        <v>11287</v>
      </c>
      <c r="K532" s="71" t="s">
        <v>11288</v>
      </c>
    </row>
    <row r="533" spans="1:11" x14ac:dyDescent="0.35">
      <c r="A533" s="78"/>
      <c r="B533" s="78"/>
      <c r="C533" s="78"/>
      <c r="D533" s="78"/>
      <c r="E533" s="77" t="s">
        <v>11289</v>
      </c>
      <c r="F533" s="78"/>
      <c r="G533" s="9"/>
      <c r="H533" s="79"/>
      <c r="I533" s="10"/>
      <c r="J533" s="79"/>
      <c r="K533" s="71" t="s">
        <v>11290</v>
      </c>
    </row>
    <row r="534" spans="1:11" x14ac:dyDescent="0.35">
      <c r="A534" s="78"/>
      <c r="B534" s="78"/>
      <c r="C534" s="78"/>
      <c r="D534" s="70" t="s">
        <v>11291</v>
      </c>
      <c r="E534" s="77" t="s">
        <v>11292</v>
      </c>
      <c r="F534" s="83" t="s">
        <v>11293</v>
      </c>
      <c r="G534" s="73" t="s">
        <v>65</v>
      </c>
      <c r="H534" s="74" t="s">
        <v>11294</v>
      </c>
      <c r="I534" s="81" t="s">
        <v>250</v>
      </c>
      <c r="J534" s="76" t="s">
        <v>11295</v>
      </c>
      <c r="K534" s="71" t="s">
        <v>11296</v>
      </c>
    </row>
    <row r="535" spans="1:11" x14ac:dyDescent="0.35">
      <c r="A535" s="78"/>
      <c r="B535" s="78"/>
      <c r="C535" s="78"/>
      <c r="D535" s="78"/>
      <c r="E535" s="77" t="s">
        <v>11297</v>
      </c>
      <c r="F535" s="78"/>
      <c r="G535" s="9"/>
      <c r="H535" s="79"/>
      <c r="I535" s="10"/>
      <c r="J535" s="79"/>
      <c r="K535" s="71" t="s">
        <v>10710</v>
      </c>
    </row>
    <row r="536" spans="1:11" x14ac:dyDescent="0.35">
      <c r="A536" s="78"/>
      <c r="B536" s="78"/>
      <c r="C536" s="78"/>
      <c r="D536" s="70" t="s">
        <v>11298</v>
      </c>
      <c r="E536" s="77" t="s">
        <v>11299</v>
      </c>
      <c r="F536" s="83" t="s">
        <v>11300</v>
      </c>
      <c r="G536" s="73" t="s">
        <v>244</v>
      </c>
      <c r="H536" s="74" t="s">
        <v>11301</v>
      </c>
      <c r="I536" s="75" t="s">
        <v>58</v>
      </c>
      <c r="J536" s="76" t="s">
        <v>11302</v>
      </c>
      <c r="K536" s="71" t="s">
        <v>11303</v>
      </c>
    </row>
    <row r="537" spans="1:11" x14ac:dyDescent="0.35">
      <c r="A537" s="78"/>
      <c r="B537" s="78"/>
      <c r="C537" s="78"/>
      <c r="D537" s="78"/>
      <c r="E537" s="77" t="s">
        <v>11304</v>
      </c>
      <c r="F537" s="78"/>
      <c r="G537" s="9"/>
      <c r="H537" s="79"/>
      <c r="I537" s="10"/>
      <c r="J537" s="79"/>
      <c r="K537" s="71" t="s">
        <v>11305</v>
      </c>
    </row>
    <row r="538" spans="1:11" x14ac:dyDescent="0.35">
      <c r="A538" s="78"/>
      <c r="B538" s="78"/>
      <c r="C538" s="78"/>
      <c r="D538" s="70" t="s">
        <v>11306</v>
      </c>
      <c r="E538" s="77" t="s">
        <v>11307</v>
      </c>
      <c r="F538" s="83" t="s">
        <v>11308</v>
      </c>
      <c r="G538" s="73" t="s">
        <v>2545</v>
      </c>
      <c r="H538" s="74" t="s">
        <v>11309</v>
      </c>
      <c r="I538" s="81" t="s">
        <v>250</v>
      </c>
      <c r="J538" s="76" t="s">
        <v>11310</v>
      </c>
      <c r="K538" s="71" t="s">
        <v>11311</v>
      </c>
    </row>
    <row r="539" spans="1:11" x14ac:dyDescent="0.35">
      <c r="A539" s="78"/>
      <c r="B539" s="78"/>
      <c r="C539" s="78"/>
      <c r="D539" s="78"/>
      <c r="E539" s="77" t="s">
        <v>11312</v>
      </c>
      <c r="F539" s="78"/>
      <c r="G539" s="9"/>
      <c r="H539" s="79"/>
      <c r="I539" s="10"/>
      <c r="J539" s="79"/>
      <c r="K539" s="71" t="s">
        <v>11313</v>
      </c>
    </row>
    <row r="540" spans="1:11" x14ac:dyDescent="0.35">
      <c r="A540" s="78"/>
      <c r="B540" s="78"/>
      <c r="C540" s="70" t="s">
        <v>11314</v>
      </c>
      <c r="D540" s="70" t="s">
        <v>11315</v>
      </c>
      <c r="E540" s="77" t="s">
        <v>11316</v>
      </c>
      <c r="F540" s="83" t="s">
        <v>11317</v>
      </c>
      <c r="G540" s="73" t="s">
        <v>244</v>
      </c>
      <c r="H540" s="74" t="s">
        <v>11318</v>
      </c>
      <c r="I540" s="80" t="s">
        <v>120</v>
      </c>
      <c r="J540" s="76" t="s">
        <v>11319</v>
      </c>
      <c r="K540" s="71" t="s">
        <v>11320</v>
      </c>
    </row>
    <row r="541" spans="1:11" x14ac:dyDescent="0.35">
      <c r="A541" s="78"/>
      <c r="B541" s="78"/>
      <c r="C541" s="78"/>
      <c r="D541" s="78"/>
      <c r="E541" s="77" t="s">
        <v>11321</v>
      </c>
      <c r="F541" s="78"/>
      <c r="G541" s="9"/>
      <c r="H541" s="79"/>
      <c r="I541" s="10"/>
      <c r="J541" s="79"/>
      <c r="K541" s="71" t="s">
        <v>11322</v>
      </c>
    </row>
    <row r="542" spans="1:11" x14ac:dyDescent="0.35">
      <c r="A542" s="78"/>
      <c r="B542" s="78"/>
      <c r="C542" s="78"/>
      <c r="D542" s="70" t="s">
        <v>11323</v>
      </c>
      <c r="E542" s="77" t="s">
        <v>11324</v>
      </c>
      <c r="F542" s="83" t="s">
        <v>11325</v>
      </c>
      <c r="G542" s="73" t="s">
        <v>244</v>
      </c>
      <c r="H542" s="74" t="s">
        <v>11326</v>
      </c>
      <c r="I542" s="80" t="s">
        <v>120</v>
      </c>
      <c r="J542" s="76" t="s">
        <v>11327</v>
      </c>
      <c r="K542" s="71" t="s">
        <v>11328</v>
      </c>
    </row>
    <row r="543" spans="1:11" x14ac:dyDescent="0.35">
      <c r="A543" s="78"/>
      <c r="B543" s="78"/>
      <c r="C543" s="78"/>
      <c r="D543" s="78"/>
      <c r="E543" s="77" t="s">
        <v>11329</v>
      </c>
      <c r="F543" s="78"/>
      <c r="G543" s="9"/>
      <c r="H543" s="79"/>
      <c r="I543" s="10"/>
      <c r="J543" s="79"/>
      <c r="K543" s="71" t="s">
        <v>11257</v>
      </c>
    </row>
    <row r="544" spans="1:11" x14ac:dyDescent="0.35">
      <c r="A544" s="78"/>
      <c r="B544" s="78"/>
      <c r="C544" s="78"/>
      <c r="D544" s="70" t="s">
        <v>11330</v>
      </c>
      <c r="E544" s="77" t="s">
        <v>11331</v>
      </c>
      <c r="F544" s="83" t="s">
        <v>11332</v>
      </c>
      <c r="G544" s="73" t="s">
        <v>65</v>
      </c>
      <c r="H544" s="74" t="s">
        <v>11333</v>
      </c>
      <c r="I544" s="81" t="s">
        <v>250</v>
      </c>
      <c r="J544" s="76" t="s">
        <v>11334</v>
      </c>
      <c r="K544" s="71" t="s">
        <v>11227</v>
      </c>
    </row>
    <row r="545" spans="1:11" x14ac:dyDescent="0.35">
      <c r="A545" s="78"/>
      <c r="B545" s="78"/>
      <c r="C545" s="78"/>
      <c r="D545" s="78"/>
      <c r="E545" s="77" t="s">
        <v>11335</v>
      </c>
      <c r="F545" s="78"/>
      <c r="G545" s="9"/>
      <c r="H545" s="79"/>
      <c r="I545" s="10"/>
      <c r="J545" s="79"/>
      <c r="K545" s="71" t="s">
        <v>11229</v>
      </c>
    </row>
    <row r="546" spans="1:11" x14ac:dyDescent="0.35">
      <c r="A546" s="78"/>
      <c r="B546" s="78"/>
      <c r="C546" s="78"/>
      <c r="D546" s="70" t="s">
        <v>11336</v>
      </c>
      <c r="E546" s="77" t="s">
        <v>11337</v>
      </c>
      <c r="F546" s="83" t="s">
        <v>11338</v>
      </c>
      <c r="G546" s="73" t="s">
        <v>65</v>
      </c>
      <c r="H546" s="74" t="s">
        <v>11339</v>
      </c>
      <c r="I546" s="75" t="s">
        <v>58</v>
      </c>
      <c r="J546" s="76" t="s">
        <v>11340</v>
      </c>
      <c r="K546" s="71" t="s">
        <v>11234</v>
      </c>
    </row>
    <row r="547" spans="1:11" x14ac:dyDescent="0.35">
      <c r="A547" s="78"/>
      <c r="B547" s="78"/>
      <c r="C547" s="78"/>
      <c r="D547" s="78"/>
      <c r="E547" s="77" t="s">
        <v>11341</v>
      </c>
      <c r="F547" s="78"/>
      <c r="G547" s="9"/>
      <c r="H547" s="79"/>
      <c r="I547" s="10"/>
      <c r="J547" s="79"/>
      <c r="K547" s="71" t="s">
        <v>11236</v>
      </c>
    </row>
    <row r="548" spans="1:11" x14ac:dyDescent="0.35">
      <c r="A548" s="78"/>
      <c r="B548" s="78"/>
      <c r="C548" s="78"/>
      <c r="D548" s="70" t="s">
        <v>11342</v>
      </c>
      <c r="E548" s="77" t="s">
        <v>11343</v>
      </c>
      <c r="F548" s="83" t="s">
        <v>11344</v>
      </c>
      <c r="G548" s="73" t="s">
        <v>65</v>
      </c>
      <c r="H548" s="74" t="s">
        <v>11345</v>
      </c>
      <c r="I548" s="81" t="s">
        <v>250</v>
      </c>
      <c r="J548" s="76" t="s">
        <v>11346</v>
      </c>
      <c r="K548" s="71" t="s">
        <v>11241</v>
      </c>
    </row>
    <row r="549" spans="1:11" x14ac:dyDescent="0.35">
      <c r="A549" s="78"/>
      <c r="B549" s="78"/>
      <c r="C549" s="78"/>
      <c r="D549" s="78"/>
      <c r="E549" s="77" t="s">
        <v>11347</v>
      </c>
      <c r="F549" s="78"/>
      <c r="G549" s="9"/>
      <c r="H549" s="79"/>
      <c r="I549" s="10"/>
      <c r="J549" s="79"/>
      <c r="K549" s="71" t="s">
        <v>11243</v>
      </c>
    </row>
    <row r="550" spans="1:11" x14ac:dyDescent="0.35">
      <c r="A550" s="78"/>
      <c r="B550" s="78"/>
      <c r="C550" s="70" t="s">
        <v>11348</v>
      </c>
      <c r="D550" s="70" t="s">
        <v>11349</v>
      </c>
      <c r="E550" s="77" t="s">
        <v>11350</v>
      </c>
      <c r="F550" s="83" t="s">
        <v>11351</v>
      </c>
      <c r="G550" s="73" t="s">
        <v>244</v>
      </c>
      <c r="H550" s="74" t="s">
        <v>11352</v>
      </c>
      <c r="I550" s="80" t="s">
        <v>120</v>
      </c>
      <c r="J550" s="76" t="s">
        <v>11353</v>
      </c>
      <c r="K550" s="71" t="s">
        <v>11249</v>
      </c>
    </row>
    <row r="551" spans="1:11" x14ac:dyDescent="0.35">
      <c r="A551" s="78"/>
      <c r="B551" s="78"/>
      <c r="C551" s="78"/>
      <c r="D551" s="78"/>
      <c r="E551" s="77" t="s">
        <v>11354</v>
      </c>
      <c r="F551" s="78"/>
      <c r="G551" s="9"/>
      <c r="H551" s="79"/>
      <c r="I551" s="10"/>
      <c r="J551" s="79"/>
      <c r="K551" s="71" t="s">
        <v>11251</v>
      </c>
    </row>
    <row r="552" spans="1:11" x14ac:dyDescent="0.35">
      <c r="A552" s="78"/>
      <c r="B552" s="78"/>
      <c r="C552" s="78"/>
      <c r="D552" s="70" t="s">
        <v>11355</v>
      </c>
      <c r="E552" s="77" t="s">
        <v>11356</v>
      </c>
      <c r="F552" s="83" t="s">
        <v>11357</v>
      </c>
      <c r="G552" s="73" t="s">
        <v>2545</v>
      </c>
      <c r="H552" s="74" t="s">
        <v>11358</v>
      </c>
      <c r="I552" s="80" t="s">
        <v>120</v>
      </c>
      <c r="J552" s="76" t="s">
        <v>11359</v>
      </c>
      <c r="K552" s="71" t="s">
        <v>11257</v>
      </c>
    </row>
    <row r="553" spans="1:11" x14ac:dyDescent="0.35">
      <c r="A553" s="78"/>
      <c r="B553" s="78"/>
      <c r="C553" s="78"/>
      <c r="D553" s="78"/>
      <c r="E553" s="77" t="s">
        <v>10703</v>
      </c>
      <c r="F553" s="78"/>
      <c r="G553" s="9"/>
      <c r="H553" s="79"/>
      <c r="I553" s="10"/>
      <c r="J553" s="79"/>
      <c r="K553" s="71" t="s">
        <v>11258</v>
      </c>
    </row>
    <row r="554" spans="1:11" x14ac:dyDescent="0.35">
      <c r="A554" s="78"/>
      <c r="B554" s="78"/>
      <c r="C554" s="78"/>
      <c r="D554" s="70" t="s">
        <v>11360</v>
      </c>
      <c r="E554" s="77" t="s">
        <v>11361</v>
      </c>
      <c r="F554" s="83" t="s">
        <v>11362</v>
      </c>
      <c r="G554" s="73" t="s">
        <v>244</v>
      </c>
      <c r="H554" s="74" t="s">
        <v>11363</v>
      </c>
      <c r="I554" s="81" t="s">
        <v>250</v>
      </c>
      <c r="J554" s="76" t="s">
        <v>11364</v>
      </c>
      <c r="K554" s="71" t="s">
        <v>11264</v>
      </c>
    </row>
    <row r="555" spans="1:11" x14ac:dyDescent="0.35">
      <c r="A555" s="78"/>
      <c r="B555" s="78"/>
      <c r="C555" s="78"/>
      <c r="D555" s="78"/>
      <c r="E555" s="77" t="s">
        <v>11365</v>
      </c>
      <c r="F555" s="78"/>
      <c r="G555" s="9"/>
      <c r="H555" s="79"/>
      <c r="I555" s="10"/>
      <c r="J555" s="79"/>
      <c r="K555" s="71" t="s">
        <v>11266</v>
      </c>
    </row>
    <row r="556" spans="1:11" x14ac:dyDescent="0.35">
      <c r="A556" s="78"/>
      <c r="B556" s="78"/>
      <c r="C556" s="78"/>
      <c r="D556" s="70" t="s">
        <v>11366</v>
      </c>
      <c r="E556" s="77" t="s">
        <v>11331</v>
      </c>
      <c r="F556" s="83" t="s">
        <v>11367</v>
      </c>
      <c r="G556" s="73" t="s">
        <v>244</v>
      </c>
      <c r="H556" s="74" t="s">
        <v>11368</v>
      </c>
      <c r="I556" s="75" t="s">
        <v>58</v>
      </c>
      <c r="J556" s="76" t="s">
        <v>11369</v>
      </c>
      <c r="K556" s="71" t="s">
        <v>11272</v>
      </c>
    </row>
    <row r="557" spans="1:11" x14ac:dyDescent="0.35">
      <c r="A557" s="78"/>
      <c r="B557" s="78"/>
      <c r="C557" s="78"/>
      <c r="D557" s="78"/>
      <c r="E557" s="77" t="s">
        <v>11370</v>
      </c>
      <c r="F557" s="78"/>
      <c r="G557" s="9"/>
      <c r="H557" s="79"/>
      <c r="I557" s="10"/>
      <c r="J557" s="79"/>
      <c r="K557" s="71" t="s">
        <v>11274</v>
      </c>
    </row>
    <row r="558" spans="1:11" x14ac:dyDescent="0.35">
      <c r="A558" s="78"/>
      <c r="B558" s="78"/>
      <c r="C558" s="78"/>
      <c r="D558" s="70" t="s">
        <v>11371</v>
      </c>
      <c r="E558" s="77" t="s">
        <v>11335</v>
      </c>
      <c r="F558" s="83" t="s">
        <v>11372</v>
      </c>
      <c r="G558" s="73" t="s">
        <v>65</v>
      </c>
      <c r="H558" s="74" t="s">
        <v>11373</v>
      </c>
      <c r="I558" s="81" t="s">
        <v>250</v>
      </c>
      <c r="J558" s="76" t="s">
        <v>11374</v>
      </c>
      <c r="K558" s="71" t="s">
        <v>11280</v>
      </c>
    </row>
    <row r="559" spans="1:11" x14ac:dyDescent="0.35">
      <c r="A559" s="78"/>
      <c r="B559" s="78"/>
      <c r="C559" s="78"/>
      <c r="D559" s="78"/>
      <c r="E559" s="77" t="s">
        <v>11375</v>
      </c>
      <c r="F559" s="78"/>
      <c r="G559" s="9"/>
      <c r="H559" s="79"/>
      <c r="I559" s="10"/>
      <c r="J559" s="79"/>
      <c r="K559" s="71" t="s">
        <v>11282</v>
      </c>
    </row>
    <row r="560" spans="1:11" x14ac:dyDescent="0.35">
      <c r="A560" s="78"/>
      <c r="B560" s="78"/>
      <c r="C560" s="70" t="s">
        <v>11376</v>
      </c>
      <c r="D560" s="70" t="s">
        <v>11377</v>
      </c>
      <c r="E560" s="77" t="s">
        <v>11337</v>
      </c>
      <c r="F560" s="83" t="s">
        <v>11378</v>
      </c>
      <c r="G560" s="73" t="s">
        <v>65</v>
      </c>
      <c r="H560" s="74" t="s">
        <v>11379</v>
      </c>
      <c r="I560" s="80" t="s">
        <v>120</v>
      </c>
      <c r="J560" s="76" t="s">
        <v>11380</v>
      </c>
      <c r="K560" s="71" t="s">
        <v>11288</v>
      </c>
    </row>
    <row r="561" spans="1:11" x14ac:dyDescent="0.35">
      <c r="A561" s="78"/>
      <c r="B561" s="78"/>
      <c r="C561" s="78"/>
      <c r="D561" s="78"/>
      <c r="E561" s="77" t="s">
        <v>11381</v>
      </c>
      <c r="F561" s="78"/>
      <c r="G561" s="9"/>
      <c r="H561" s="79"/>
      <c r="I561" s="10"/>
      <c r="J561" s="79"/>
      <c r="K561" s="71" t="s">
        <v>11290</v>
      </c>
    </row>
    <row r="562" spans="1:11" x14ac:dyDescent="0.35">
      <c r="A562" s="78"/>
      <c r="B562" s="78"/>
      <c r="C562" s="78"/>
      <c r="D562" s="70" t="s">
        <v>11382</v>
      </c>
      <c r="E562" s="77" t="s">
        <v>11341</v>
      </c>
      <c r="F562" s="83" t="s">
        <v>11383</v>
      </c>
      <c r="G562" s="73" t="s">
        <v>65</v>
      </c>
      <c r="H562" s="74" t="s">
        <v>11384</v>
      </c>
      <c r="I562" s="80" t="s">
        <v>120</v>
      </c>
      <c r="J562" s="76" t="s">
        <v>10829</v>
      </c>
      <c r="K562" s="71" t="s">
        <v>11296</v>
      </c>
    </row>
    <row r="563" spans="1:11" x14ac:dyDescent="0.35">
      <c r="A563" s="78"/>
      <c r="B563" s="78"/>
      <c r="C563" s="78"/>
      <c r="D563" s="78"/>
      <c r="E563" s="77" t="s">
        <v>11385</v>
      </c>
      <c r="F563" s="78"/>
      <c r="G563" s="9"/>
      <c r="H563" s="79"/>
      <c r="I563" s="10"/>
      <c r="J563" s="79"/>
      <c r="K563" s="71" t="s">
        <v>10710</v>
      </c>
    </row>
    <row r="564" spans="1:11" x14ac:dyDescent="0.35">
      <c r="A564" s="78"/>
      <c r="B564" s="78"/>
      <c r="C564" s="78"/>
      <c r="D564" s="70" t="s">
        <v>11386</v>
      </c>
      <c r="E564" s="77" t="s">
        <v>11343</v>
      </c>
      <c r="F564" s="83" t="s">
        <v>11387</v>
      </c>
      <c r="G564" s="73" t="s">
        <v>244</v>
      </c>
      <c r="H564" s="74" t="s">
        <v>11388</v>
      </c>
      <c r="I564" s="81" t="s">
        <v>250</v>
      </c>
      <c r="J564" s="76" t="s">
        <v>11389</v>
      </c>
      <c r="K564" s="71" t="s">
        <v>11303</v>
      </c>
    </row>
    <row r="565" spans="1:11" x14ac:dyDescent="0.35">
      <c r="A565" s="78"/>
      <c r="B565" s="78"/>
      <c r="C565" s="78"/>
      <c r="D565" s="78"/>
      <c r="E565" s="77" t="s">
        <v>11390</v>
      </c>
      <c r="F565" s="78"/>
      <c r="G565" s="9"/>
      <c r="H565" s="79"/>
      <c r="I565" s="10"/>
      <c r="J565" s="79"/>
      <c r="K565" s="71" t="s">
        <v>11305</v>
      </c>
    </row>
    <row r="566" spans="1:11" x14ac:dyDescent="0.35">
      <c r="A566" s="78"/>
      <c r="B566" s="78"/>
      <c r="C566" s="78"/>
      <c r="D566" s="70" t="s">
        <v>11391</v>
      </c>
      <c r="E566" s="77" t="s">
        <v>11347</v>
      </c>
      <c r="F566" s="83" t="s">
        <v>11392</v>
      </c>
      <c r="G566" s="73" t="s">
        <v>2545</v>
      </c>
      <c r="H566" s="74" t="s">
        <v>11393</v>
      </c>
      <c r="I566" s="75" t="s">
        <v>58</v>
      </c>
      <c r="J566" s="76" t="s">
        <v>11394</v>
      </c>
      <c r="K566" s="71" t="s">
        <v>11311</v>
      </c>
    </row>
    <row r="567" spans="1:11" x14ac:dyDescent="0.35">
      <c r="A567" s="78"/>
      <c r="B567" s="78"/>
      <c r="C567" s="78"/>
      <c r="D567" s="78"/>
      <c r="E567" s="77" t="s">
        <v>11395</v>
      </c>
      <c r="F567" s="78"/>
      <c r="G567" s="9"/>
      <c r="H567" s="79"/>
      <c r="I567" s="10"/>
      <c r="J567" s="79"/>
      <c r="K567" s="71" t="s">
        <v>11313</v>
      </c>
    </row>
    <row r="568" spans="1:11" x14ac:dyDescent="0.35">
      <c r="A568" s="78"/>
      <c r="B568" s="78"/>
      <c r="C568" s="78"/>
      <c r="D568" s="70" t="s">
        <v>11396</v>
      </c>
      <c r="E568" s="77" t="s">
        <v>11350</v>
      </c>
      <c r="F568" s="83" t="s">
        <v>11397</v>
      </c>
      <c r="G568" s="73" t="s">
        <v>244</v>
      </c>
      <c r="H568" s="74" t="s">
        <v>11398</v>
      </c>
      <c r="I568" s="81" t="s">
        <v>250</v>
      </c>
      <c r="J568" s="76" t="s">
        <v>11399</v>
      </c>
      <c r="K568" s="71" t="s">
        <v>11400</v>
      </c>
    </row>
    <row r="569" spans="1:11" x14ac:dyDescent="0.35">
      <c r="A569" s="78"/>
      <c r="B569" s="78"/>
      <c r="C569" s="78"/>
      <c r="D569" s="78"/>
      <c r="E569" s="77" t="s">
        <v>11401</v>
      </c>
      <c r="F569" s="78"/>
      <c r="G569" s="9"/>
      <c r="H569" s="79"/>
      <c r="I569" s="10"/>
      <c r="J569" s="79"/>
      <c r="K569" s="71" t="s">
        <v>11402</v>
      </c>
    </row>
    <row r="570" spans="1:11" x14ac:dyDescent="0.35">
      <c r="A570" s="78"/>
      <c r="B570" s="78"/>
      <c r="C570" s="70" t="s">
        <v>24</v>
      </c>
      <c r="D570" s="70" t="s">
        <v>11403</v>
      </c>
      <c r="E570" s="77" t="s">
        <v>11354</v>
      </c>
      <c r="F570" s="83" t="s">
        <v>11404</v>
      </c>
      <c r="G570" s="73" t="s">
        <v>244</v>
      </c>
      <c r="H570" s="74" t="s">
        <v>10958</v>
      </c>
      <c r="I570" s="80" t="s">
        <v>120</v>
      </c>
      <c r="J570" s="76" t="s">
        <v>11405</v>
      </c>
      <c r="K570" s="71" t="s">
        <v>11406</v>
      </c>
    </row>
    <row r="571" spans="1:11" x14ac:dyDescent="0.35">
      <c r="A571" s="78"/>
      <c r="B571" s="78"/>
      <c r="C571" s="78"/>
      <c r="D571" s="78"/>
      <c r="E571" s="77" t="s">
        <v>11407</v>
      </c>
      <c r="F571" s="78"/>
      <c r="G571" s="9"/>
      <c r="H571" s="79"/>
      <c r="I571" s="10"/>
      <c r="J571" s="79"/>
      <c r="K571" s="71" t="s">
        <v>11408</v>
      </c>
    </row>
    <row r="572" spans="1:11" x14ac:dyDescent="0.35">
      <c r="A572" s="78"/>
      <c r="B572" s="78"/>
      <c r="C572" s="78"/>
      <c r="D572" s="70" t="s">
        <v>11409</v>
      </c>
      <c r="E572" s="77" t="s">
        <v>11356</v>
      </c>
      <c r="F572" s="83" t="s">
        <v>11410</v>
      </c>
      <c r="G572" s="73" t="s">
        <v>65</v>
      </c>
      <c r="H572" s="74" t="s">
        <v>11411</v>
      </c>
      <c r="I572" s="80" t="s">
        <v>120</v>
      </c>
      <c r="J572" s="76" t="s">
        <v>11412</v>
      </c>
      <c r="K572" s="71" t="s">
        <v>11413</v>
      </c>
    </row>
    <row r="573" spans="1:11" x14ac:dyDescent="0.35">
      <c r="A573" s="78"/>
      <c r="B573" s="78"/>
      <c r="C573" s="78"/>
      <c r="D573" s="78"/>
      <c r="E573" s="77" t="s">
        <v>11414</v>
      </c>
      <c r="F573" s="78"/>
      <c r="G573" s="9"/>
      <c r="H573" s="79"/>
      <c r="I573" s="10"/>
      <c r="J573" s="79"/>
      <c r="K573" s="71" t="s">
        <v>11415</v>
      </c>
    </row>
    <row r="574" spans="1:11" x14ac:dyDescent="0.35">
      <c r="A574" s="78"/>
      <c r="B574" s="78"/>
      <c r="C574" s="78"/>
      <c r="D574" s="70" t="s">
        <v>11416</v>
      </c>
      <c r="E574" s="77" t="s">
        <v>10703</v>
      </c>
      <c r="F574" s="83" t="s">
        <v>11417</v>
      </c>
      <c r="G574" s="73" t="s">
        <v>65</v>
      </c>
      <c r="H574" s="74" t="s">
        <v>11418</v>
      </c>
      <c r="I574" s="81" t="s">
        <v>250</v>
      </c>
      <c r="J574" s="76" t="s">
        <v>11419</v>
      </c>
      <c r="K574" s="71" t="s">
        <v>11420</v>
      </c>
    </row>
    <row r="575" spans="1:11" x14ac:dyDescent="0.35">
      <c r="A575" s="78"/>
      <c r="B575" s="78"/>
      <c r="C575" s="78"/>
      <c r="D575" s="78"/>
      <c r="E575" s="77" t="s">
        <v>9780</v>
      </c>
      <c r="F575" s="78"/>
      <c r="G575" s="9"/>
      <c r="H575" s="79"/>
      <c r="I575" s="10"/>
      <c r="J575" s="79"/>
      <c r="K575" s="71" t="s">
        <v>11421</v>
      </c>
    </row>
    <row r="576" spans="1:11" x14ac:dyDescent="0.35">
      <c r="A576" s="78"/>
      <c r="B576" s="78"/>
      <c r="C576" s="78"/>
      <c r="D576" s="70" t="s">
        <v>11422</v>
      </c>
      <c r="E576" s="77" t="s">
        <v>11361</v>
      </c>
      <c r="F576" s="83" t="s">
        <v>11423</v>
      </c>
      <c r="G576" s="73" t="s">
        <v>65</v>
      </c>
      <c r="H576" s="74" t="s">
        <v>11424</v>
      </c>
      <c r="I576" s="75" t="s">
        <v>58</v>
      </c>
      <c r="J576" s="76" t="s">
        <v>11425</v>
      </c>
      <c r="K576" s="71" t="s">
        <v>11426</v>
      </c>
    </row>
    <row r="577" spans="1:11" x14ac:dyDescent="0.35">
      <c r="A577" s="78"/>
      <c r="B577" s="78"/>
      <c r="C577" s="78"/>
      <c r="D577" s="78"/>
      <c r="E577" s="77" t="s">
        <v>11427</v>
      </c>
      <c r="F577" s="78"/>
      <c r="G577" s="9"/>
      <c r="H577" s="79"/>
      <c r="I577" s="10"/>
      <c r="J577" s="79"/>
      <c r="K577" s="71" t="s">
        <v>11428</v>
      </c>
    </row>
    <row r="578" spans="1:11" x14ac:dyDescent="0.35">
      <c r="A578" s="78"/>
      <c r="B578" s="78"/>
      <c r="C578" s="78"/>
      <c r="D578" s="70" t="s">
        <v>11429</v>
      </c>
      <c r="E578" s="77" t="s">
        <v>11365</v>
      </c>
      <c r="F578" s="83" t="s">
        <v>11430</v>
      </c>
      <c r="G578" s="73" t="s">
        <v>244</v>
      </c>
      <c r="H578" s="74" t="s">
        <v>11431</v>
      </c>
      <c r="I578" s="81" t="s">
        <v>250</v>
      </c>
      <c r="J578" s="76" t="s">
        <v>11432</v>
      </c>
      <c r="K578" s="71" t="s">
        <v>11433</v>
      </c>
    </row>
    <row r="579" spans="1:11" x14ac:dyDescent="0.35">
      <c r="A579" s="78"/>
      <c r="B579" s="78"/>
      <c r="C579" s="78"/>
      <c r="D579" s="78"/>
      <c r="E579" s="77" t="s">
        <v>11434</v>
      </c>
      <c r="F579" s="78"/>
      <c r="G579" s="9"/>
      <c r="H579" s="79"/>
      <c r="I579" s="10"/>
      <c r="J579" s="79"/>
      <c r="K579" s="71" t="s">
        <v>11435</v>
      </c>
    </row>
    <row r="580" spans="1:11" x14ac:dyDescent="0.35">
      <c r="A580" s="78"/>
      <c r="B580" s="78"/>
      <c r="C580" s="70" t="s">
        <v>11436</v>
      </c>
      <c r="D580" s="70" t="s">
        <v>11437</v>
      </c>
      <c r="E580" s="77" t="s">
        <v>11437</v>
      </c>
      <c r="F580" s="83" t="s">
        <v>11438</v>
      </c>
      <c r="G580" s="73" t="s">
        <v>2545</v>
      </c>
      <c r="H580" s="74" t="s">
        <v>11439</v>
      </c>
      <c r="I580" s="80" t="s">
        <v>120</v>
      </c>
      <c r="J580" s="76" t="s">
        <v>11440</v>
      </c>
      <c r="K580" s="71" t="s">
        <v>11441</v>
      </c>
    </row>
    <row r="581" spans="1:11" x14ac:dyDescent="0.35">
      <c r="A581" s="78"/>
      <c r="B581" s="78"/>
      <c r="C581" s="78"/>
      <c r="D581" s="78"/>
      <c r="E581" s="77" t="s">
        <v>11442</v>
      </c>
      <c r="F581" s="78"/>
      <c r="G581" s="9"/>
      <c r="H581" s="79"/>
      <c r="I581" s="10"/>
      <c r="J581" s="79"/>
      <c r="K581" s="71" t="s">
        <v>11443</v>
      </c>
    </row>
    <row r="582" spans="1:11" x14ac:dyDescent="0.35">
      <c r="A582" s="78"/>
      <c r="B582" s="78"/>
      <c r="C582" s="78"/>
      <c r="D582" s="70" t="s">
        <v>11444</v>
      </c>
      <c r="E582" s="77" t="s">
        <v>11445</v>
      </c>
      <c r="F582" s="83" t="s">
        <v>11446</v>
      </c>
      <c r="G582" s="73" t="s">
        <v>244</v>
      </c>
      <c r="H582" s="74" t="s">
        <v>11447</v>
      </c>
      <c r="I582" s="80" t="s">
        <v>120</v>
      </c>
      <c r="J582" s="76" t="s">
        <v>11448</v>
      </c>
      <c r="K582" s="71" t="s">
        <v>11449</v>
      </c>
    </row>
    <row r="583" spans="1:11" x14ac:dyDescent="0.35">
      <c r="A583" s="78"/>
      <c r="B583" s="78"/>
      <c r="C583" s="78"/>
      <c r="D583" s="78"/>
      <c r="E583" s="77" t="s">
        <v>11450</v>
      </c>
      <c r="F583" s="78"/>
      <c r="G583" s="9"/>
      <c r="H583" s="79"/>
      <c r="I583" s="10"/>
      <c r="J583" s="79"/>
      <c r="K583" s="71" t="s">
        <v>11451</v>
      </c>
    </row>
    <row r="584" spans="1:11" x14ac:dyDescent="0.35">
      <c r="A584" s="78"/>
      <c r="B584" s="78"/>
      <c r="C584" s="78"/>
      <c r="D584" s="70" t="s">
        <v>11452</v>
      </c>
      <c r="E584" s="77" t="s">
        <v>11453</v>
      </c>
      <c r="F584" s="83" t="s">
        <v>11454</v>
      </c>
      <c r="G584" s="73" t="s">
        <v>244</v>
      </c>
      <c r="H584" s="74" t="s">
        <v>11455</v>
      </c>
      <c r="I584" s="81" t="s">
        <v>250</v>
      </c>
      <c r="J584" s="76" t="s">
        <v>11456</v>
      </c>
      <c r="K584" s="71" t="s">
        <v>11457</v>
      </c>
    </row>
    <row r="585" spans="1:11" x14ac:dyDescent="0.35">
      <c r="A585" s="78"/>
      <c r="B585" s="78"/>
      <c r="C585" s="78"/>
      <c r="D585" s="78"/>
      <c r="E585" s="77" t="s">
        <v>11458</v>
      </c>
      <c r="F585" s="78"/>
      <c r="G585" s="9"/>
      <c r="H585" s="79"/>
      <c r="I585" s="10"/>
      <c r="J585" s="79"/>
      <c r="K585" s="71" t="s">
        <v>11459</v>
      </c>
    </row>
    <row r="586" spans="1:11" x14ac:dyDescent="0.35">
      <c r="A586" s="78"/>
      <c r="B586" s="78"/>
      <c r="C586" s="78"/>
      <c r="D586" s="70" t="s">
        <v>11460</v>
      </c>
      <c r="E586" s="77" t="s">
        <v>11461</v>
      </c>
      <c r="F586" s="83" t="s">
        <v>11462</v>
      </c>
      <c r="G586" s="73" t="s">
        <v>65</v>
      </c>
      <c r="H586" s="74" t="s">
        <v>11463</v>
      </c>
      <c r="I586" s="75" t="s">
        <v>58</v>
      </c>
      <c r="J586" s="76" t="s">
        <v>11464</v>
      </c>
      <c r="K586" s="71" t="s">
        <v>11465</v>
      </c>
    </row>
    <row r="587" spans="1:11" x14ac:dyDescent="0.35">
      <c r="A587" s="78"/>
      <c r="B587" s="78"/>
      <c r="C587" s="78"/>
      <c r="D587" s="78"/>
      <c r="E587" s="77" t="s">
        <v>11466</v>
      </c>
      <c r="F587" s="78"/>
      <c r="G587" s="9"/>
      <c r="H587" s="79"/>
      <c r="I587" s="10"/>
      <c r="J587" s="79"/>
      <c r="K587" s="71" t="s">
        <v>11467</v>
      </c>
    </row>
    <row r="588" spans="1:11" x14ac:dyDescent="0.35">
      <c r="A588" s="78"/>
      <c r="B588" s="78"/>
      <c r="C588" s="78"/>
      <c r="D588" s="70" t="s">
        <v>11468</v>
      </c>
      <c r="E588" s="77" t="s">
        <v>11469</v>
      </c>
      <c r="F588" s="83" t="s">
        <v>11470</v>
      </c>
      <c r="G588" s="73" t="s">
        <v>65</v>
      </c>
      <c r="H588" s="74" t="s">
        <v>11471</v>
      </c>
      <c r="I588" s="81" t="s">
        <v>250</v>
      </c>
      <c r="J588" s="76" t="s">
        <v>11472</v>
      </c>
      <c r="K588" s="71" t="s">
        <v>11473</v>
      </c>
    </row>
    <row r="589" spans="1:11" x14ac:dyDescent="0.35">
      <c r="A589" s="78"/>
      <c r="B589" s="78"/>
      <c r="C589" s="78"/>
      <c r="D589" s="78"/>
      <c r="E589" s="77" t="s">
        <v>11474</v>
      </c>
      <c r="F589" s="78"/>
      <c r="G589" s="9"/>
      <c r="H589" s="79"/>
      <c r="I589" s="10"/>
      <c r="J589" s="79"/>
      <c r="K589" s="71" t="s">
        <v>11475</v>
      </c>
    </row>
    <row r="590" spans="1:11" x14ac:dyDescent="0.35">
      <c r="A590" s="78"/>
      <c r="B590" s="78"/>
      <c r="C590" s="70" t="s">
        <v>25</v>
      </c>
      <c r="D590" s="70" t="s">
        <v>11476</v>
      </c>
      <c r="E590" s="77" t="s">
        <v>11477</v>
      </c>
      <c r="F590" s="83" t="s">
        <v>11478</v>
      </c>
      <c r="G590" s="73" t="s">
        <v>65</v>
      </c>
      <c r="H590" s="74" t="s">
        <v>11479</v>
      </c>
      <c r="I590" s="80" t="s">
        <v>120</v>
      </c>
      <c r="J590" s="76" t="s">
        <v>11480</v>
      </c>
      <c r="K590" s="71" t="s">
        <v>11311</v>
      </c>
    </row>
    <row r="591" spans="1:11" x14ac:dyDescent="0.35">
      <c r="A591" s="78"/>
      <c r="B591" s="78"/>
      <c r="C591" s="78"/>
      <c r="D591" s="78"/>
      <c r="E591" s="77" t="s">
        <v>11481</v>
      </c>
      <c r="F591" s="78"/>
      <c r="G591" s="9"/>
      <c r="H591" s="79"/>
      <c r="I591" s="10"/>
      <c r="J591" s="79"/>
      <c r="K591" s="71" t="s">
        <v>11313</v>
      </c>
    </row>
    <row r="592" spans="1:11" x14ac:dyDescent="0.35">
      <c r="A592" s="78"/>
      <c r="B592" s="78"/>
      <c r="C592" s="78"/>
      <c r="D592" s="70" t="s">
        <v>11482</v>
      </c>
      <c r="E592" s="77" t="s">
        <v>11483</v>
      </c>
      <c r="F592" s="83" t="s">
        <v>11484</v>
      </c>
      <c r="G592" s="73" t="s">
        <v>244</v>
      </c>
      <c r="H592" s="74" t="s">
        <v>11485</v>
      </c>
      <c r="I592" s="80" t="s">
        <v>120</v>
      </c>
      <c r="J592" s="76" t="s">
        <v>11486</v>
      </c>
      <c r="K592" s="71" t="s">
        <v>11487</v>
      </c>
    </row>
    <row r="593" spans="1:11" x14ac:dyDescent="0.35">
      <c r="A593" s="78"/>
      <c r="B593" s="78"/>
      <c r="C593" s="78"/>
      <c r="D593" s="78"/>
      <c r="E593" s="77" t="s">
        <v>11488</v>
      </c>
      <c r="F593" s="78"/>
      <c r="G593" s="9"/>
      <c r="H593" s="79"/>
      <c r="I593" s="10"/>
      <c r="J593" s="79"/>
      <c r="K593" s="71" t="s">
        <v>11489</v>
      </c>
    </row>
    <row r="594" spans="1:11" x14ac:dyDescent="0.35">
      <c r="A594" s="78"/>
      <c r="B594" s="78"/>
      <c r="C594" s="78"/>
      <c r="D594" s="70" t="s">
        <v>11490</v>
      </c>
      <c r="E594" s="77" t="s">
        <v>11491</v>
      </c>
      <c r="F594" s="83" t="s">
        <v>11492</v>
      </c>
      <c r="G594" s="73" t="s">
        <v>2545</v>
      </c>
      <c r="H594" s="74" t="s">
        <v>11493</v>
      </c>
      <c r="I594" s="81" t="s">
        <v>250</v>
      </c>
      <c r="J594" s="76" t="s">
        <v>11494</v>
      </c>
      <c r="K594" s="71" t="s">
        <v>11495</v>
      </c>
    </row>
    <row r="595" spans="1:11" x14ac:dyDescent="0.35">
      <c r="A595" s="78"/>
      <c r="B595" s="78"/>
      <c r="C595" s="78"/>
      <c r="D595" s="78"/>
      <c r="E595" s="77" t="s">
        <v>11496</v>
      </c>
      <c r="F595" s="78"/>
      <c r="G595" s="9"/>
      <c r="H595" s="79"/>
      <c r="I595" s="10"/>
      <c r="J595" s="79"/>
      <c r="K595" s="71" t="s">
        <v>11497</v>
      </c>
    </row>
    <row r="596" spans="1:11" x14ac:dyDescent="0.35">
      <c r="A596" s="78"/>
      <c r="B596" s="78"/>
      <c r="C596" s="78"/>
      <c r="D596" s="70" t="s">
        <v>11498</v>
      </c>
      <c r="E596" s="77" t="s">
        <v>11499</v>
      </c>
      <c r="F596" s="83" t="s">
        <v>11500</v>
      </c>
      <c r="G596" s="73" t="s">
        <v>244</v>
      </c>
      <c r="H596" s="74" t="s">
        <v>11501</v>
      </c>
      <c r="I596" s="75" t="s">
        <v>58</v>
      </c>
      <c r="J596" s="76" t="s">
        <v>11502</v>
      </c>
      <c r="K596" s="71" t="s">
        <v>11503</v>
      </c>
    </row>
    <row r="597" spans="1:11" x14ac:dyDescent="0.35">
      <c r="A597" s="78"/>
      <c r="B597" s="78"/>
      <c r="C597" s="78"/>
      <c r="D597" s="78"/>
      <c r="E597" s="77" t="s">
        <v>11504</v>
      </c>
      <c r="F597" s="78"/>
      <c r="G597" s="9"/>
      <c r="H597" s="79"/>
      <c r="I597" s="10"/>
      <c r="J597" s="79"/>
      <c r="K597" s="71" t="s">
        <v>11505</v>
      </c>
    </row>
    <row r="598" spans="1:11" x14ac:dyDescent="0.35">
      <c r="A598" s="78"/>
      <c r="B598" s="78"/>
      <c r="C598" s="78"/>
      <c r="D598" s="70" t="s">
        <v>11506</v>
      </c>
      <c r="E598" s="77" t="s">
        <v>11507</v>
      </c>
      <c r="F598" s="83" t="s">
        <v>11508</v>
      </c>
      <c r="G598" s="73" t="s">
        <v>244</v>
      </c>
      <c r="H598" s="74" t="s">
        <v>11509</v>
      </c>
      <c r="I598" s="81" t="s">
        <v>250</v>
      </c>
      <c r="J598" s="76" t="s">
        <v>11510</v>
      </c>
      <c r="K598" s="71" t="s">
        <v>11511</v>
      </c>
    </row>
    <row r="599" spans="1:11" x14ac:dyDescent="0.35">
      <c r="A599" s="78"/>
      <c r="B599" s="78"/>
      <c r="C599" s="78"/>
      <c r="D599" s="78"/>
      <c r="E599" s="77" t="s">
        <v>11512</v>
      </c>
      <c r="F599" s="78"/>
      <c r="G599" s="9"/>
      <c r="H599" s="79"/>
      <c r="I599" s="10"/>
      <c r="J599" s="79"/>
      <c r="K599" s="71" t="s">
        <v>11513</v>
      </c>
    </row>
    <row r="600" spans="1:11" x14ac:dyDescent="0.35">
      <c r="A600" s="78"/>
      <c r="B600" s="78"/>
      <c r="C600" s="70" t="s">
        <v>11514</v>
      </c>
      <c r="D600" s="70" t="s">
        <v>11515</v>
      </c>
      <c r="E600" s="77" t="s">
        <v>11516</v>
      </c>
      <c r="F600" s="83" t="s">
        <v>11517</v>
      </c>
      <c r="G600" s="73" t="s">
        <v>65</v>
      </c>
      <c r="H600" s="74" t="s">
        <v>11518</v>
      </c>
      <c r="I600" s="80" t="s">
        <v>120</v>
      </c>
      <c r="J600" s="76" t="s">
        <v>11519</v>
      </c>
      <c r="K600" s="71" t="s">
        <v>11520</v>
      </c>
    </row>
    <row r="601" spans="1:11" x14ac:dyDescent="0.35">
      <c r="A601" s="78"/>
      <c r="B601" s="78"/>
      <c r="C601" s="78"/>
      <c r="D601" s="78"/>
      <c r="E601" s="77" t="s">
        <v>11521</v>
      </c>
      <c r="F601" s="78"/>
      <c r="G601" s="9"/>
      <c r="H601" s="79"/>
      <c r="I601" s="10"/>
      <c r="J601" s="79"/>
      <c r="K601" s="71" t="s">
        <v>11522</v>
      </c>
    </row>
    <row r="602" spans="1:11" x14ac:dyDescent="0.35">
      <c r="A602" s="78"/>
      <c r="B602" s="78"/>
      <c r="C602" s="78"/>
      <c r="D602" s="70" t="s">
        <v>11523</v>
      </c>
      <c r="E602" s="77" t="s">
        <v>10568</v>
      </c>
      <c r="F602" s="83" t="s">
        <v>11524</v>
      </c>
      <c r="G602" s="73" t="s">
        <v>65</v>
      </c>
      <c r="H602" s="74" t="s">
        <v>11525</v>
      </c>
      <c r="I602" s="80" t="s">
        <v>120</v>
      </c>
      <c r="J602" s="76" t="s">
        <v>11526</v>
      </c>
      <c r="K602" s="71" t="s">
        <v>11527</v>
      </c>
    </row>
    <row r="603" spans="1:11" x14ac:dyDescent="0.35">
      <c r="A603" s="78"/>
      <c r="B603" s="78"/>
      <c r="C603" s="78"/>
      <c r="D603" s="78"/>
      <c r="E603" s="77" t="s">
        <v>11528</v>
      </c>
      <c r="F603" s="78"/>
      <c r="G603" s="9"/>
      <c r="H603" s="79"/>
      <c r="I603" s="10"/>
      <c r="J603" s="79"/>
      <c r="K603" s="71" t="s">
        <v>11529</v>
      </c>
    </row>
    <row r="604" spans="1:11" x14ac:dyDescent="0.35">
      <c r="A604" s="78"/>
      <c r="B604" s="78"/>
      <c r="C604" s="78"/>
      <c r="D604" s="70" t="s">
        <v>11530</v>
      </c>
      <c r="E604" s="77" t="s">
        <v>11531</v>
      </c>
      <c r="F604" s="83" t="s">
        <v>11532</v>
      </c>
      <c r="G604" s="73" t="s">
        <v>65</v>
      </c>
      <c r="H604" s="74" t="s">
        <v>11533</v>
      </c>
      <c r="I604" s="81" t="s">
        <v>250</v>
      </c>
      <c r="J604" s="76" t="s">
        <v>11534</v>
      </c>
      <c r="K604" s="71" t="s">
        <v>11535</v>
      </c>
    </row>
    <row r="605" spans="1:11" x14ac:dyDescent="0.35">
      <c r="A605" s="78"/>
      <c r="B605" s="78"/>
      <c r="C605" s="78"/>
      <c r="D605" s="78"/>
      <c r="E605" s="77" t="s">
        <v>11536</v>
      </c>
      <c r="F605" s="78"/>
      <c r="G605" s="9"/>
      <c r="H605" s="79"/>
      <c r="I605" s="10"/>
      <c r="J605" s="79"/>
      <c r="K605" s="71" t="s">
        <v>11537</v>
      </c>
    </row>
    <row r="606" spans="1:11" x14ac:dyDescent="0.35">
      <c r="A606" s="78"/>
      <c r="B606" s="78"/>
      <c r="C606" s="78"/>
      <c r="D606" s="70" t="s">
        <v>11538</v>
      </c>
      <c r="E606" s="77" t="s">
        <v>11539</v>
      </c>
      <c r="F606" s="83" t="s">
        <v>11540</v>
      </c>
      <c r="G606" s="73" t="s">
        <v>244</v>
      </c>
      <c r="H606" s="74" t="s">
        <v>11541</v>
      </c>
      <c r="I606" s="75" t="s">
        <v>58</v>
      </c>
      <c r="J606" s="76" t="s">
        <v>11542</v>
      </c>
      <c r="K606" s="71" t="s">
        <v>11543</v>
      </c>
    </row>
    <row r="607" spans="1:11" x14ac:dyDescent="0.35">
      <c r="A607" s="78"/>
      <c r="B607" s="78"/>
      <c r="C607" s="78"/>
      <c r="D607" s="78"/>
      <c r="E607" s="77" t="s">
        <v>11544</v>
      </c>
      <c r="F607" s="78"/>
      <c r="G607" s="9"/>
      <c r="H607" s="79"/>
      <c r="I607" s="10"/>
      <c r="J607" s="79"/>
      <c r="K607" s="71" t="s">
        <v>11545</v>
      </c>
    </row>
    <row r="608" spans="1:11" x14ac:dyDescent="0.35">
      <c r="A608" s="78"/>
      <c r="B608" s="78"/>
      <c r="C608" s="78"/>
      <c r="D608" s="70" t="s">
        <v>11546</v>
      </c>
      <c r="E608" s="77" t="s">
        <v>11547</v>
      </c>
      <c r="F608" s="83" t="s">
        <v>11548</v>
      </c>
      <c r="G608" s="73" t="s">
        <v>2545</v>
      </c>
      <c r="H608" s="74" t="s">
        <v>9658</v>
      </c>
      <c r="I608" s="81" t="s">
        <v>250</v>
      </c>
      <c r="J608" s="76" t="s">
        <v>11549</v>
      </c>
      <c r="K608" s="71" t="s">
        <v>11550</v>
      </c>
    </row>
    <row r="609" spans="1:11" x14ac:dyDescent="0.35">
      <c r="A609" s="78"/>
      <c r="B609" s="78"/>
      <c r="C609" s="78"/>
      <c r="D609" s="78"/>
      <c r="E609" s="77" t="s">
        <v>11551</v>
      </c>
      <c r="F609" s="78"/>
      <c r="G609" s="9"/>
      <c r="H609" s="79"/>
      <c r="I609" s="10"/>
      <c r="J609" s="79"/>
      <c r="K609" s="71" t="s">
        <v>11552</v>
      </c>
    </row>
    <row r="610" spans="1:11" x14ac:dyDescent="0.35">
      <c r="A610" s="78"/>
      <c r="B610" s="78"/>
      <c r="C610" s="70" t="s">
        <v>11553</v>
      </c>
      <c r="D610" s="70" t="s">
        <v>11554</v>
      </c>
      <c r="E610" s="77" t="s">
        <v>11555</v>
      </c>
      <c r="F610" s="83" t="s">
        <v>11556</v>
      </c>
      <c r="G610" s="73" t="s">
        <v>244</v>
      </c>
      <c r="H610" s="74" t="s">
        <v>11557</v>
      </c>
      <c r="I610" s="80" t="s">
        <v>120</v>
      </c>
      <c r="J610" s="76" t="s">
        <v>11558</v>
      </c>
      <c r="K610" s="71" t="s">
        <v>11433</v>
      </c>
    </row>
    <row r="611" spans="1:11" x14ac:dyDescent="0.35">
      <c r="A611" s="78"/>
      <c r="B611" s="78"/>
      <c r="C611" s="78"/>
      <c r="D611" s="78"/>
      <c r="E611" s="77" t="s">
        <v>10816</v>
      </c>
      <c r="F611" s="78"/>
      <c r="G611" s="9"/>
      <c r="H611" s="79"/>
      <c r="I611" s="10"/>
      <c r="J611" s="79"/>
      <c r="K611" s="71" t="s">
        <v>11435</v>
      </c>
    </row>
    <row r="612" spans="1:11" x14ac:dyDescent="0.35">
      <c r="A612" s="78"/>
      <c r="B612" s="78"/>
      <c r="C612" s="78"/>
      <c r="D612" s="70" t="s">
        <v>11559</v>
      </c>
      <c r="E612" s="77" t="s">
        <v>11560</v>
      </c>
      <c r="F612" s="83" t="s">
        <v>11561</v>
      </c>
      <c r="G612" s="73" t="s">
        <v>244</v>
      </c>
      <c r="H612" s="74" t="s">
        <v>11562</v>
      </c>
      <c r="I612" s="80" t="s">
        <v>120</v>
      </c>
      <c r="J612" s="76" t="s">
        <v>11563</v>
      </c>
      <c r="K612" s="71" t="s">
        <v>11441</v>
      </c>
    </row>
    <row r="613" spans="1:11" x14ac:dyDescent="0.35">
      <c r="A613" s="78"/>
      <c r="B613" s="78"/>
      <c r="C613" s="78"/>
      <c r="D613" s="78"/>
      <c r="E613" s="77" t="s">
        <v>11564</v>
      </c>
      <c r="F613" s="78"/>
      <c r="G613" s="9"/>
      <c r="H613" s="79"/>
      <c r="I613" s="10"/>
      <c r="J613" s="79"/>
      <c r="K613" s="71" t="s">
        <v>11443</v>
      </c>
    </row>
    <row r="614" spans="1:11" x14ac:dyDescent="0.35">
      <c r="A614" s="78"/>
      <c r="B614" s="78"/>
      <c r="C614" s="78"/>
      <c r="D614" s="70" t="s">
        <v>11565</v>
      </c>
      <c r="E614" s="77" t="s">
        <v>11566</v>
      </c>
      <c r="F614" s="83" t="s">
        <v>11567</v>
      </c>
      <c r="G614" s="73" t="s">
        <v>65</v>
      </c>
      <c r="H614" s="74" t="s">
        <v>11568</v>
      </c>
      <c r="I614" s="81" t="s">
        <v>250</v>
      </c>
      <c r="J614" s="76" t="s">
        <v>11569</v>
      </c>
      <c r="K614" s="71" t="s">
        <v>11449</v>
      </c>
    </row>
    <row r="615" spans="1:11" x14ac:dyDescent="0.35">
      <c r="A615" s="78"/>
      <c r="B615" s="78"/>
      <c r="C615" s="78"/>
      <c r="D615" s="78"/>
      <c r="E615" s="77" t="s">
        <v>11570</v>
      </c>
      <c r="F615" s="78"/>
      <c r="G615" s="9"/>
      <c r="H615" s="79"/>
      <c r="I615" s="10"/>
      <c r="J615" s="79"/>
      <c r="K615" s="71" t="s">
        <v>11451</v>
      </c>
    </row>
    <row r="616" spans="1:11" x14ac:dyDescent="0.35">
      <c r="A616" s="78"/>
      <c r="B616" s="78"/>
      <c r="C616" s="78"/>
      <c r="D616" s="70" t="s">
        <v>11571</v>
      </c>
      <c r="E616" s="77" t="s">
        <v>11572</v>
      </c>
      <c r="F616" s="83" t="s">
        <v>11573</v>
      </c>
      <c r="G616" s="73" t="s">
        <v>65</v>
      </c>
      <c r="H616" s="74" t="s">
        <v>11574</v>
      </c>
      <c r="I616" s="75" t="s">
        <v>58</v>
      </c>
      <c r="J616" s="76" t="s">
        <v>11575</v>
      </c>
      <c r="K616" s="71" t="s">
        <v>11457</v>
      </c>
    </row>
    <row r="617" spans="1:11" x14ac:dyDescent="0.35">
      <c r="A617" s="78"/>
      <c r="B617" s="78"/>
      <c r="C617" s="78"/>
      <c r="D617" s="78"/>
      <c r="E617" s="77" t="s">
        <v>11576</v>
      </c>
      <c r="F617" s="78"/>
      <c r="G617" s="9"/>
      <c r="H617" s="79"/>
      <c r="I617" s="10"/>
      <c r="J617" s="79"/>
      <c r="K617" s="71" t="s">
        <v>11459</v>
      </c>
    </row>
    <row r="618" spans="1:11" x14ac:dyDescent="0.35">
      <c r="A618" s="78"/>
      <c r="B618" s="78"/>
      <c r="C618" s="78"/>
      <c r="D618" s="70" t="s">
        <v>11577</v>
      </c>
      <c r="E618" s="77" t="s">
        <v>11578</v>
      </c>
      <c r="F618" s="83" t="s">
        <v>11579</v>
      </c>
      <c r="G618" s="73" t="s">
        <v>65</v>
      </c>
      <c r="H618" s="74" t="s">
        <v>11580</v>
      </c>
      <c r="I618" s="81" t="s">
        <v>250</v>
      </c>
      <c r="J618" s="76" t="s">
        <v>11542</v>
      </c>
      <c r="K618" s="71" t="s">
        <v>11581</v>
      </c>
    </row>
    <row r="619" spans="1:11" x14ac:dyDescent="0.35">
      <c r="A619" s="78"/>
      <c r="B619" s="78"/>
      <c r="C619" s="78"/>
      <c r="D619" s="78"/>
      <c r="E619" s="77" t="s">
        <v>11582</v>
      </c>
      <c r="F619" s="78"/>
      <c r="G619" s="9"/>
      <c r="H619" s="79"/>
      <c r="I619" s="10"/>
      <c r="J619" s="79"/>
      <c r="K619" s="71" t="s">
        <v>11583</v>
      </c>
    </row>
    <row r="620" spans="1:11" x14ac:dyDescent="0.35">
      <c r="A620" s="78"/>
      <c r="B620" s="78"/>
      <c r="C620" s="70" t="s">
        <v>11584</v>
      </c>
      <c r="D620" s="70" t="s">
        <v>11585</v>
      </c>
      <c r="E620" s="77" t="s">
        <v>11586</v>
      </c>
      <c r="F620" s="83" t="s">
        <v>11587</v>
      </c>
      <c r="G620" s="73" t="s">
        <v>244</v>
      </c>
      <c r="H620" s="74" t="s">
        <v>11588</v>
      </c>
      <c r="I620" s="80" t="s">
        <v>120</v>
      </c>
      <c r="J620" s="76" t="s">
        <v>11589</v>
      </c>
      <c r="K620" s="71" t="s">
        <v>11590</v>
      </c>
    </row>
    <row r="621" spans="1:11" x14ac:dyDescent="0.35">
      <c r="A621" s="78"/>
      <c r="B621" s="78"/>
      <c r="C621" s="78"/>
      <c r="D621" s="78"/>
      <c r="E621" s="77" t="s">
        <v>11591</v>
      </c>
      <c r="F621" s="78"/>
      <c r="G621" s="9"/>
      <c r="H621" s="79"/>
      <c r="I621" s="10"/>
      <c r="J621" s="79"/>
      <c r="K621" s="71" t="s">
        <v>11592</v>
      </c>
    </row>
    <row r="622" spans="1:11" x14ac:dyDescent="0.35">
      <c r="A622" s="78"/>
      <c r="B622" s="78"/>
      <c r="C622" s="78"/>
      <c r="D622" s="70" t="s">
        <v>11593</v>
      </c>
      <c r="E622" s="77" t="s">
        <v>11594</v>
      </c>
      <c r="F622" s="83" t="s">
        <v>11595</v>
      </c>
      <c r="G622" s="73" t="s">
        <v>2545</v>
      </c>
      <c r="H622" s="74" t="s">
        <v>11596</v>
      </c>
      <c r="I622" s="80" t="s">
        <v>120</v>
      </c>
      <c r="J622" s="76" t="s">
        <v>11597</v>
      </c>
      <c r="K622" s="71" t="s">
        <v>11598</v>
      </c>
    </row>
    <row r="623" spans="1:11" x14ac:dyDescent="0.35">
      <c r="A623" s="78"/>
      <c r="B623" s="78"/>
      <c r="C623" s="78"/>
      <c r="D623" s="78"/>
      <c r="E623" s="77" t="s">
        <v>11599</v>
      </c>
      <c r="F623" s="78"/>
      <c r="G623" s="9"/>
      <c r="H623" s="79"/>
      <c r="I623" s="10"/>
      <c r="J623" s="79"/>
      <c r="K623" s="71" t="s">
        <v>11600</v>
      </c>
    </row>
    <row r="624" spans="1:11" x14ac:dyDescent="0.35">
      <c r="A624" s="78"/>
      <c r="B624" s="78"/>
      <c r="C624" s="78"/>
      <c r="D624" s="70" t="s">
        <v>11601</v>
      </c>
      <c r="E624" s="77" t="s">
        <v>11602</v>
      </c>
      <c r="F624" s="83" t="s">
        <v>11603</v>
      </c>
      <c r="G624" s="73" t="s">
        <v>244</v>
      </c>
      <c r="H624" s="74" t="s">
        <v>11604</v>
      </c>
      <c r="I624" s="81" t="s">
        <v>250</v>
      </c>
      <c r="J624" s="76" t="s">
        <v>11605</v>
      </c>
      <c r="K624" s="71" t="s">
        <v>11473</v>
      </c>
    </row>
    <row r="625" spans="1:11" x14ac:dyDescent="0.35">
      <c r="A625" s="78"/>
      <c r="B625" s="78"/>
      <c r="C625" s="78"/>
      <c r="D625" s="78"/>
      <c r="E625" s="77" t="s">
        <v>10356</v>
      </c>
      <c r="F625" s="78"/>
      <c r="G625" s="9"/>
      <c r="H625" s="79"/>
      <c r="I625" s="10"/>
      <c r="J625" s="79"/>
      <c r="K625" s="71" t="s">
        <v>11475</v>
      </c>
    </row>
    <row r="626" spans="1:11" x14ac:dyDescent="0.35">
      <c r="A626" s="78"/>
      <c r="B626" s="78"/>
      <c r="C626" s="78"/>
      <c r="D626" s="70" t="s">
        <v>11606</v>
      </c>
      <c r="E626" s="77" t="s">
        <v>11607</v>
      </c>
      <c r="F626" s="83" t="s">
        <v>11608</v>
      </c>
      <c r="G626" s="73" t="s">
        <v>244</v>
      </c>
      <c r="H626" s="74" t="s">
        <v>11609</v>
      </c>
      <c r="I626" s="75" t="s">
        <v>58</v>
      </c>
      <c r="J626" s="76" t="s">
        <v>11610</v>
      </c>
      <c r="K626" s="71" t="s">
        <v>11311</v>
      </c>
    </row>
    <row r="627" spans="1:11" x14ac:dyDescent="0.35">
      <c r="A627" s="78"/>
      <c r="B627" s="78"/>
      <c r="C627" s="78"/>
      <c r="D627" s="78"/>
      <c r="E627" s="77" t="s">
        <v>11611</v>
      </c>
      <c r="F627" s="78"/>
      <c r="G627" s="9"/>
      <c r="H627" s="79"/>
      <c r="I627" s="10"/>
      <c r="J627" s="79"/>
      <c r="K627" s="71" t="s">
        <v>11313</v>
      </c>
    </row>
    <row r="628" spans="1:11" x14ac:dyDescent="0.35">
      <c r="A628" s="78"/>
      <c r="B628" s="78"/>
      <c r="C628" s="78"/>
      <c r="D628" s="70" t="s">
        <v>11612</v>
      </c>
      <c r="E628" s="77" t="s">
        <v>11613</v>
      </c>
      <c r="F628" s="83" t="s">
        <v>11614</v>
      </c>
      <c r="G628" s="73" t="s">
        <v>65</v>
      </c>
      <c r="H628" s="74" t="s">
        <v>11615</v>
      </c>
      <c r="I628" s="81" t="s">
        <v>250</v>
      </c>
      <c r="J628" s="76" t="s">
        <v>11616</v>
      </c>
      <c r="K628" s="71" t="s">
        <v>11487</v>
      </c>
    </row>
    <row r="629" spans="1:11" x14ac:dyDescent="0.35">
      <c r="A629" s="78"/>
      <c r="B629" s="78"/>
      <c r="C629" s="78"/>
      <c r="D629" s="78"/>
      <c r="E629" s="77" t="s">
        <v>11617</v>
      </c>
      <c r="F629" s="78"/>
      <c r="G629" s="9"/>
      <c r="H629" s="79"/>
      <c r="I629" s="10"/>
      <c r="J629" s="79"/>
      <c r="K629" s="71" t="s">
        <v>11489</v>
      </c>
    </row>
    <row r="630" spans="1:11" x14ac:dyDescent="0.35">
      <c r="A630" s="78"/>
      <c r="B630" s="78"/>
      <c r="C630" s="70" t="s">
        <v>11618</v>
      </c>
      <c r="D630" s="70" t="s">
        <v>11619</v>
      </c>
      <c r="E630" s="77" t="s">
        <v>11620</v>
      </c>
      <c r="F630" s="83" t="s">
        <v>11621</v>
      </c>
      <c r="G630" s="73" t="s">
        <v>65</v>
      </c>
      <c r="H630" s="74" t="s">
        <v>11622</v>
      </c>
      <c r="I630" s="80" t="s">
        <v>120</v>
      </c>
      <c r="J630" s="76" t="s">
        <v>11623</v>
      </c>
      <c r="K630" s="71" t="s">
        <v>11495</v>
      </c>
    </row>
    <row r="631" spans="1:11" x14ac:dyDescent="0.35">
      <c r="A631" s="78"/>
      <c r="B631" s="78"/>
      <c r="C631" s="78"/>
      <c r="D631" s="78"/>
      <c r="E631" s="77" t="s">
        <v>11576</v>
      </c>
      <c r="F631" s="78"/>
      <c r="G631" s="9"/>
      <c r="H631" s="79"/>
      <c r="I631" s="10"/>
      <c r="J631" s="79"/>
      <c r="K631" s="71" t="s">
        <v>11497</v>
      </c>
    </row>
    <row r="632" spans="1:11" x14ac:dyDescent="0.35">
      <c r="A632" s="78"/>
      <c r="B632" s="78"/>
      <c r="C632" s="78"/>
      <c r="D632" s="70" t="s">
        <v>11624</v>
      </c>
      <c r="E632" s="77" t="s">
        <v>11625</v>
      </c>
      <c r="F632" s="83" t="s">
        <v>11626</v>
      </c>
      <c r="G632" s="73" t="s">
        <v>65</v>
      </c>
      <c r="H632" s="74" t="s">
        <v>11627</v>
      </c>
      <c r="I632" s="80" t="s">
        <v>120</v>
      </c>
      <c r="J632" s="76" t="s">
        <v>11628</v>
      </c>
      <c r="K632" s="71" t="s">
        <v>11503</v>
      </c>
    </row>
    <row r="633" spans="1:11" x14ac:dyDescent="0.35">
      <c r="A633" s="78"/>
      <c r="B633" s="78"/>
      <c r="C633" s="78"/>
      <c r="D633" s="78"/>
      <c r="E633" s="77" t="s">
        <v>11629</v>
      </c>
      <c r="F633" s="78"/>
      <c r="G633" s="9"/>
      <c r="H633" s="79"/>
      <c r="I633" s="10"/>
      <c r="J633" s="79"/>
      <c r="K633" s="71" t="s">
        <v>11505</v>
      </c>
    </row>
    <row r="634" spans="1:11" x14ac:dyDescent="0.35">
      <c r="A634" s="78"/>
      <c r="B634" s="78"/>
      <c r="C634" s="78"/>
      <c r="D634" s="70" t="s">
        <v>11630</v>
      </c>
      <c r="E634" s="77" t="s">
        <v>11630</v>
      </c>
      <c r="F634" s="83" t="s">
        <v>11631</v>
      </c>
      <c r="G634" s="73" t="s">
        <v>244</v>
      </c>
      <c r="H634" s="74" t="s">
        <v>11632</v>
      </c>
      <c r="I634" s="81" t="s">
        <v>250</v>
      </c>
      <c r="J634" s="76" t="s">
        <v>11633</v>
      </c>
      <c r="K634" s="71" t="s">
        <v>11511</v>
      </c>
    </row>
    <row r="635" spans="1:11" x14ac:dyDescent="0.35">
      <c r="A635" s="78"/>
      <c r="B635" s="78"/>
      <c r="C635" s="78"/>
      <c r="D635" s="78"/>
      <c r="E635" s="77" t="s">
        <v>11634</v>
      </c>
      <c r="F635" s="78"/>
      <c r="G635" s="9"/>
      <c r="H635" s="79"/>
      <c r="I635" s="10"/>
      <c r="J635" s="79"/>
      <c r="K635" s="71" t="s">
        <v>11513</v>
      </c>
    </row>
    <row r="636" spans="1:11" x14ac:dyDescent="0.35">
      <c r="A636" s="78"/>
      <c r="B636" s="78"/>
      <c r="C636" s="78"/>
      <c r="D636" s="70" t="s">
        <v>11635</v>
      </c>
      <c r="E636" s="77" t="s">
        <v>11636</v>
      </c>
      <c r="F636" s="83" t="s">
        <v>11637</v>
      </c>
      <c r="G636" s="73" t="s">
        <v>2545</v>
      </c>
      <c r="H636" s="74" t="s">
        <v>11638</v>
      </c>
      <c r="I636" s="75" t="s">
        <v>58</v>
      </c>
      <c r="J636" s="76" t="s">
        <v>11639</v>
      </c>
      <c r="K636" s="71" t="s">
        <v>11520</v>
      </c>
    </row>
    <row r="637" spans="1:11" x14ac:dyDescent="0.35">
      <c r="A637" s="78"/>
      <c r="B637" s="78"/>
      <c r="C637" s="78"/>
      <c r="D637" s="78"/>
      <c r="E637" s="77" t="s">
        <v>11640</v>
      </c>
      <c r="F637" s="78"/>
      <c r="G637" s="9"/>
      <c r="H637" s="79"/>
      <c r="I637" s="10"/>
      <c r="J637" s="79"/>
      <c r="K637" s="71" t="s">
        <v>11522</v>
      </c>
    </row>
    <row r="638" spans="1:11" x14ac:dyDescent="0.35">
      <c r="A638" s="78"/>
      <c r="B638" s="78"/>
      <c r="C638" s="78"/>
      <c r="D638" s="70" t="s">
        <v>11641</v>
      </c>
      <c r="E638" s="77" t="s">
        <v>11642</v>
      </c>
      <c r="F638" s="83" t="s">
        <v>11643</v>
      </c>
      <c r="G638" s="73" t="s">
        <v>244</v>
      </c>
      <c r="H638" s="74" t="s">
        <v>11225</v>
      </c>
      <c r="I638" s="81" t="s">
        <v>250</v>
      </c>
      <c r="J638" s="76" t="s">
        <v>11644</v>
      </c>
      <c r="K638" s="71" t="s">
        <v>11527</v>
      </c>
    </row>
    <row r="639" spans="1:11" x14ac:dyDescent="0.35">
      <c r="A639" s="78"/>
      <c r="B639" s="78"/>
      <c r="C639" s="78"/>
      <c r="D639" s="78"/>
      <c r="E639" s="77" t="s">
        <v>11645</v>
      </c>
      <c r="F639" s="78"/>
      <c r="G639" s="9"/>
      <c r="H639" s="79"/>
      <c r="I639" s="10"/>
      <c r="J639" s="79"/>
      <c r="K639" s="71" t="s">
        <v>11529</v>
      </c>
    </row>
    <row r="640" spans="1:11" x14ac:dyDescent="0.35">
      <c r="A640" s="78"/>
      <c r="B640" s="69" t="s">
        <v>2</v>
      </c>
      <c r="C640" s="70" t="s">
        <v>11646</v>
      </c>
      <c r="D640" s="70" t="s">
        <v>11647</v>
      </c>
      <c r="E640" s="77" t="s">
        <v>11648</v>
      </c>
      <c r="F640" s="83" t="s">
        <v>11649</v>
      </c>
      <c r="G640" s="73" t="s">
        <v>244</v>
      </c>
      <c r="H640" s="74" t="s">
        <v>11650</v>
      </c>
      <c r="I640" s="80" t="s">
        <v>120</v>
      </c>
      <c r="J640" s="76" t="s">
        <v>11651</v>
      </c>
      <c r="K640" s="71" t="s">
        <v>11535</v>
      </c>
    </row>
    <row r="641" spans="1:11" x14ac:dyDescent="0.35">
      <c r="A641" s="78"/>
      <c r="B641" s="78"/>
      <c r="C641" s="78"/>
      <c r="D641" s="78"/>
      <c r="E641" s="77" t="s">
        <v>11652</v>
      </c>
      <c r="F641" s="78"/>
      <c r="G641" s="9"/>
      <c r="H641" s="79"/>
      <c r="I641" s="10"/>
      <c r="J641" s="79"/>
      <c r="K641" s="71" t="s">
        <v>11537</v>
      </c>
    </row>
    <row r="642" spans="1:11" x14ac:dyDescent="0.35">
      <c r="A642" s="78"/>
      <c r="B642" s="78"/>
      <c r="C642" s="78"/>
      <c r="D642" s="70" t="s">
        <v>11653</v>
      </c>
      <c r="E642" s="77" t="s">
        <v>11654</v>
      </c>
      <c r="F642" s="83" t="s">
        <v>11655</v>
      </c>
      <c r="G642" s="73" t="s">
        <v>65</v>
      </c>
      <c r="H642" s="74" t="s">
        <v>11656</v>
      </c>
      <c r="I642" s="80" t="s">
        <v>120</v>
      </c>
      <c r="J642" s="76" t="s">
        <v>11657</v>
      </c>
      <c r="K642" s="71" t="s">
        <v>11543</v>
      </c>
    </row>
    <row r="643" spans="1:11" x14ac:dyDescent="0.35">
      <c r="A643" s="78"/>
      <c r="B643" s="78"/>
      <c r="C643" s="78"/>
      <c r="D643" s="78"/>
      <c r="E643" s="77" t="s">
        <v>11658</v>
      </c>
      <c r="F643" s="78"/>
      <c r="G643" s="9"/>
      <c r="H643" s="79"/>
      <c r="I643" s="10"/>
      <c r="J643" s="79"/>
      <c r="K643" s="71" t="s">
        <v>11545</v>
      </c>
    </row>
    <row r="644" spans="1:11" x14ac:dyDescent="0.35">
      <c r="A644" s="78"/>
      <c r="B644" s="78"/>
      <c r="C644" s="78"/>
      <c r="D644" s="70" t="s">
        <v>11659</v>
      </c>
      <c r="E644" s="77" t="s">
        <v>11660</v>
      </c>
      <c r="F644" s="83" t="s">
        <v>11661</v>
      </c>
      <c r="G644" s="73" t="s">
        <v>65</v>
      </c>
      <c r="H644" s="74" t="s">
        <v>11662</v>
      </c>
      <c r="I644" s="81" t="s">
        <v>250</v>
      </c>
      <c r="J644" s="76" t="s">
        <v>11663</v>
      </c>
      <c r="K644" s="71" t="s">
        <v>11550</v>
      </c>
    </row>
    <row r="645" spans="1:11" x14ac:dyDescent="0.35">
      <c r="A645" s="78"/>
      <c r="B645" s="78"/>
      <c r="C645" s="78"/>
      <c r="D645" s="78"/>
      <c r="E645" s="77" t="s">
        <v>11664</v>
      </c>
      <c r="F645" s="78"/>
      <c r="G645" s="9"/>
      <c r="H645" s="79"/>
      <c r="I645" s="10"/>
      <c r="J645" s="79"/>
      <c r="K645" s="71" t="s">
        <v>11552</v>
      </c>
    </row>
    <row r="646" spans="1:11" x14ac:dyDescent="0.35">
      <c r="A646" s="78"/>
      <c r="B646" s="78"/>
      <c r="C646" s="78"/>
      <c r="D646" s="70" t="s">
        <v>11665</v>
      </c>
      <c r="E646" s="77" t="s">
        <v>11666</v>
      </c>
      <c r="F646" s="83" t="s">
        <v>11667</v>
      </c>
      <c r="G646" s="73" t="s">
        <v>65</v>
      </c>
      <c r="H646" s="74" t="s">
        <v>11668</v>
      </c>
      <c r="I646" s="75" t="s">
        <v>58</v>
      </c>
      <c r="J646" s="76" t="s">
        <v>11669</v>
      </c>
      <c r="K646" s="71" t="s">
        <v>11257</v>
      </c>
    </row>
    <row r="647" spans="1:11" x14ac:dyDescent="0.35">
      <c r="A647" s="78"/>
      <c r="B647" s="78"/>
      <c r="C647" s="78"/>
      <c r="D647" s="78"/>
      <c r="E647" s="77" t="s">
        <v>11670</v>
      </c>
      <c r="F647" s="78"/>
      <c r="G647" s="9"/>
      <c r="H647" s="79"/>
      <c r="I647" s="10"/>
      <c r="J647" s="79"/>
      <c r="K647" s="71" t="s">
        <v>11258</v>
      </c>
    </row>
    <row r="648" spans="1:11" x14ac:dyDescent="0.35">
      <c r="A648" s="78"/>
      <c r="B648" s="78"/>
      <c r="C648" s="78"/>
      <c r="D648" s="70" t="s">
        <v>11671</v>
      </c>
      <c r="E648" s="77" t="s">
        <v>11672</v>
      </c>
      <c r="F648" s="83" t="s">
        <v>11673</v>
      </c>
      <c r="G648" s="73" t="s">
        <v>244</v>
      </c>
      <c r="H648" s="74" t="s">
        <v>11674</v>
      </c>
      <c r="I648" s="81" t="s">
        <v>250</v>
      </c>
      <c r="J648" s="76" t="s">
        <v>11675</v>
      </c>
      <c r="K648" s="71" t="s">
        <v>11676</v>
      </c>
    </row>
    <row r="649" spans="1:11" x14ac:dyDescent="0.35">
      <c r="A649" s="78"/>
      <c r="B649" s="78"/>
      <c r="C649" s="78"/>
      <c r="D649" s="78"/>
      <c r="E649" s="77" t="s">
        <v>11677</v>
      </c>
      <c r="F649" s="78"/>
      <c r="G649" s="9"/>
      <c r="H649" s="79"/>
      <c r="I649" s="10"/>
      <c r="J649" s="79"/>
      <c r="K649" s="71" t="s">
        <v>11678</v>
      </c>
    </row>
    <row r="650" spans="1:11" x14ac:dyDescent="0.35">
      <c r="A650" s="78"/>
      <c r="B650" s="78"/>
      <c r="C650" s="70" t="s">
        <v>11679</v>
      </c>
      <c r="D650" s="70" t="s">
        <v>11680</v>
      </c>
      <c r="E650" s="77" t="s">
        <v>11681</v>
      </c>
      <c r="F650" s="83" t="s">
        <v>11682</v>
      </c>
      <c r="G650" s="73" t="s">
        <v>2545</v>
      </c>
      <c r="H650" s="74" t="s">
        <v>11683</v>
      </c>
      <c r="I650" s="80" t="s">
        <v>120</v>
      </c>
      <c r="J650" s="76" t="s">
        <v>11684</v>
      </c>
      <c r="K650" s="71" t="s">
        <v>11685</v>
      </c>
    </row>
    <row r="651" spans="1:11" x14ac:dyDescent="0.35">
      <c r="A651" s="78"/>
      <c r="B651" s="78"/>
      <c r="C651" s="78"/>
      <c r="D651" s="78"/>
      <c r="E651" s="77" t="s">
        <v>11686</v>
      </c>
      <c r="F651" s="78"/>
      <c r="G651" s="9"/>
      <c r="H651" s="79"/>
      <c r="I651" s="10"/>
      <c r="J651" s="79"/>
      <c r="K651" s="71" t="s">
        <v>11687</v>
      </c>
    </row>
    <row r="652" spans="1:11" x14ac:dyDescent="0.35">
      <c r="A652" s="78"/>
      <c r="B652" s="78"/>
      <c r="C652" s="78"/>
      <c r="D652" s="70" t="s">
        <v>11688</v>
      </c>
      <c r="E652" s="77" t="s">
        <v>11689</v>
      </c>
      <c r="F652" s="83" t="s">
        <v>11690</v>
      </c>
      <c r="G652" s="73" t="s">
        <v>244</v>
      </c>
      <c r="H652" s="74" t="s">
        <v>11691</v>
      </c>
      <c r="I652" s="80" t="s">
        <v>120</v>
      </c>
      <c r="J652" s="76" t="s">
        <v>11692</v>
      </c>
      <c r="K652" s="71" t="s">
        <v>11693</v>
      </c>
    </row>
    <row r="653" spans="1:11" x14ac:dyDescent="0.35">
      <c r="A653" s="78"/>
      <c r="B653" s="78"/>
      <c r="C653" s="78"/>
      <c r="D653" s="78"/>
      <c r="E653" s="77" t="s">
        <v>11694</v>
      </c>
      <c r="F653" s="78"/>
      <c r="G653" s="9"/>
      <c r="H653" s="79"/>
      <c r="I653" s="10"/>
      <c r="J653" s="79"/>
      <c r="K653" s="71" t="s">
        <v>11695</v>
      </c>
    </row>
    <row r="654" spans="1:11" x14ac:dyDescent="0.35">
      <c r="A654" s="78"/>
      <c r="B654" s="78"/>
      <c r="C654" s="78"/>
      <c r="D654" s="70" t="s">
        <v>11696</v>
      </c>
      <c r="E654" s="77" t="s">
        <v>11697</v>
      </c>
      <c r="F654" s="83" t="s">
        <v>11698</v>
      </c>
      <c r="G654" s="73" t="s">
        <v>244</v>
      </c>
      <c r="H654" s="74" t="s">
        <v>11699</v>
      </c>
      <c r="I654" s="81" t="s">
        <v>250</v>
      </c>
      <c r="J654" s="76" t="s">
        <v>11700</v>
      </c>
      <c r="K654" s="71" t="s">
        <v>11701</v>
      </c>
    </row>
    <row r="655" spans="1:11" x14ac:dyDescent="0.35">
      <c r="A655" s="78"/>
      <c r="B655" s="78"/>
      <c r="C655" s="78"/>
      <c r="D655" s="78"/>
      <c r="E655" s="77" t="s">
        <v>11702</v>
      </c>
      <c r="F655" s="78"/>
      <c r="G655" s="9"/>
      <c r="H655" s="79"/>
      <c r="I655" s="10"/>
      <c r="J655" s="79"/>
      <c r="K655" s="71" t="s">
        <v>11703</v>
      </c>
    </row>
    <row r="656" spans="1:11" x14ac:dyDescent="0.35">
      <c r="A656" s="78"/>
      <c r="B656" s="78"/>
      <c r="C656" s="78"/>
      <c r="D656" s="70" t="s">
        <v>11704</v>
      </c>
      <c r="E656" s="77" t="s">
        <v>11705</v>
      </c>
      <c r="F656" s="83" t="s">
        <v>11706</v>
      </c>
      <c r="G656" s="73" t="s">
        <v>65</v>
      </c>
      <c r="H656" s="74" t="s">
        <v>11225</v>
      </c>
      <c r="I656" s="75" t="s">
        <v>58</v>
      </c>
      <c r="J656" s="76" t="s">
        <v>11707</v>
      </c>
      <c r="K656" s="71" t="s">
        <v>11708</v>
      </c>
    </row>
    <row r="657" spans="1:11" x14ac:dyDescent="0.35">
      <c r="A657" s="78"/>
      <c r="B657" s="78"/>
      <c r="C657" s="78"/>
      <c r="D657" s="78"/>
      <c r="E657" s="77" t="s">
        <v>11709</v>
      </c>
      <c r="F657" s="78"/>
      <c r="G657" s="9"/>
      <c r="H657" s="79"/>
      <c r="I657" s="10"/>
      <c r="J657" s="79"/>
      <c r="K657" s="71" t="s">
        <v>11710</v>
      </c>
    </row>
    <row r="658" spans="1:11" x14ac:dyDescent="0.35">
      <c r="A658" s="78"/>
      <c r="B658" s="78"/>
      <c r="C658" s="78"/>
      <c r="D658" s="70" t="s">
        <v>11711</v>
      </c>
      <c r="E658" s="77" t="s">
        <v>11712</v>
      </c>
      <c r="F658" s="83" t="s">
        <v>11713</v>
      </c>
      <c r="G658" s="73" t="s">
        <v>65</v>
      </c>
      <c r="H658" s="74" t="s">
        <v>11714</v>
      </c>
      <c r="I658" s="81" t="s">
        <v>250</v>
      </c>
      <c r="J658" s="76" t="s">
        <v>11715</v>
      </c>
      <c r="K658" s="71" t="s">
        <v>11716</v>
      </c>
    </row>
    <row r="659" spans="1:11" x14ac:dyDescent="0.35">
      <c r="A659" s="78"/>
      <c r="B659" s="78"/>
      <c r="C659" s="78"/>
      <c r="D659" s="78"/>
      <c r="E659" s="77" t="s">
        <v>11717</v>
      </c>
      <c r="F659" s="78"/>
      <c r="G659" s="9"/>
      <c r="H659" s="79"/>
      <c r="I659" s="10"/>
      <c r="J659" s="79"/>
      <c r="K659" s="71" t="s">
        <v>11718</v>
      </c>
    </row>
    <row r="660" spans="1:11" x14ac:dyDescent="0.35">
      <c r="A660" s="78"/>
      <c r="B660" s="78"/>
      <c r="C660" s="70" t="s">
        <v>11719</v>
      </c>
      <c r="D660" s="70" t="s">
        <v>11720</v>
      </c>
      <c r="E660" s="77" t="s">
        <v>11721</v>
      </c>
      <c r="F660" s="83" t="s">
        <v>11722</v>
      </c>
      <c r="G660" s="73" t="s">
        <v>65</v>
      </c>
      <c r="H660" s="74" t="s">
        <v>11723</v>
      </c>
      <c r="I660" s="80" t="s">
        <v>120</v>
      </c>
      <c r="J660" s="76" t="s">
        <v>11724</v>
      </c>
      <c r="K660" s="71" t="s">
        <v>11725</v>
      </c>
    </row>
    <row r="661" spans="1:11" x14ac:dyDescent="0.35">
      <c r="A661" s="78"/>
      <c r="B661" s="78"/>
      <c r="C661" s="78"/>
      <c r="D661" s="78"/>
      <c r="E661" s="77" t="s">
        <v>11726</v>
      </c>
      <c r="F661" s="78"/>
      <c r="G661" s="9"/>
      <c r="H661" s="79"/>
      <c r="I661" s="10"/>
      <c r="J661" s="79"/>
      <c r="K661" s="71" t="s">
        <v>11727</v>
      </c>
    </row>
    <row r="662" spans="1:11" x14ac:dyDescent="0.35">
      <c r="A662" s="78"/>
      <c r="B662" s="78"/>
      <c r="C662" s="78"/>
      <c r="D662" s="70" t="s">
        <v>11728</v>
      </c>
      <c r="E662" s="77" t="s">
        <v>11729</v>
      </c>
      <c r="F662" s="83" t="s">
        <v>11728</v>
      </c>
      <c r="G662" s="73" t="s">
        <v>244</v>
      </c>
      <c r="H662" s="74" t="s">
        <v>11730</v>
      </c>
      <c r="I662" s="80" t="s">
        <v>120</v>
      </c>
      <c r="J662" s="76" t="s">
        <v>11731</v>
      </c>
      <c r="K662" s="71" t="s">
        <v>11732</v>
      </c>
    </row>
    <row r="663" spans="1:11" x14ac:dyDescent="0.35">
      <c r="A663" s="78"/>
      <c r="B663" s="78"/>
      <c r="C663" s="78"/>
      <c r="D663" s="78"/>
      <c r="E663" s="77" t="s">
        <v>11733</v>
      </c>
      <c r="F663" s="78"/>
      <c r="G663" s="9"/>
      <c r="H663" s="79"/>
      <c r="I663" s="10"/>
      <c r="J663" s="79"/>
      <c r="K663" s="71" t="s">
        <v>11734</v>
      </c>
    </row>
    <row r="664" spans="1:11" x14ac:dyDescent="0.35">
      <c r="A664" s="78"/>
      <c r="B664" s="78"/>
      <c r="C664" s="78"/>
      <c r="D664" s="70" t="s">
        <v>11735</v>
      </c>
      <c r="E664" s="77" t="s">
        <v>11736</v>
      </c>
      <c r="F664" s="83" t="s">
        <v>11737</v>
      </c>
      <c r="G664" s="73" t="s">
        <v>2545</v>
      </c>
      <c r="H664" s="74" t="s">
        <v>11738</v>
      </c>
      <c r="I664" s="81" t="s">
        <v>250</v>
      </c>
      <c r="J664" s="76" t="s">
        <v>11739</v>
      </c>
      <c r="K664" s="71" t="s">
        <v>11740</v>
      </c>
    </row>
    <row r="665" spans="1:11" x14ac:dyDescent="0.35">
      <c r="A665" s="78"/>
      <c r="B665" s="78"/>
      <c r="C665" s="78"/>
      <c r="D665" s="78"/>
      <c r="E665" s="77" t="s">
        <v>11741</v>
      </c>
      <c r="F665" s="78"/>
      <c r="G665" s="9"/>
      <c r="H665" s="79"/>
      <c r="I665" s="10"/>
      <c r="J665" s="79"/>
      <c r="K665" s="71" t="s">
        <v>11742</v>
      </c>
    </row>
    <row r="666" spans="1:11" x14ac:dyDescent="0.35">
      <c r="A666" s="78"/>
      <c r="B666" s="78"/>
      <c r="C666" s="78"/>
      <c r="D666" s="70" t="s">
        <v>11743</v>
      </c>
      <c r="E666" s="77" t="s">
        <v>11744</v>
      </c>
      <c r="F666" s="83" t="s">
        <v>11745</v>
      </c>
      <c r="G666" s="73" t="s">
        <v>244</v>
      </c>
      <c r="H666" s="74" t="s">
        <v>11746</v>
      </c>
      <c r="I666" s="75" t="s">
        <v>58</v>
      </c>
      <c r="J666" s="76" t="s">
        <v>11747</v>
      </c>
      <c r="K666" s="71" t="s">
        <v>11748</v>
      </c>
    </row>
    <row r="667" spans="1:11" x14ac:dyDescent="0.35">
      <c r="A667" s="78"/>
      <c r="B667" s="78"/>
      <c r="C667" s="78"/>
      <c r="D667" s="78"/>
      <c r="E667" s="77" t="s">
        <v>11749</v>
      </c>
      <c r="F667" s="78"/>
      <c r="G667" s="9"/>
      <c r="H667" s="79"/>
      <c r="I667" s="10"/>
      <c r="J667" s="79"/>
      <c r="K667" s="71" t="s">
        <v>11727</v>
      </c>
    </row>
    <row r="668" spans="1:11" x14ac:dyDescent="0.35">
      <c r="A668" s="78"/>
      <c r="B668" s="78"/>
      <c r="C668" s="78"/>
      <c r="D668" s="70" t="s">
        <v>11750</v>
      </c>
      <c r="E668" s="77" t="s">
        <v>11751</v>
      </c>
      <c r="F668" s="83" t="s">
        <v>11752</v>
      </c>
      <c r="G668" s="73" t="s">
        <v>244</v>
      </c>
      <c r="H668" s="74" t="s">
        <v>11753</v>
      </c>
      <c r="I668" s="81" t="s">
        <v>250</v>
      </c>
      <c r="J668" s="76" t="s">
        <v>11754</v>
      </c>
      <c r="K668" s="71" t="s">
        <v>11732</v>
      </c>
    </row>
    <row r="669" spans="1:11" x14ac:dyDescent="0.35">
      <c r="A669" s="78"/>
      <c r="B669" s="78"/>
      <c r="C669" s="78"/>
      <c r="D669" s="78"/>
      <c r="E669" s="77" t="s">
        <v>11755</v>
      </c>
      <c r="F669" s="78"/>
      <c r="G669" s="9"/>
      <c r="H669" s="79"/>
      <c r="I669" s="10"/>
      <c r="J669" s="79"/>
      <c r="K669" s="71" t="s">
        <v>11734</v>
      </c>
    </row>
    <row r="670" spans="1:11" x14ac:dyDescent="0.35">
      <c r="A670" s="78"/>
      <c r="B670" s="78"/>
      <c r="C670" s="70" t="s">
        <v>11756</v>
      </c>
      <c r="D670" s="70" t="s">
        <v>11757</v>
      </c>
      <c r="E670" s="77" t="s">
        <v>11758</v>
      </c>
      <c r="F670" s="83" t="s">
        <v>11759</v>
      </c>
      <c r="G670" s="73" t="s">
        <v>65</v>
      </c>
      <c r="H670" s="74" t="s">
        <v>10758</v>
      </c>
      <c r="I670" s="80" t="s">
        <v>120</v>
      </c>
      <c r="J670" s="76" t="s">
        <v>11760</v>
      </c>
      <c r="K670" s="71" t="s">
        <v>11740</v>
      </c>
    </row>
    <row r="671" spans="1:11" x14ac:dyDescent="0.35">
      <c r="A671" s="78"/>
      <c r="B671" s="78"/>
      <c r="C671" s="78"/>
      <c r="D671" s="78"/>
      <c r="E671" s="77" t="s">
        <v>11761</v>
      </c>
      <c r="F671" s="78"/>
      <c r="G671" s="9"/>
      <c r="H671" s="79"/>
      <c r="I671" s="10"/>
      <c r="J671" s="79"/>
      <c r="K671" s="71" t="s">
        <v>11742</v>
      </c>
    </row>
    <row r="672" spans="1:11" x14ac:dyDescent="0.35">
      <c r="A672" s="78"/>
      <c r="B672" s="78"/>
      <c r="C672" s="78"/>
      <c r="D672" s="70" t="s">
        <v>11762</v>
      </c>
      <c r="E672" s="77" t="s">
        <v>11757</v>
      </c>
      <c r="F672" s="83" t="s">
        <v>11763</v>
      </c>
      <c r="G672" s="73" t="s">
        <v>65</v>
      </c>
      <c r="H672" s="74" t="s">
        <v>11764</v>
      </c>
      <c r="I672" s="80" t="s">
        <v>120</v>
      </c>
      <c r="J672" s="76" t="s">
        <v>11765</v>
      </c>
      <c r="K672" s="71" t="s">
        <v>11748</v>
      </c>
    </row>
    <row r="673" spans="1:11" x14ac:dyDescent="0.35">
      <c r="A673" s="78"/>
      <c r="B673" s="78"/>
      <c r="C673" s="78"/>
      <c r="D673" s="78"/>
      <c r="E673" s="77" t="s">
        <v>11766</v>
      </c>
      <c r="F673" s="78"/>
      <c r="G673" s="9"/>
      <c r="H673" s="79"/>
      <c r="I673" s="10"/>
      <c r="J673" s="79"/>
      <c r="K673" s="71" t="s">
        <v>11727</v>
      </c>
    </row>
    <row r="674" spans="1:11" x14ac:dyDescent="0.35">
      <c r="A674" s="78"/>
      <c r="B674" s="78"/>
      <c r="C674" s="78"/>
      <c r="D674" s="70" t="s">
        <v>11767</v>
      </c>
      <c r="E674" s="77" t="s">
        <v>11768</v>
      </c>
      <c r="F674" s="83" t="s">
        <v>11769</v>
      </c>
      <c r="G674" s="73" t="s">
        <v>65</v>
      </c>
      <c r="H674" s="74" t="s">
        <v>11770</v>
      </c>
      <c r="I674" s="81" t="s">
        <v>250</v>
      </c>
      <c r="J674" s="76" t="s">
        <v>11771</v>
      </c>
      <c r="K674" s="71" t="s">
        <v>11732</v>
      </c>
    </row>
    <row r="675" spans="1:11" x14ac:dyDescent="0.35">
      <c r="A675" s="78"/>
      <c r="B675" s="78"/>
      <c r="C675" s="78"/>
      <c r="D675" s="78"/>
      <c r="E675" s="77" t="s">
        <v>11772</v>
      </c>
      <c r="F675" s="78"/>
      <c r="G675" s="9"/>
      <c r="H675" s="79"/>
      <c r="I675" s="10"/>
      <c r="J675" s="79"/>
      <c r="K675" s="71" t="s">
        <v>11734</v>
      </c>
    </row>
    <row r="676" spans="1:11" x14ac:dyDescent="0.35">
      <c r="A676" s="78"/>
      <c r="B676" s="78"/>
      <c r="C676" s="78"/>
      <c r="D676" s="70" t="s">
        <v>11773</v>
      </c>
      <c r="E676" s="77" t="s">
        <v>11774</v>
      </c>
      <c r="F676" s="83" t="s">
        <v>11775</v>
      </c>
      <c r="G676" s="73" t="s">
        <v>244</v>
      </c>
      <c r="H676" s="74" t="s">
        <v>11776</v>
      </c>
      <c r="I676" s="75" t="s">
        <v>58</v>
      </c>
      <c r="J676" s="76" t="s">
        <v>11777</v>
      </c>
      <c r="K676" s="71" t="s">
        <v>11740</v>
      </c>
    </row>
    <row r="677" spans="1:11" x14ac:dyDescent="0.35">
      <c r="A677" s="78"/>
      <c r="B677" s="78"/>
      <c r="C677" s="78"/>
      <c r="D677" s="78"/>
      <c r="E677" s="77" t="s">
        <v>11778</v>
      </c>
      <c r="F677" s="78"/>
      <c r="G677" s="9"/>
      <c r="H677" s="79"/>
      <c r="I677" s="10"/>
      <c r="J677" s="79"/>
      <c r="K677" s="71" t="s">
        <v>11742</v>
      </c>
    </row>
    <row r="678" spans="1:11" x14ac:dyDescent="0.35">
      <c r="A678" s="78"/>
      <c r="B678" s="78"/>
      <c r="C678" s="78"/>
      <c r="D678" s="70" t="s">
        <v>11779</v>
      </c>
      <c r="E678" s="77" t="s">
        <v>11780</v>
      </c>
      <c r="F678" s="83" t="s">
        <v>11781</v>
      </c>
      <c r="G678" s="73" t="s">
        <v>2545</v>
      </c>
      <c r="H678" s="74" t="s">
        <v>11782</v>
      </c>
      <c r="I678" s="81" t="s">
        <v>250</v>
      </c>
      <c r="J678" s="76" t="s">
        <v>11783</v>
      </c>
      <c r="K678" s="71" t="s">
        <v>11748</v>
      </c>
    </row>
    <row r="679" spans="1:11" x14ac:dyDescent="0.35">
      <c r="A679" s="78"/>
      <c r="B679" s="78"/>
      <c r="C679" s="78"/>
      <c r="D679" s="78"/>
      <c r="E679" s="77" t="s">
        <v>11029</v>
      </c>
      <c r="F679" s="78"/>
      <c r="G679" s="9"/>
      <c r="H679" s="79"/>
      <c r="I679" s="10"/>
      <c r="J679" s="79"/>
      <c r="K679" s="71" t="s">
        <v>11727</v>
      </c>
    </row>
    <row r="680" spans="1:11" x14ac:dyDescent="0.35">
      <c r="A680" s="78"/>
      <c r="B680" s="78"/>
      <c r="C680" s="70" t="s">
        <v>11784</v>
      </c>
      <c r="D680" s="70" t="s">
        <v>11785</v>
      </c>
      <c r="E680" s="77" t="s">
        <v>11779</v>
      </c>
      <c r="F680" s="83" t="s">
        <v>11786</v>
      </c>
      <c r="G680" s="73" t="s">
        <v>244</v>
      </c>
      <c r="H680" s="74" t="s">
        <v>11787</v>
      </c>
      <c r="I680" s="80" t="s">
        <v>120</v>
      </c>
      <c r="J680" s="76" t="s">
        <v>11788</v>
      </c>
      <c r="K680" s="71" t="s">
        <v>11732</v>
      </c>
    </row>
    <row r="681" spans="1:11" x14ac:dyDescent="0.35">
      <c r="A681" s="78"/>
      <c r="B681" s="78"/>
      <c r="C681" s="78"/>
      <c r="D681" s="78"/>
      <c r="E681" s="77" t="s">
        <v>11789</v>
      </c>
      <c r="F681" s="78"/>
      <c r="G681" s="9"/>
      <c r="H681" s="79"/>
      <c r="I681" s="10"/>
      <c r="J681" s="79"/>
      <c r="K681" s="71" t="s">
        <v>11734</v>
      </c>
    </row>
    <row r="682" spans="1:11" x14ac:dyDescent="0.35">
      <c r="A682" s="78"/>
      <c r="B682" s="78"/>
      <c r="C682" s="78"/>
      <c r="D682" s="70" t="s">
        <v>11790</v>
      </c>
      <c r="E682" s="77" t="s">
        <v>11785</v>
      </c>
      <c r="F682" s="83" t="s">
        <v>11791</v>
      </c>
      <c r="G682" s="73" t="s">
        <v>244</v>
      </c>
      <c r="H682" s="74" t="s">
        <v>10829</v>
      </c>
      <c r="I682" s="80" t="s">
        <v>120</v>
      </c>
      <c r="J682" s="76" t="s">
        <v>11792</v>
      </c>
      <c r="K682" s="71" t="s">
        <v>11740</v>
      </c>
    </row>
    <row r="683" spans="1:11" x14ac:dyDescent="0.35">
      <c r="A683" s="78"/>
      <c r="B683" s="78"/>
      <c r="C683" s="78"/>
      <c r="D683" s="78"/>
      <c r="E683" s="77" t="s">
        <v>11793</v>
      </c>
      <c r="F683" s="78"/>
      <c r="G683" s="9"/>
      <c r="H683" s="79"/>
      <c r="I683" s="10"/>
      <c r="J683" s="79"/>
      <c r="K683" s="71" t="s">
        <v>11742</v>
      </c>
    </row>
    <row r="684" spans="1:11" x14ac:dyDescent="0.35">
      <c r="A684" s="78"/>
      <c r="B684" s="78"/>
      <c r="C684" s="78"/>
      <c r="D684" s="70" t="s">
        <v>11794</v>
      </c>
      <c r="E684" s="77" t="s">
        <v>11795</v>
      </c>
      <c r="F684" s="83" t="s">
        <v>11796</v>
      </c>
      <c r="G684" s="73" t="s">
        <v>65</v>
      </c>
      <c r="H684" s="74" t="s">
        <v>11797</v>
      </c>
      <c r="I684" s="81" t="s">
        <v>250</v>
      </c>
      <c r="J684" s="76" t="s">
        <v>11798</v>
      </c>
      <c r="K684" s="71" t="s">
        <v>11748</v>
      </c>
    </row>
    <row r="685" spans="1:11" x14ac:dyDescent="0.35">
      <c r="A685" s="78"/>
      <c r="B685" s="78"/>
      <c r="C685" s="78"/>
      <c r="D685" s="78"/>
      <c r="E685" s="77" t="s">
        <v>11799</v>
      </c>
      <c r="F685" s="78"/>
      <c r="G685" s="9"/>
      <c r="H685" s="79"/>
      <c r="I685" s="10"/>
      <c r="J685" s="79"/>
      <c r="K685" s="71" t="s">
        <v>11727</v>
      </c>
    </row>
    <row r="686" spans="1:11" x14ac:dyDescent="0.35">
      <c r="A686" s="78"/>
      <c r="B686" s="78"/>
      <c r="C686" s="78"/>
      <c r="D686" s="70" t="s">
        <v>11800</v>
      </c>
      <c r="E686" s="77" t="s">
        <v>11794</v>
      </c>
      <c r="F686" s="83" t="s">
        <v>11801</v>
      </c>
      <c r="G686" s="73" t="s">
        <v>65</v>
      </c>
      <c r="H686" s="74" t="s">
        <v>11379</v>
      </c>
      <c r="I686" s="75" t="s">
        <v>58</v>
      </c>
      <c r="J686" s="76" t="s">
        <v>11802</v>
      </c>
      <c r="K686" s="71" t="s">
        <v>11732</v>
      </c>
    </row>
    <row r="687" spans="1:11" x14ac:dyDescent="0.35">
      <c r="A687" s="78"/>
      <c r="B687" s="78"/>
      <c r="C687" s="78"/>
      <c r="D687" s="78"/>
      <c r="E687" s="77" t="s">
        <v>11803</v>
      </c>
      <c r="F687" s="78"/>
      <c r="G687" s="9"/>
      <c r="H687" s="79"/>
      <c r="I687" s="10"/>
      <c r="J687" s="79"/>
      <c r="K687" s="71" t="s">
        <v>11734</v>
      </c>
    </row>
    <row r="688" spans="1:11" x14ac:dyDescent="0.35">
      <c r="A688" s="78"/>
      <c r="B688" s="78"/>
      <c r="C688" s="78"/>
      <c r="D688" s="70" t="s">
        <v>11804</v>
      </c>
      <c r="E688" s="77" t="s">
        <v>11805</v>
      </c>
      <c r="F688" s="83" t="s">
        <v>11806</v>
      </c>
      <c r="G688" s="73" t="s">
        <v>65</v>
      </c>
      <c r="H688" s="74" t="s">
        <v>11807</v>
      </c>
      <c r="I688" s="81" t="s">
        <v>250</v>
      </c>
      <c r="J688" s="76" t="s">
        <v>11808</v>
      </c>
      <c r="K688" s="71" t="s">
        <v>11740</v>
      </c>
    </row>
    <row r="689" spans="1:11" x14ac:dyDescent="0.35">
      <c r="A689" s="78"/>
      <c r="B689" s="78"/>
      <c r="C689" s="78"/>
      <c r="D689" s="78"/>
      <c r="E689" s="77" t="s">
        <v>11809</v>
      </c>
      <c r="F689" s="78"/>
      <c r="G689" s="9"/>
      <c r="H689" s="79"/>
      <c r="I689" s="10"/>
      <c r="J689" s="79"/>
      <c r="K689" s="71" t="s">
        <v>11742</v>
      </c>
    </row>
    <row r="690" spans="1:11" x14ac:dyDescent="0.35">
      <c r="A690" s="78"/>
      <c r="B690" s="78"/>
      <c r="C690" s="70" t="s">
        <v>11810</v>
      </c>
      <c r="D690" s="70" t="s">
        <v>11811</v>
      </c>
      <c r="E690" s="77" t="s">
        <v>11812</v>
      </c>
      <c r="F690" s="83" t="s">
        <v>11813</v>
      </c>
      <c r="G690" s="73" t="s">
        <v>244</v>
      </c>
      <c r="H690" s="74" t="s">
        <v>11814</v>
      </c>
      <c r="I690" s="80" t="s">
        <v>120</v>
      </c>
      <c r="J690" s="76" t="s">
        <v>11815</v>
      </c>
      <c r="K690" s="71" t="s">
        <v>11816</v>
      </c>
    </row>
    <row r="691" spans="1:11" x14ac:dyDescent="0.35">
      <c r="A691" s="78"/>
      <c r="B691" s="78"/>
      <c r="C691" s="78"/>
      <c r="D691" s="78"/>
      <c r="E691" s="77" t="s">
        <v>11817</v>
      </c>
      <c r="F691" s="78"/>
      <c r="G691" s="9"/>
      <c r="H691" s="79"/>
      <c r="I691" s="10"/>
      <c r="J691" s="79"/>
      <c r="K691" s="71" t="s">
        <v>11818</v>
      </c>
    </row>
    <row r="692" spans="1:11" x14ac:dyDescent="0.35">
      <c r="A692" s="78"/>
      <c r="B692" s="78"/>
      <c r="C692" s="78"/>
      <c r="D692" s="70" t="s">
        <v>11819</v>
      </c>
      <c r="E692" s="77" t="s">
        <v>11820</v>
      </c>
      <c r="F692" s="83" t="s">
        <v>11821</v>
      </c>
      <c r="G692" s="73" t="s">
        <v>2545</v>
      </c>
      <c r="H692" s="74" t="s">
        <v>11822</v>
      </c>
      <c r="I692" s="80" t="s">
        <v>120</v>
      </c>
      <c r="J692" s="76" t="s">
        <v>11823</v>
      </c>
      <c r="K692" s="71" t="s">
        <v>11824</v>
      </c>
    </row>
    <row r="693" spans="1:11" x14ac:dyDescent="0.35">
      <c r="A693" s="78"/>
      <c r="B693" s="78"/>
      <c r="C693" s="78"/>
      <c r="D693" s="78"/>
      <c r="E693" s="77" t="s">
        <v>11825</v>
      </c>
      <c r="F693" s="78"/>
      <c r="G693" s="9"/>
      <c r="H693" s="79"/>
      <c r="I693" s="10"/>
      <c r="J693" s="79"/>
      <c r="K693" s="71" t="s">
        <v>11826</v>
      </c>
    </row>
    <row r="694" spans="1:11" x14ac:dyDescent="0.35">
      <c r="A694" s="78"/>
      <c r="B694" s="78"/>
      <c r="C694" s="78"/>
      <c r="D694" s="70" t="s">
        <v>11827</v>
      </c>
      <c r="E694" s="77" t="s">
        <v>11828</v>
      </c>
      <c r="F694" s="83" t="s">
        <v>11829</v>
      </c>
      <c r="G694" s="73" t="s">
        <v>244</v>
      </c>
      <c r="H694" s="74" t="s">
        <v>11830</v>
      </c>
      <c r="I694" s="81" t="s">
        <v>250</v>
      </c>
      <c r="J694" s="76" t="s">
        <v>11831</v>
      </c>
      <c r="K694" s="71" t="s">
        <v>11832</v>
      </c>
    </row>
    <row r="695" spans="1:11" x14ac:dyDescent="0.35">
      <c r="A695" s="78"/>
      <c r="B695" s="78"/>
      <c r="C695" s="78"/>
      <c r="D695" s="78"/>
      <c r="E695" s="77" t="s">
        <v>11833</v>
      </c>
      <c r="F695" s="78"/>
      <c r="G695" s="9"/>
      <c r="H695" s="79"/>
      <c r="I695" s="10"/>
      <c r="J695" s="79"/>
      <c r="K695" s="71" t="s">
        <v>11834</v>
      </c>
    </row>
    <row r="696" spans="1:11" x14ac:dyDescent="0.35">
      <c r="A696" s="78"/>
      <c r="B696" s="78"/>
      <c r="C696" s="78"/>
      <c r="D696" s="70" t="s">
        <v>11835</v>
      </c>
      <c r="E696" s="77" t="s">
        <v>11836</v>
      </c>
      <c r="F696" s="83" t="s">
        <v>11837</v>
      </c>
      <c r="G696" s="73" t="s">
        <v>244</v>
      </c>
      <c r="H696" s="74" t="s">
        <v>11838</v>
      </c>
      <c r="I696" s="75" t="s">
        <v>58</v>
      </c>
      <c r="J696" s="76" t="s">
        <v>11839</v>
      </c>
      <c r="K696" s="71" t="s">
        <v>11840</v>
      </c>
    </row>
    <row r="697" spans="1:11" x14ac:dyDescent="0.35">
      <c r="A697" s="78"/>
      <c r="B697" s="78"/>
      <c r="C697" s="78"/>
      <c r="D697" s="78"/>
      <c r="E697" s="77" t="s">
        <v>2449</v>
      </c>
      <c r="F697" s="78"/>
      <c r="G697" s="9"/>
      <c r="H697" s="79"/>
      <c r="I697" s="10"/>
      <c r="J697" s="79"/>
      <c r="K697" s="71" t="s">
        <v>11841</v>
      </c>
    </row>
    <row r="698" spans="1:11" x14ac:dyDescent="0.35">
      <c r="A698" s="78"/>
      <c r="B698" s="78"/>
      <c r="C698" s="78"/>
      <c r="D698" s="70" t="s">
        <v>11842</v>
      </c>
      <c r="E698" s="77" t="s">
        <v>11843</v>
      </c>
      <c r="F698" s="83" t="s">
        <v>11844</v>
      </c>
      <c r="G698" s="73" t="s">
        <v>65</v>
      </c>
      <c r="H698" s="74" t="s">
        <v>11845</v>
      </c>
      <c r="I698" s="81" t="s">
        <v>250</v>
      </c>
      <c r="J698" s="76" t="s">
        <v>11846</v>
      </c>
      <c r="K698" s="71" t="s">
        <v>11847</v>
      </c>
    </row>
    <row r="699" spans="1:11" x14ac:dyDescent="0.35">
      <c r="A699" s="78"/>
      <c r="B699" s="78"/>
      <c r="C699" s="78"/>
      <c r="D699" s="78"/>
      <c r="E699" s="77" t="s">
        <v>11848</v>
      </c>
      <c r="F699" s="78"/>
      <c r="G699" s="9"/>
      <c r="H699" s="79"/>
      <c r="I699" s="10"/>
      <c r="J699" s="79"/>
      <c r="K699" s="71" t="s">
        <v>11849</v>
      </c>
    </row>
    <row r="700" spans="1:11" x14ac:dyDescent="0.35">
      <c r="A700" s="78"/>
      <c r="B700" s="69" t="s">
        <v>3</v>
      </c>
      <c r="C700" s="70" t="s">
        <v>26</v>
      </c>
      <c r="D700" s="70" t="s">
        <v>11850</v>
      </c>
      <c r="E700" s="77" t="s">
        <v>11851</v>
      </c>
      <c r="F700" s="83" t="s">
        <v>11852</v>
      </c>
      <c r="G700" s="73" t="s">
        <v>65</v>
      </c>
      <c r="H700" s="74" t="s">
        <v>11853</v>
      </c>
      <c r="I700" s="80" t="s">
        <v>120</v>
      </c>
      <c r="J700" s="76" t="s">
        <v>11854</v>
      </c>
      <c r="K700" s="71" t="s">
        <v>11855</v>
      </c>
    </row>
    <row r="701" spans="1:11" x14ac:dyDescent="0.35">
      <c r="A701" s="78"/>
      <c r="B701" s="78"/>
      <c r="C701" s="78"/>
      <c r="D701" s="78"/>
      <c r="E701" s="77" t="s">
        <v>11856</v>
      </c>
      <c r="F701" s="78"/>
      <c r="G701" s="9"/>
      <c r="H701" s="79"/>
      <c r="I701" s="10"/>
      <c r="J701" s="79"/>
      <c r="K701" s="71" t="s">
        <v>11857</v>
      </c>
    </row>
    <row r="702" spans="1:11" x14ac:dyDescent="0.35">
      <c r="A702" s="78"/>
      <c r="B702" s="78"/>
      <c r="C702" s="78"/>
      <c r="D702" s="70" t="s">
        <v>11858</v>
      </c>
      <c r="E702" s="77" t="s">
        <v>11859</v>
      </c>
      <c r="F702" s="83" t="s">
        <v>11860</v>
      </c>
      <c r="G702" s="73" t="s">
        <v>65</v>
      </c>
      <c r="H702" s="74" t="s">
        <v>11861</v>
      </c>
      <c r="I702" s="80" t="s">
        <v>120</v>
      </c>
      <c r="J702" s="76" t="s">
        <v>11862</v>
      </c>
      <c r="K702" s="71" t="s">
        <v>11863</v>
      </c>
    </row>
    <row r="703" spans="1:11" x14ac:dyDescent="0.35">
      <c r="A703" s="78"/>
      <c r="B703" s="78"/>
      <c r="C703" s="78"/>
      <c r="D703" s="78"/>
      <c r="E703" s="77" t="s">
        <v>11864</v>
      </c>
      <c r="F703" s="78"/>
      <c r="G703" s="9"/>
      <c r="H703" s="79"/>
      <c r="I703" s="10"/>
      <c r="J703" s="79"/>
      <c r="K703" s="71" t="s">
        <v>11865</v>
      </c>
    </row>
    <row r="704" spans="1:11" x14ac:dyDescent="0.35">
      <c r="A704" s="78"/>
      <c r="B704" s="78"/>
      <c r="C704" s="78"/>
      <c r="D704" s="70" t="s">
        <v>11866</v>
      </c>
      <c r="E704" s="77" t="s">
        <v>11867</v>
      </c>
      <c r="F704" s="83" t="s">
        <v>11868</v>
      </c>
      <c r="G704" s="73" t="s">
        <v>244</v>
      </c>
      <c r="H704" s="74" t="s">
        <v>11869</v>
      </c>
      <c r="I704" s="81" t="s">
        <v>250</v>
      </c>
      <c r="J704" s="76" t="s">
        <v>11870</v>
      </c>
      <c r="K704" s="71" t="s">
        <v>11871</v>
      </c>
    </row>
    <row r="705" spans="1:11" x14ac:dyDescent="0.35">
      <c r="A705" s="78"/>
      <c r="B705" s="78"/>
      <c r="C705" s="78"/>
      <c r="D705" s="78"/>
      <c r="E705" s="77" t="s">
        <v>11872</v>
      </c>
      <c r="F705" s="78"/>
      <c r="G705" s="9"/>
      <c r="H705" s="79"/>
      <c r="I705" s="10"/>
      <c r="J705" s="79"/>
      <c r="K705" s="71" t="s">
        <v>11873</v>
      </c>
    </row>
    <row r="706" spans="1:11" x14ac:dyDescent="0.35">
      <c r="A706" s="78"/>
      <c r="B706" s="78"/>
      <c r="C706" s="78"/>
      <c r="D706" s="70" t="s">
        <v>11874</v>
      </c>
      <c r="E706" s="77" t="s">
        <v>11875</v>
      </c>
      <c r="F706" s="83" t="s">
        <v>11876</v>
      </c>
      <c r="G706" s="73" t="s">
        <v>2545</v>
      </c>
      <c r="H706" s="74" t="s">
        <v>11877</v>
      </c>
      <c r="I706" s="75" t="s">
        <v>58</v>
      </c>
      <c r="J706" s="76" t="s">
        <v>11878</v>
      </c>
      <c r="K706" s="71" t="s">
        <v>11879</v>
      </c>
    </row>
    <row r="707" spans="1:11" x14ac:dyDescent="0.35">
      <c r="A707" s="78"/>
      <c r="B707" s="78"/>
      <c r="C707" s="78"/>
      <c r="D707" s="78"/>
      <c r="E707" s="77" t="s">
        <v>11880</v>
      </c>
      <c r="F707" s="78"/>
      <c r="G707" s="9"/>
      <c r="H707" s="79"/>
      <c r="I707" s="10"/>
      <c r="J707" s="79"/>
      <c r="K707" s="71" t="s">
        <v>11881</v>
      </c>
    </row>
    <row r="708" spans="1:11" x14ac:dyDescent="0.35">
      <c r="A708" s="78"/>
      <c r="B708" s="78"/>
      <c r="C708" s="78"/>
      <c r="D708" s="70" t="s">
        <v>11882</v>
      </c>
      <c r="E708" s="77" t="s">
        <v>11883</v>
      </c>
      <c r="F708" s="83" t="s">
        <v>11884</v>
      </c>
      <c r="G708" s="73" t="s">
        <v>244</v>
      </c>
      <c r="H708" s="74" t="s">
        <v>11807</v>
      </c>
      <c r="I708" s="81" t="s">
        <v>250</v>
      </c>
      <c r="J708" s="76" t="s">
        <v>11885</v>
      </c>
      <c r="K708" s="71" t="s">
        <v>11886</v>
      </c>
    </row>
    <row r="709" spans="1:11" x14ac:dyDescent="0.35">
      <c r="A709" s="78"/>
      <c r="B709" s="78"/>
      <c r="C709" s="78"/>
      <c r="D709" s="78"/>
      <c r="E709" s="77" t="s">
        <v>11887</v>
      </c>
      <c r="F709" s="78"/>
      <c r="G709" s="9"/>
      <c r="H709" s="79"/>
      <c r="I709" s="10"/>
      <c r="J709" s="79"/>
      <c r="K709" s="71" t="s">
        <v>11888</v>
      </c>
    </row>
    <row r="710" spans="1:11" x14ac:dyDescent="0.35">
      <c r="A710" s="78"/>
      <c r="B710" s="78"/>
      <c r="C710" s="70" t="s">
        <v>11889</v>
      </c>
      <c r="D710" s="70" t="s">
        <v>11890</v>
      </c>
      <c r="E710" s="77" t="s">
        <v>11891</v>
      </c>
      <c r="F710" s="83" t="s">
        <v>11892</v>
      </c>
      <c r="G710" s="73" t="s">
        <v>244</v>
      </c>
      <c r="H710" s="74" t="s">
        <v>11893</v>
      </c>
      <c r="I710" s="80" t="s">
        <v>120</v>
      </c>
      <c r="J710" s="76" t="s">
        <v>11894</v>
      </c>
      <c r="K710" s="71" t="s">
        <v>11895</v>
      </c>
    </row>
    <row r="711" spans="1:11" x14ac:dyDescent="0.35">
      <c r="A711" s="78"/>
      <c r="B711" s="78"/>
      <c r="C711" s="78"/>
      <c r="D711" s="78"/>
      <c r="E711" s="77" t="s">
        <v>11896</v>
      </c>
      <c r="F711" s="78"/>
      <c r="G711" s="9"/>
      <c r="H711" s="79"/>
      <c r="I711" s="10"/>
      <c r="J711" s="79"/>
      <c r="K711" s="71" t="s">
        <v>11897</v>
      </c>
    </row>
    <row r="712" spans="1:11" x14ac:dyDescent="0.35">
      <c r="A712" s="78"/>
      <c r="B712" s="78"/>
      <c r="C712" s="78"/>
      <c r="D712" s="70" t="s">
        <v>11898</v>
      </c>
      <c r="E712" s="77" t="s">
        <v>11899</v>
      </c>
      <c r="F712" s="83" t="s">
        <v>11900</v>
      </c>
      <c r="G712" s="73" t="s">
        <v>65</v>
      </c>
      <c r="H712" s="74" t="s">
        <v>11901</v>
      </c>
      <c r="I712" s="80" t="s">
        <v>120</v>
      </c>
      <c r="J712" s="76" t="s">
        <v>11902</v>
      </c>
      <c r="K712" s="71" t="s">
        <v>11903</v>
      </c>
    </row>
    <row r="713" spans="1:11" x14ac:dyDescent="0.35">
      <c r="A713" s="78"/>
      <c r="B713" s="78"/>
      <c r="C713" s="78"/>
      <c r="D713" s="78"/>
      <c r="E713" s="77" t="s">
        <v>11904</v>
      </c>
      <c r="F713" s="78"/>
      <c r="G713" s="9"/>
      <c r="H713" s="79"/>
      <c r="I713" s="10"/>
      <c r="J713" s="79"/>
      <c r="K713" s="71" t="s">
        <v>11905</v>
      </c>
    </row>
    <row r="714" spans="1:11" x14ac:dyDescent="0.35">
      <c r="A714" s="78"/>
      <c r="B714" s="78"/>
      <c r="C714" s="78"/>
      <c r="D714" s="70" t="s">
        <v>11906</v>
      </c>
      <c r="E714" s="77" t="s">
        <v>11906</v>
      </c>
      <c r="F714" s="83" t="s">
        <v>11907</v>
      </c>
      <c r="G714" s="73" t="s">
        <v>65</v>
      </c>
      <c r="H714" s="74" t="s">
        <v>11908</v>
      </c>
      <c r="I714" s="81" t="s">
        <v>250</v>
      </c>
      <c r="J714" s="76" t="s">
        <v>11909</v>
      </c>
      <c r="K714" s="71" t="s">
        <v>11910</v>
      </c>
    </row>
    <row r="715" spans="1:11" x14ac:dyDescent="0.35">
      <c r="A715" s="78"/>
      <c r="B715" s="78"/>
      <c r="C715" s="78"/>
      <c r="D715" s="78"/>
      <c r="E715" s="77" t="s">
        <v>11911</v>
      </c>
      <c r="F715" s="78"/>
      <c r="G715" s="9"/>
      <c r="H715" s="79"/>
      <c r="I715" s="10"/>
      <c r="J715" s="79"/>
      <c r="K715" s="71" t="s">
        <v>11912</v>
      </c>
    </row>
    <row r="716" spans="1:11" x14ac:dyDescent="0.35">
      <c r="A716" s="78"/>
      <c r="B716" s="78"/>
      <c r="C716" s="78"/>
      <c r="D716" s="70" t="s">
        <v>11913</v>
      </c>
      <c r="E716" s="77" t="s">
        <v>11914</v>
      </c>
      <c r="F716" s="83" t="s">
        <v>11915</v>
      </c>
      <c r="G716" s="73" t="s">
        <v>65</v>
      </c>
      <c r="H716" s="74" t="s">
        <v>11797</v>
      </c>
      <c r="I716" s="75" t="s">
        <v>58</v>
      </c>
      <c r="J716" s="76" t="s">
        <v>11916</v>
      </c>
      <c r="K716" s="71" t="s">
        <v>11917</v>
      </c>
    </row>
    <row r="717" spans="1:11" x14ac:dyDescent="0.35">
      <c r="A717" s="78"/>
      <c r="B717" s="78"/>
      <c r="C717" s="78"/>
      <c r="D717" s="78"/>
      <c r="E717" s="77" t="s">
        <v>11918</v>
      </c>
      <c r="F717" s="78"/>
      <c r="G717" s="9"/>
      <c r="H717" s="79"/>
      <c r="I717" s="10"/>
      <c r="J717" s="79"/>
      <c r="K717" s="71" t="s">
        <v>11919</v>
      </c>
    </row>
    <row r="718" spans="1:11" x14ac:dyDescent="0.35">
      <c r="A718" s="78"/>
      <c r="B718" s="78"/>
      <c r="C718" s="78"/>
      <c r="D718" s="70" t="s">
        <v>11920</v>
      </c>
      <c r="E718" s="77" t="s">
        <v>11921</v>
      </c>
      <c r="F718" s="83" t="s">
        <v>11922</v>
      </c>
      <c r="G718" s="73" t="s">
        <v>244</v>
      </c>
      <c r="H718" s="74" t="s">
        <v>11807</v>
      </c>
      <c r="I718" s="81" t="s">
        <v>250</v>
      </c>
      <c r="J718" s="76" t="s">
        <v>11923</v>
      </c>
      <c r="K718" s="71" t="s">
        <v>11598</v>
      </c>
    </row>
    <row r="719" spans="1:11" x14ac:dyDescent="0.35">
      <c r="A719" s="78"/>
      <c r="B719" s="78"/>
      <c r="C719" s="78"/>
      <c r="D719" s="78"/>
      <c r="E719" s="77" t="s">
        <v>11924</v>
      </c>
      <c r="F719" s="78"/>
      <c r="G719" s="9"/>
      <c r="H719" s="79"/>
      <c r="I719" s="10"/>
      <c r="J719" s="79"/>
      <c r="K719" s="71" t="s">
        <v>11925</v>
      </c>
    </row>
    <row r="720" spans="1:11" x14ac:dyDescent="0.35">
      <c r="A720" s="78"/>
      <c r="B720" s="78"/>
      <c r="C720" s="70" t="s">
        <v>11926</v>
      </c>
      <c r="D720" s="70" t="s">
        <v>11927</v>
      </c>
      <c r="E720" s="77" t="s">
        <v>11927</v>
      </c>
      <c r="F720" s="83" t="s">
        <v>11928</v>
      </c>
      <c r="G720" s="73" t="s">
        <v>2545</v>
      </c>
      <c r="H720" s="74" t="s">
        <v>11929</v>
      </c>
      <c r="I720" s="80" t="s">
        <v>120</v>
      </c>
      <c r="J720" s="76" t="s">
        <v>11930</v>
      </c>
      <c r="K720" s="71" t="s">
        <v>11732</v>
      </c>
    </row>
    <row r="721" spans="1:11" x14ac:dyDescent="0.35">
      <c r="A721" s="78"/>
      <c r="B721" s="78"/>
      <c r="C721" s="78"/>
      <c r="D721" s="78"/>
      <c r="E721" s="77" t="s">
        <v>11931</v>
      </c>
      <c r="F721" s="78"/>
      <c r="G721" s="9"/>
      <c r="H721" s="79"/>
      <c r="I721" s="10"/>
      <c r="J721" s="79"/>
      <c r="K721" s="71" t="s">
        <v>11932</v>
      </c>
    </row>
    <row r="722" spans="1:11" x14ac:dyDescent="0.35">
      <c r="A722" s="78"/>
      <c r="B722" s="78"/>
      <c r="C722" s="78"/>
      <c r="D722" s="70" t="s">
        <v>11933</v>
      </c>
      <c r="E722" s="77" t="s">
        <v>11934</v>
      </c>
      <c r="F722" s="83" t="s">
        <v>11935</v>
      </c>
      <c r="G722" s="73" t="s">
        <v>244</v>
      </c>
      <c r="H722" s="74" t="s">
        <v>11936</v>
      </c>
      <c r="I722" s="80" t="s">
        <v>120</v>
      </c>
      <c r="J722" s="76" t="s">
        <v>11937</v>
      </c>
      <c r="K722" s="71" t="s">
        <v>11938</v>
      </c>
    </row>
    <row r="723" spans="1:11" x14ac:dyDescent="0.35">
      <c r="A723" s="78"/>
      <c r="B723" s="78"/>
      <c r="C723" s="78"/>
      <c r="D723" s="78"/>
      <c r="E723" s="77" t="s">
        <v>11939</v>
      </c>
      <c r="F723" s="78"/>
      <c r="G723" s="9"/>
      <c r="H723" s="79"/>
      <c r="I723" s="10"/>
      <c r="J723" s="79"/>
      <c r="K723" s="71" t="s">
        <v>11940</v>
      </c>
    </row>
    <row r="724" spans="1:11" x14ac:dyDescent="0.35">
      <c r="A724" s="78"/>
      <c r="B724" s="78"/>
      <c r="C724" s="78"/>
      <c r="D724" s="70" t="s">
        <v>11941</v>
      </c>
      <c r="E724" s="77" t="s">
        <v>11942</v>
      </c>
      <c r="F724" s="83" t="s">
        <v>11943</v>
      </c>
      <c r="G724" s="73" t="s">
        <v>244</v>
      </c>
      <c r="H724" s="74" t="s">
        <v>11944</v>
      </c>
      <c r="I724" s="81" t="s">
        <v>250</v>
      </c>
      <c r="J724" s="76" t="s">
        <v>9277</v>
      </c>
      <c r="K724" s="71" t="s">
        <v>11945</v>
      </c>
    </row>
    <row r="725" spans="1:11" x14ac:dyDescent="0.35">
      <c r="A725" s="78"/>
      <c r="B725" s="78"/>
      <c r="C725" s="78"/>
      <c r="D725" s="78"/>
      <c r="E725" s="77" t="s">
        <v>11946</v>
      </c>
      <c r="F725" s="78"/>
      <c r="G725" s="9"/>
      <c r="H725" s="79"/>
      <c r="I725" s="10"/>
      <c r="J725" s="79"/>
      <c r="K725" s="71" t="s">
        <v>11947</v>
      </c>
    </row>
    <row r="726" spans="1:11" x14ac:dyDescent="0.35">
      <c r="A726" s="78"/>
      <c r="B726" s="78"/>
      <c r="C726" s="78"/>
      <c r="D726" s="70" t="s">
        <v>11948</v>
      </c>
      <c r="E726" s="77" t="s">
        <v>11949</v>
      </c>
      <c r="F726" s="83" t="s">
        <v>11950</v>
      </c>
      <c r="G726" s="73" t="s">
        <v>65</v>
      </c>
      <c r="H726" s="74" t="s">
        <v>11951</v>
      </c>
      <c r="I726" s="75" t="s">
        <v>58</v>
      </c>
      <c r="J726" s="76" t="s">
        <v>9284</v>
      </c>
      <c r="K726" s="71" t="s">
        <v>11952</v>
      </c>
    </row>
    <row r="727" spans="1:11" x14ac:dyDescent="0.35">
      <c r="A727" s="78"/>
      <c r="B727" s="78"/>
      <c r="C727" s="78"/>
      <c r="D727" s="78"/>
      <c r="E727" s="77" t="s">
        <v>11953</v>
      </c>
      <c r="F727" s="78"/>
      <c r="G727" s="9"/>
      <c r="H727" s="79"/>
      <c r="I727" s="10"/>
      <c r="J727" s="79"/>
      <c r="K727" s="71" t="s">
        <v>11954</v>
      </c>
    </row>
    <row r="728" spans="1:11" x14ac:dyDescent="0.35">
      <c r="A728" s="78"/>
      <c r="B728" s="78"/>
      <c r="C728" s="78"/>
      <c r="D728" s="70" t="s">
        <v>11955</v>
      </c>
      <c r="E728" s="77" t="s">
        <v>11956</v>
      </c>
      <c r="F728" s="83" t="s">
        <v>11957</v>
      </c>
      <c r="G728" s="73" t="s">
        <v>65</v>
      </c>
      <c r="H728" s="74" t="s">
        <v>10769</v>
      </c>
      <c r="I728" s="81" t="s">
        <v>250</v>
      </c>
      <c r="J728" s="76" t="s">
        <v>9292</v>
      </c>
      <c r="K728" s="71" t="s">
        <v>11958</v>
      </c>
    </row>
    <row r="729" spans="1:11" x14ac:dyDescent="0.35">
      <c r="A729" s="78"/>
      <c r="B729" s="78"/>
      <c r="C729" s="78"/>
      <c r="D729" s="78"/>
      <c r="E729" s="77" t="s">
        <v>11959</v>
      </c>
      <c r="F729" s="78"/>
      <c r="G729" s="9"/>
      <c r="H729" s="79"/>
      <c r="I729" s="10"/>
      <c r="J729" s="79"/>
      <c r="K729" s="71" t="s">
        <v>11960</v>
      </c>
    </row>
    <row r="730" spans="1:11" x14ac:dyDescent="0.35">
      <c r="A730" s="78"/>
      <c r="B730" s="78"/>
      <c r="C730" s="70" t="s">
        <v>11961</v>
      </c>
      <c r="D730" s="70" t="s">
        <v>11962</v>
      </c>
      <c r="E730" s="77" t="s">
        <v>11963</v>
      </c>
      <c r="F730" s="83" t="s">
        <v>11964</v>
      </c>
      <c r="G730" s="73" t="s">
        <v>65</v>
      </c>
      <c r="H730" s="74" t="s">
        <v>11965</v>
      </c>
      <c r="I730" s="80" t="s">
        <v>120</v>
      </c>
      <c r="J730" s="76" t="s">
        <v>9299</v>
      </c>
      <c r="K730" s="71" t="s">
        <v>11966</v>
      </c>
    </row>
    <row r="731" spans="1:11" x14ac:dyDescent="0.35">
      <c r="A731" s="78"/>
      <c r="B731" s="78"/>
      <c r="C731" s="78"/>
      <c r="D731" s="78"/>
      <c r="E731" s="77" t="s">
        <v>11967</v>
      </c>
      <c r="F731" s="78"/>
      <c r="G731" s="9"/>
      <c r="H731" s="79"/>
      <c r="I731" s="10"/>
      <c r="J731" s="79"/>
      <c r="K731" s="71" t="s">
        <v>11968</v>
      </c>
    </row>
    <row r="732" spans="1:11" x14ac:dyDescent="0.35">
      <c r="A732" s="78"/>
      <c r="B732" s="78"/>
      <c r="C732" s="78"/>
      <c r="D732" s="70" t="s">
        <v>11969</v>
      </c>
      <c r="E732" s="77" t="s">
        <v>11969</v>
      </c>
      <c r="F732" s="83" t="s">
        <v>11970</v>
      </c>
      <c r="G732" s="73" t="s">
        <v>244</v>
      </c>
      <c r="H732" s="74" t="s">
        <v>11971</v>
      </c>
      <c r="I732" s="80" t="s">
        <v>120</v>
      </c>
      <c r="J732" s="76" t="s">
        <v>9307</v>
      </c>
      <c r="K732" s="71" t="s">
        <v>11972</v>
      </c>
    </row>
    <row r="733" spans="1:11" x14ac:dyDescent="0.35">
      <c r="A733" s="78"/>
      <c r="B733" s="78"/>
      <c r="C733" s="78"/>
      <c r="D733" s="78"/>
      <c r="E733" s="77" t="s">
        <v>11973</v>
      </c>
      <c r="F733" s="78"/>
      <c r="G733" s="9"/>
      <c r="H733" s="79"/>
      <c r="I733" s="10"/>
      <c r="J733" s="79"/>
      <c r="K733" s="71" t="s">
        <v>11974</v>
      </c>
    </row>
    <row r="734" spans="1:11" x14ac:dyDescent="0.35">
      <c r="A734" s="78"/>
      <c r="B734" s="78"/>
      <c r="C734" s="78"/>
      <c r="D734" s="70" t="s">
        <v>11975</v>
      </c>
      <c r="E734" s="77" t="s">
        <v>11975</v>
      </c>
      <c r="F734" s="83" t="s">
        <v>11976</v>
      </c>
      <c r="G734" s="73" t="s">
        <v>2545</v>
      </c>
      <c r="H734" s="74" t="s">
        <v>11977</v>
      </c>
      <c r="I734" s="81" t="s">
        <v>250</v>
      </c>
      <c r="J734" s="76" t="s">
        <v>9315</v>
      </c>
      <c r="K734" s="71" t="s">
        <v>11978</v>
      </c>
    </row>
    <row r="735" spans="1:11" x14ac:dyDescent="0.35">
      <c r="A735" s="78"/>
      <c r="B735" s="78"/>
      <c r="C735" s="78"/>
      <c r="D735" s="78"/>
      <c r="E735" s="77" t="s">
        <v>10279</v>
      </c>
      <c r="F735" s="78"/>
      <c r="G735" s="9"/>
      <c r="H735" s="79"/>
      <c r="I735" s="10"/>
      <c r="J735" s="79"/>
      <c r="K735" s="71" t="s">
        <v>11979</v>
      </c>
    </row>
    <row r="736" spans="1:11" x14ac:dyDescent="0.35">
      <c r="A736" s="78"/>
      <c r="B736" s="78"/>
      <c r="C736" s="78"/>
      <c r="D736" s="70" t="s">
        <v>11980</v>
      </c>
      <c r="E736" s="77" t="s">
        <v>11980</v>
      </c>
      <c r="F736" s="83" t="s">
        <v>11981</v>
      </c>
      <c r="G736" s="73" t="s">
        <v>244</v>
      </c>
      <c r="H736" s="74" t="s">
        <v>11982</v>
      </c>
      <c r="I736" s="75" t="s">
        <v>58</v>
      </c>
      <c r="J736" s="76" t="s">
        <v>9323</v>
      </c>
      <c r="K736" s="71" t="s">
        <v>11983</v>
      </c>
    </row>
    <row r="737" spans="1:11" x14ac:dyDescent="0.35">
      <c r="A737" s="78"/>
      <c r="B737" s="78"/>
      <c r="C737" s="78"/>
      <c r="D737" s="78"/>
      <c r="E737" s="77" t="s">
        <v>11984</v>
      </c>
      <c r="F737" s="78"/>
      <c r="G737" s="9"/>
      <c r="H737" s="79"/>
      <c r="I737" s="10"/>
      <c r="J737" s="79"/>
      <c r="K737" s="71" t="s">
        <v>11985</v>
      </c>
    </row>
    <row r="738" spans="1:11" x14ac:dyDescent="0.35">
      <c r="A738" s="78"/>
      <c r="B738" s="78"/>
      <c r="C738" s="78"/>
      <c r="D738" s="70" t="s">
        <v>11986</v>
      </c>
      <c r="E738" s="77" t="s">
        <v>11986</v>
      </c>
      <c r="F738" s="83" t="s">
        <v>11957</v>
      </c>
      <c r="G738" s="73" t="s">
        <v>244</v>
      </c>
      <c r="H738" s="74" t="s">
        <v>10769</v>
      </c>
      <c r="I738" s="81" t="s">
        <v>250</v>
      </c>
      <c r="J738" s="76" t="s">
        <v>9330</v>
      </c>
      <c r="K738" s="71" t="s">
        <v>11987</v>
      </c>
    </row>
    <row r="739" spans="1:11" x14ac:dyDescent="0.35">
      <c r="A739" s="78"/>
      <c r="B739" s="78"/>
      <c r="C739" s="78"/>
      <c r="D739" s="78"/>
      <c r="E739" s="77" t="s">
        <v>11988</v>
      </c>
      <c r="F739" s="78"/>
      <c r="G739" s="9"/>
      <c r="H739" s="79"/>
      <c r="I739" s="10"/>
      <c r="J739" s="79"/>
      <c r="K739" s="71" t="s">
        <v>11989</v>
      </c>
    </row>
    <row r="740" spans="1:11" x14ac:dyDescent="0.35">
      <c r="A740" s="78"/>
      <c r="B740" s="78"/>
      <c r="C740" s="70" t="s">
        <v>27</v>
      </c>
      <c r="D740" s="70" t="s">
        <v>11962</v>
      </c>
      <c r="E740" s="77" t="s">
        <v>11990</v>
      </c>
      <c r="F740" s="83" t="s">
        <v>11964</v>
      </c>
      <c r="G740" s="73" t="s">
        <v>65</v>
      </c>
      <c r="H740" s="74" t="s">
        <v>11965</v>
      </c>
      <c r="I740" s="80" t="s">
        <v>120</v>
      </c>
      <c r="J740" s="76" t="s">
        <v>9337</v>
      </c>
      <c r="K740" s="71" t="s">
        <v>11991</v>
      </c>
    </row>
    <row r="741" spans="1:11" x14ac:dyDescent="0.35">
      <c r="A741" s="78"/>
      <c r="B741" s="78"/>
      <c r="C741" s="78"/>
      <c r="D741" s="78"/>
      <c r="E741" s="77" t="s">
        <v>11992</v>
      </c>
      <c r="F741" s="78"/>
      <c r="G741" s="9"/>
      <c r="H741" s="79"/>
      <c r="I741" s="10"/>
      <c r="J741" s="79"/>
      <c r="K741" s="71" t="s">
        <v>11993</v>
      </c>
    </row>
    <row r="742" spans="1:11" x14ac:dyDescent="0.35">
      <c r="A742" s="78"/>
      <c r="B742" s="78"/>
      <c r="C742" s="78"/>
      <c r="D742" s="70" t="s">
        <v>11969</v>
      </c>
      <c r="E742" s="77" t="s">
        <v>11994</v>
      </c>
      <c r="F742" s="83" t="s">
        <v>11970</v>
      </c>
      <c r="G742" s="73" t="s">
        <v>65</v>
      </c>
      <c r="H742" s="74" t="s">
        <v>11971</v>
      </c>
      <c r="I742" s="80" t="s">
        <v>120</v>
      </c>
      <c r="J742" s="76" t="s">
        <v>9344</v>
      </c>
      <c r="K742" s="71" t="s">
        <v>11995</v>
      </c>
    </row>
    <row r="743" spans="1:11" x14ac:dyDescent="0.35">
      <c r="A743" s="78"/>
      <c r="B743" s="78"/>
      <c r="C743" s="78"/>
      <c r="D743" s="78"/>
      <c r="E743" s="77" t="s">
        <v>11996</v>
      </c>
      <c r="F743" s="78"/>
      <c r="G743" s="9"/>
      <c r="H743" s="79"/>
      <c r="I743" s="10"/>
      <c r="J743" s="79"/>
      <c r="K743" s="71" t="s">
        <v>11997</v>
      </c>
    </row>
    <row r="744" spans="1:11" x14ac:dyDescent="0.35">
      <c r="A744" s="78"/>
      <c r="B744" s="78"/>
      <c r="C744" s="78"/>
      <c r="D744" s="70" t="s">
        <v>11975</v>
      </c>
      <c r="E744" s="77" t="s">
        <v>11998</v>
      </c>
      <c r="F744" s="83" t="s">
        <v>11976</v>
      </c>
      <c r="G744" s="73" t="s">
        <v>65</v>
      </c>
      <c r="H744" s="74" t="s">
        <v>11977</v>
      </c>
      <c r="I744" s="81" t="s">
        <v>250</v>
      </c>
      <c r="J744" s="76" t="s">
        <v>9352</v>
      </c>
      <c r="K744" s="71" t="s">
        <v>11999</v>
      </c>
    </row>
    <row r="745" spans="1:11" x14ac:dyDescent="0.35">
      <c r="A745" s="78"/>
      <c r="B745" s="78"/>
      <c r="C745" s="78"/>
      <c r="D745" s="78"/>
      <c r="E745" s="77" t="s">
        <v>12000</v>
      </c>
      <c r="F745" s="78"/>
      <c r="G745" s="9"/>
      <c r="H745" s="79"/>
      <c r="I745" s="10"/>
      <c r="J745" s="79"/>
      <c r="K745" s="71" t="s">
        <v>12001</v>
      </c>
    </row>
    <row r="746" spans="1:11" x14ac:dyDescent="0.35">
      <c r="A746" s="78"/>
      <c r="B746" s="78"/>
      <c r="C746" s="78"/>
      <c r="D746" s="70" t="s">
        <v>11980</v>
      </c>
      <c r="E746" s="77" t="s">
        <v>12002</v>
      </c>
      <c r="F746" s="83" t="s">
        <v>11981</v>
      </c>
      <c r="G746" s="73" t="s">
        <v>244</v>
      </c>
      <c r="H746" s="74" t="s">
        <v>11830</v>
      </c>
      <c r="I746" s="75" t="s">
        <v>58</v>
      </c>
      <c r="J746" s="76" t="s">
        <v>9358</v>
      </c>
      <c r="K746" s="71" t="s">
        <v>12003</v>
      </c>
    </row>
    <row r="747" spans="1:11" x14ac:dyDescent="0.35">
      <c r="A747" s="78"/>
      <c r="B747" s="78"/>
      <c r="C747" s="78"/>
      <c r="D747" s="78"/>
      <c r="E747" s="77" t="s">
        <v>12004</v>
      </c>
      <c r="F747" s="78"/>
      <c r="G747" s="9"/>
      <c r="H747" s="79"/>
      <c r="I747" s="10"/>
      <c r="J747" s="79"/>
      <c r="K747" s="71" t="s">
        <v>12005</v>
      </c>
    </row>
    <row r="748" spans="1:11" x14ac:dyDescent="0.35">
      <c r="A748" s="78"/>
      <c r="B748" s="78"/>
      <c r="C748" s="78"/>
      <c r="D748" s="70" t="s">
        <v>11986</v>
      </c>
      <c r="E748" s="77" t="s">
        <v>11986</v>
      </c>
      <c r="F748" s="83" t="s">
        <v>12006</v>
      </c>
      <c r="G748" s="73" t="s">
        <v>2545</v>
      </c>
      <c r="H748" s="74" t="s">
        <v>12007</v>
      </c>
      <c r="I748" s="81" t="s">
        <v>250</v>
      </c>
      <c r="J748" s="76" t="s">
        <v>9367</v>
      </c>
      <c r="K748" s="71" t="s">
        <v>12008</v>
      </c>
    </row>
    <row r="749" spans="1:11" x14ac:dyDescent="0.35">
      <c r="A749" s="78"/>
      <c r="B749" s="78"/>
      <c r="C749" s="78"/>
      <c r="D749" s="78"/>
      <c r="E749" s="77" t="s">
        <v>11988</v>
      </c>
      <c r="F749" s="78"/>
      <c r="G749" s="9"/>
      <c r="H749" s="79"/>
      <c r="I749" s="10"/>
      <c r="J749" s="79"/>
      <c r="K749" s="71" t="s">
        <v>12009</v>
      </c>
    </row>
    <row r="750" spans="1:11" x14ac:dyDescent="0.35">
      <c r="A750" s="78"/>
      <c r="B750" s="78"/>
      <c r="C750" s="70" t="s">
        <v>12010</v>
      </c>
      <c r="D750" s="70" t="s">
        <v>12011</v>
      </c>
      <c r="E750" s="77" t="s">
        <v>12011</v>
      </c>
      <c r="F750" s="83" t="s">
        <v>12012</v>
      </c>
      <c r="G750" s="73" t="s">
        <v>244</v>
      </c>
      <c r="H750" s="74" t="s">
        <v>12013</v>
      </c>
      <c r="I750" s="80" t="s">
        <v>120</v>
      </c>
      <c r="J750" s="76" t="s">
        <v>9375</v>
      </c>
      <c r="K750" s="71" t="s">
        <v>12014</v>
      </c>
    </row>
    <row r="751" spans="1:11" x14ac:dyDescent="0.35">
      <c r="A751" s="78"/>
      <c r="B751" s="78"/>
      <c r="C751" s="78"/>
      <c r="D751" s="78"/>
      <c r="E751" s="77" t="s">
        <v>12015</v>
      </c>
      <c r="F751" s="78"/>
      <c r="G751" s="9"/>
      <c r="H751" s="79"/>
      <c r="I751" s="10"/>
      <c r="J751" s="79"/>
      <c r="K751" s="71" t="s">
        <v>12016</v>
      </c>
    </row>
    <row r="752" spans="1:11" x14ac:dyDescent="0.35">
      <c r="A752" s="78"/>
      <c r="B752" s="78"/>
      <c r="C752" s="78"/>
      <c r="D752" s="70" t="s">
        <v>12017</v>
      </c>
      <c r="E752" s="77" t="s">
        <v>12017</v>
      </c>
      <c r="F752" s="83" t="s">
        <v>12018</v>
      </c>
      <c r="G752" s="73" t="s">
        <v>244</v>
      </c>
      <c r="H752" s="74" t="s">
        <v>11965</v>
      </c>
      <c r="I752" s="80" t="s">
        <v>120</v>
      </c>
      <c r="J752" s="76" t="s">
        <v>9382</v>
      </c>
      <c r="K752" s="71" t="s">
        <v>11991</v>
      </c>
    </row>
    <row r="753" spans="1:11" x14ac:dyDescent="0.35">
      <c r="A753" s="78"/>
      <c r="B753" s="78"/>
      <c r="C753" s="78"/>
      <c r="D753" s="78"/>
      <c r="E753" s="77" t="s">
        <v>12019</v>
      </c>
      <c r="F753" s="78"/>
      <c r="G753" s="9"/>
      <c r="H753" s="79"/>
      <c r="I753" s="10"/>
      <c r="J753" s="79"/>
      <c r="K753" s="71" t="s">
        <v>11993</v>
      </c>
    </row>
    <row r="754" spans="1:11" x14ac:dyDescent="0.35">
      <c r="A754" s="78"/>
      <c r="B754" s="78"/>
      <c r="C754" s="78"/>
      <c r="D754" s="70" t="s">
        <v>12020</v>
      </c>
      <c r="E754" s="77" t="s">
        <v>12020</v>
      </c>
      <c r="F754" s="83" t="s">
        <v>12021</v>
      </c>
      <c r="G754" s="73" t="s">
        <v>65</v>
      </c>
      <c r="H754" s="74" t="s">
        <v>12022</v>
      </c>
      <c r="I754" s="81" t="s">
        <v>250</v>
      </c>
      <c r="J754" s="76" t="s">
        <v>9389</v>
      </c>
      <c r="K754" s="71" t="s">
        <v>11995</v>
      </c>
    </row>
    <row r="755" spans="1:11" x14ac:dyDescent="0.35">
      <c r="A755" s="78"/>
      <c r="B755" s="78"/>
      <c r="C755" s="78"/>
      <c r="D755" s="78"/>
      <c r="E755" s="77" t="s">
        <v>12023</v>
      </c>
      <c r="F755" s="78"/>
      <c r="G755" s="9"/>
      <c r="H755" s="79"/>
      <c r="I755" s="10"/>
      <c r="J755" s="79"/>
      <c r="K755" s="71" t="s">
        <v>11997</v>
      </c>
    </row>
    <row r="756" spans="1:11" x14ac:dyDescent="0.35">
      <c r="A756" s="78"/>
      <c r="B756" s="78"/>
      <c r="C756" s="78"/>
      <c r="D756" s="70" t="s">
        <v>12024</v>
      </c>
      <c r="E756" s="77" t="s">
        <v>12024</v>
      </c>
      <c r="F756" s="83" t="s">
        <v>12025</v>
      </c>
      <c r="G756" s="73" t="s">
        <v>65</v>
      </c>
      <c r="H756" s="74" t="s">
        <v>12026</v>
      </c>
      <c r="I756" s="75" t="s">
        <v>58</v>
      </c>
      <c r="J756" s="76" t="s">
        <v>12027</v>
      </c>
      <c r="K756" s="71" t="s">
        <v>11999</v>
      </c>
    </row>
    <row r="757" spans="1:11" x14ac:dyDescent="0.35">
      <c r="A757" s="78"/>
      <c r="B757" s="78"/>
      <c r="C757" s="78"/>
      <c r="D757" s="78"/>
      <c r="E757" s="77" t="s">
        <v>12028</v>
      </c>
      <c r="F757" s="78"/>
      <c r="G757" s="9"/>
      <c r="H757" s="79"/>
      <c r="I757" s="10"/>
      <c r="J757" s="79"/>
      <c r="K757" s="71" t="s">
        <v>12001</v>
      </c>
    </row>
    <row r="758" spans="1:11" x14ac:dyDescent="0.35">
      <c r="A758" s="78"/>
      <c r="B758" s="78"/>
      <c r="C758" s="78"/>
      <c r="D758" s="70" t="s">
        <v>12029</v>
      </c>
      <c r="E758" s="77" t="s">
        <v>12029</v>
      </c>
      <c r="F758" s="83" t="s">
        <v>12030</v>
      </c>
      <c r="G758" s="73" t="s">
        <v>65</v>
      </c>
      <c r="H758" s="74" t="s">
        <v>11830</v>
      </c>
      <c r="I758" s="81" t="s">
        <v>250</v>
      </c>
      <c r="J758" s="76" t="s">
        <v>12031</v>
      </c>
      <c r="K758" s="71" t="s">
        <v>12003</v>
      </c>
    </row>
    <row r="759" spans="1:11" x14ac:dyDescent="0.35">
      <c r="A759" s="78"/>
      <c r="B759" s="78"/>
      <c r="C759" s="78"/>
      <c r="D759" s="78"/>
      <c r="E759" s="77" t="s">
        <v>12032</v>
      </c>
      <c r="F759" s="78"/>
      <c r="G759" s="9"/>
      <c r="H759" s="79"/>
      <c r="I759" s="10"/>
      <c r="J759" s="79"/>
      <c r="K759" s="71" t="s">
        <v>12005</v>
      </c>
    </row>
    <row r="760" spans="1:11" x14ac:dyDescent="0.35">
      <c r="A760" s="78"/>
      <c r="B760" s="78"/>
      <c r="C760" s="70" t="s">
        <v>12033</v>
      </c>
      <c r="D760" s="70" t="s">
        <v>12034</v>
      </c>
      <c r="E760" s="77" t="s">
        <v>12035</v>
      </c>
      <c r="F760" s="83" t="s">
        <v>12036</v>
      </c>
      <c r="G760" s="73" t="s">
        <v>244</v>
      </c>
      <c r="H760" s="74" t="s">
        <v>12037</v>
      </c>
      <c r="I760" s="80" t="s">
        <v>120</v>
      </c>
      <c r="J760" s="76" t="s">
        <v>12038</v>
      </c>
      <c r="K760" s="71" t="s">
        <v>12008</v>
      </c>
    </row>
    <row r="761" spans="1:11" x14ac:dyDescent="0.35">
      <c r="A761" s="78"/>
      <c r="B761" s="78"/>
      <c r="C761" s="78"/>
      <c r="D761" s="78"/>
      <c r="E761" s="77" t="s">
        <v>12039</v>
      </c>
      <c r="F761" s="78"/>
      <c r="G761" s="9"/>
      <c r="H761" s="79"/>
      <c r="I761" s="10"/>
      <c r="J761" s="79"/>
      <c r="K761" s="71" t="s">
        <v>12009</v>
      </c>
    </row>
    <row r="762" spans="1:11" x14ac:dyDescent="0.35">
      <c r="A762" s="78"/>
      <c r="B762" s="78"/>
      <c r="C762" s="78"/>
      <c r="D762" s="70" t="s">
        <v>12040</v>
      </c>
      <c r="E762" s="77" t="s">
        <v>12040</v>
      </c>
      <c r="F762" s="83" t="s">
        <v>12041</v>
      </c>
      <c r="G762" s="73" t="s">
        <v>2545</v>
      </c>
      <c r="H762" s="74" t="s">
        <v>12042</v>
      </c>
      <c r="I762" s="80" t="s">
        <v>120</v>
      </c>
      <c r="J762" s="76" t="s">
        <v>9746</v>
      </c>
      <c r="K762" s="71" t="s">
        <v>12014</v>
      </c>
    </row>
    <row r="763" spans="1:11" x14ac:dyDescent="0.35">
      <c r="A763" s="78"/>
      <c r="B763" s="78"/>
      <c r="C763" s="78"/>
      <c r="D763" s="78"/>
      <c r="E763" s="77" t="s">
        <v>12043</v>
      </c>
      <c r="F763" s="78"/>
      <c r="G763" s="9"/>
      <c r="H763" s="79"/>
      <c r="I763" s="10"/>
      <c r="J763" s="79"/>
      <c r="K763" s="71" t="s">
        <v>12016</v>
      </c>
    </row>
    <row r="764" spans="1:11" x14ac:dyDescent="0.35">
      <c r="A764" s="78"/>
      <c r="B764" s="78"/>
      <c r="C764" s="78"/>
      <c r="D764" s="70" t="s">
        <v>12044</v>
      </c>
      <c r="E764" s="77" t="s">
        <v>12044</v>
      </c>
      <c r="F764" s="83" t="s">
        <v>12045</v>
      </c>
      <c r="G764" s="73" t="s">
        <v>244</v>
      </c>
      <c r="H764" s="74" t="s">
        <v>12046</v>
      </c>
      <c r="I764" s="81" t="s">
        <v>250</v>
      </c>
      <c r="J764" s="76" t="s">
        <v>9754</v>
      </c>
      <c r="K764" s="71" t="s">
        <v>12047</v>
      </c>
    </row>
    <row r="765" spans="1:11" x14ac:dyDescent="0.35">
      <c r="A765" s="78"/>
      <c r="B765" s="78"/>
      <c r="C765" s="78"/>
      <c r="D765" s="78"/>
      <c r="E765" s="77" t="s">
        <v>12048</v>
      </c>
      <c r="F765" s="78"/>
      <c r="G765" s="9"/>
      <c r="H765" s="79"/>
      <c r="I765" s="10"/>
      <c r="J765" s="79"/>
      <c r="K765" s="71" t="s">
        <v>12049</v>
      </c>
    </row>
    <row r="766" spans="1:11" x14ac:dyDescent="0.35">
      <c r="A766" s="78"/>
      <c r="B766" s="78"/>
      <c r="C766" s="78"/>
      <c r="D766" s="70" t="s">
        <v>12050</v>
      </c>
      <c r="E766" s="77" t="s">
        <v>12050</v>
      </c>
      <c r="F766" s="83" t="s">
        <v>12051</v>
      </c>
      <c r="G766" s="73" t="s">
        <v>244</v>
      </c>
      <c r="H766" s="74" t="s">
        <v>11901</v>
      </c>
      <c r="I766" s="75" t="s">
        <v>58</v>
      </c>
      <c r="J766" s="76" t="s">
        <v>12052</v>
      </c>
      <c r="K766" s="71" t="s">
        <v>12053</v>
      </c>
    </row>
    <row r="767" spans="1:11" x14ac:dyDescent="0.35">
      <c r="A767" s="78"/>
      <c r="B767" s="78"/>
      <c r="C767" s="78"/>
      <c r="D767" s="78"/>
      <c r="E767" s="77" t="s">
        <v>12054</v>
      </c>
      <c r="F767" s="78"/>
      <c r="G767" s="9"/>
      <c r="H767" s="79"/>
      <c r="I767" s="10"/>
      <c r="J767" s="79"/>
      <c r="K767" s="71" t="s">
        <v>12055</v>
      </c>
    </row>
    <row r="768" spans="1:11" x14ac:dyDescent="0.35">
      <c r="A768" s="78"/>
      <c r="B768" s="78"/>
      <c r="C768" s="78"/>
      <c r="D768" s="70" t="s">
        <v>12056</v>
      </c>
      <c r="E768" s="77" t="s">
        <v>12056</v>
      </c>
      <c r="F768" s="83" t="s">
        <v>12057</v>
      </c>
      <c r="G768" s="73" t="s">
        <v>65</v>
      </c>
      <c r="H768" s="74" t="s">
        <v>12058</v>
      </c>
      <c r="I768" s="81" t="s">
        <v>250</v>
      </c>
      <c r="J768" s="76" t="s">
        <v>12059</v>
      </c>
      <c r="K768" s="71" t="s">
        <v>12060</v>
      </c>
    </row>
    <row r="769" spans="1:11" x14ac:dyDescent="0.35">
      <c r="A769" s="78"/>
      <c r="B769" s="78"/>
      <c r="C769" s="78"/>
      <c r="D769" s="78"/>
      <c r="E769" s="77" t="s">
        <v>12061</v>
      </c>
      <c r="F769" s="78"/>
      <c r="G769" s="9"/>
      <c r="H769" s="79"/>
      <c r="I769" s="10"/>
      <c r="J769" s="79"/>
      <c r="K769" s="71" t="s">
        <v>12062</v>
      </c>
    </row>
    <row r="770" spans="1:11" x14ac:dyDescent="0.35">
      <c r="A770" s="78"/>
      <c r="B770" s="78"/>
      <c r="C770" s="70" t="s">
        <v>12063</v>
      </c>
      <c r="D770" s="70" t="s">
        <v>12064</v>
      </c>
      <c r="E770" s="77" t="s">
        <v>12064</v>
      </c>
      <c r="F770" s="83" t="s">
        <v>12065</v>
      </c>
      <c r="G770" s="73" t="s">
        <v>65</v>
      </c>
      <c r="H770" s="74" t="s">
        <v>12058</v>
      </c>
      <c r="I770" s="80" t="s">
        <v>120</v>
      </c>
      <c r="J770" s="76" t="s">
        <v>12066</v>
      </c>
      <c r="K770" s="71" t="s">
        <v>12067</v>
      </c>
    </row>
    <row r="771" spans="1:11" x14ac:dyDescent="0.35">
      <c r="A771" s="78"/>
      <c r="B771" s="78"/>
      <c r="C771" s="78"/>
      <c r="D771" s="78"/>
      <c r="E771" s="77" t="s">
        <v>12068</v>
      </c>
      <c r="F771" s="78"/>
      <c r="G771" s="9"/>
      <c r="H771" s="79"/>
      <c r="I771" s="10"/>
      <c r="J771" s="79"/>
      <c r="K771" s="71" t="s">
        <v>12069</v>
      </c>
    </row>
    <row r="772" spans="1:11" x14ac:dyDescent="0.35">
      <c r="A772" s="78"/>
      <c r="B772" s="78"/>
      <c r="C772" s="78"/>
      <c r="D772" s="70" t="s">
        <v>12070</v>
      </c>
      <c r="E772" s="77" t="s">
        <v>12070</v>
      </c>
      <c r="F772" s="83" t="s">
        <v>12071</v>
      </c>
      <c r="G772" s="73" t="s">
        <v>65</v>
      </c>
      <c r="H772" s="74" t="s">
        <v>10758</v>
      </c>
      <c r="I772" s="80" t="s">
        <v>120</v>
      </c>
      <c r="J772" s="76" t="s">
        <v>9785</v>
      </c>
      <c r="K772" s="71" t="s">
        <v>12072</v>
      </c>
    </row>
    <row r="773" spans="1:11" x14ac:dyDescent="0.35">
      <c r="A773" s="78"/>
      <c r="B773" s="78"/>
      <c r="C773" s="78"/>
      <c r="D773" s="78"/>
      <c r="E773" s="77" t="s">
        <v>12073</v>
      </c>
      <c r="F773" s="78"/>
      <c r="G773" s="9"/>
      <c r="H773" s="79"/>
      <c r="I773" s="10"/>
      <c r="J773" s="79"/>
      <c r="K773" s="71" t="s">
        <v>12074</v>
      </c>
    </row>
    <row r="774" spans="1:11" x14ac:dyDescent="0.35">
      <c r="A774" s="78"/>
      <c r="B774" s="78"/>
      <c r="C774" s="78"/>
      <c r="D774" s="70" t="s">
        <v>12075</v>
      </c>
      <c r="E774" s="77" t="s">
        <v>12075</v>
      </c>
      <c r="F774" s="83" t="s">
        <v>12076</v>
      </c>
      <c r="G774" s="73" t="s">
        <v>244</v>
      </c>
      <c r="H774" s="74" t="s">
        <v>12022</v>
      </c>
      <c r="I774" s="81" t="s">
        <v>250</v>
      </c>
      <c r="J774" s="76" t="s">
        <v>9793</v>
      </c>
      <c r="K774" s="71" t="s">
        <v>12077</v>
      </c>
    </row>
    <row r="775" spans="1:11" x14ac:dyDescent="0.35">
      <c r="A775" s="78"/>
      <c r="B775" s="78"/>
      <c r="C775" s="78"/>
      <c r="D775" s="78"/>
      <c r="E775" s="77" t="s">
        <v>12078</v>
      </c>
      <c r="F775" s="78"/>
      <c r="G775" s="9"/>
      <c r="H775" s="79"/>
      <c r="I775" s="10"/>
      <c r="J775" s="79"/>
      <c r="K775" s="71" t="s">
        <v>12079</v>
      </c>
    </row>
    <row r="776" spans="1:11" x14ac:dyDescent="0.35">
      <c r="A776" s="78"/>
      <c r="B776" s="78"/>
      <c r="C776" s="78"/>
      <c r="D776" s="70" t="s">
        <v>12080</v>
      </c>
      <c r="E776" s="77" t="s">
        <v>12080</v>
      </c>
      <c r="F776" s="83" t="s">
        <v>12081</v>
      </c>
      <c r="G776" s="73" t="s">
        <v>2545</v>
      </c>
      <c r="H776" s="74" t="s">
        <v>12082</v>
      </c>
      <c r="I776" s="75" t="s">
        <v>58</v>
      </c>
      <c r="J776" s="76" t="s">
        <v>12083</v>
      </c>
      <c r="K776" s="71" t="s">
        <v>12084</v>
      </c>
    </row>
    <row r="777" spans="1:11" x14ac:dyDescent="0.35">
      <c r="A777" s="78"/>
      <c r="B777" s="78"/>
      <c r="C777" s="78"/>
      <c r="D777" s="78"/>
      <c r="E777" s="77" t="s">
        <v>12085</v>
      </c>
      <c r="F777" s="78"/>
      <c r="G777" s="9"/>
      <c r="H777" s="79"/>
      <c r="I777" s="10"/>
      <c r="J777" s="79"/>
      <c r="K777" s="71" t="s">
        <v>12086</v>
      </c>
    </row>
    <row r="778" spans="1:11" x14ac:dyDescent="0.35">
      <c r="A778" s="78"/>
      <c r="B778" s="78"/>
      <c r="C778" s="78"/>
      <c r="D778" s="70" t="s">
        <v>12087</v>
      </c>
      <c r="E778" s="77" t="s">
        <v>12087</v>
      </c>
      <c r="F778" s="83" t="s">
        <v>12088</v>
      </c>
      <c r="G778" s="73" t="s">
        <v>244</v>
      </c>
      <c r="H778" s="74" t="s">
        <v>12089</v>
      </c>
      <c r="I778" s="81" t="s">
        <v>250</v>
      </c>
      <c r="J778" s="76" t="s">
        <v>12090</v>
      </c>
      <c r="K778" s="71" t="s">
        <v>12091</v>
      </c>
    </row>
    <row r="779" spans="1:11" x14ac:dyDescent="0.35">
      <c r="A779" s="78"/>
      <c r="B779" s="78"/>
      <c r="C779" s="78"/>
      <c r="D779" s="78"/>
      <c r="E779" s="77" t="s">
        <v>12092</v>
      </c>
      <c r="F779" s="78"/>
      <c r="G779" s="9"/>
      <c r="H779" s="79"/>
      <c r="I779" s="10"/>
      <c r="J779" s="79"/>
      <c r="K779" s="71" t="s">
        <v>12093</v>
      </c>
    </row>
    <row r="780" spans="1:11" x14ac:dyDescent="0.35">
      <c r="A780" s="78"/>
      <c r="B780" s="78"/>
      <c r="C780" s="70" t="s">
        <v>28</v>
      </c>
      <c r="D780" s="70" t="s">
        <v>12094</v>
      </c>
      <c r="E780" s="77" t="s">
        <v>12094</v>
      </c>
      <c r="F780" s="83" t="s">
        <v>12095</v>
      </c>
      <c r="G780" s="73" t="s">
        <v>244</v>
      </c>
      <c r="H780" s="74" t="s">
        <v>12096</v>
      </c>
      <c r="I780" s="80" t="s">
        <v>120</v>
      </c>
      <c r="J780" s="76" t="s">
        <v>9817</v>
      </c>
      <c r="K780" s="71" t="s">
        <v>12097</v>
      </c>
    </row>
    <row r="781" spans="1:11" x14ac:dyDescent="0.35">
      <c r="A781" s="78"/>
      <c r="B781" s="78"/>
      <c r="C781" s="78"/>
      <c r="D781" s="78"/>
      <c r="E781" s="77" t="s">
        <v>12098</v>
      </c>
      <c r="F781" s="78"/>
      <c r="G781" s="9"/>
      <c r="H781" s="79"/>
      <c r="I781" s="10"/>
      <c r="J781" s="79"/>
      <c r="K781" s="71" t="s">
        <v>12099</v>
      </c>
    </row>
    <row r="782" spans="1:11" x14ac:dyDescent="0.35">
      <c r="A782" s="78"/>
      <c r="B782" s="78"/>
      <c r="C782" s="78"/>
      <c r="D782" s="70" t="s">
        <v>12100</v>
      </c>
      <c r="E782" s="77" t="s">
        <v>12100</v>
      </c>
      <c r="F782" s="83" t="s">
        <v>12101</v>
      </c>
      <c r="G782" s="73" t="s">
        <v>65</v>
      </c>
      <c r="H782" s="74" t="s">
        <v>12102</v>
      </c>
      <c r="I782" s="80" t="s">
        <v>120</v>
      </c>
      <c r="J782" s="76" t="s">
        <v>12103</v>
      </c>
      <c r="K782" s="71" t="s">
        <v>12104</v>
      </c>
    </row>
    <row r="783" spans="1:11" x14ac:dyDescent="0.35">
      <c r="A783" s="78"/>
      <c r="B783" s="78"/>
      <c r="C783" s="78"/>
      <c r="D783" s="78"/>
      <c r="E783" s="77" t="s">
        <v>12105</v>
      </c>
      <c r="F783" s="78"/>
      <c r="G783" s="9"/>
      <c r="H783" s="79"/>
      <c r="I783" s="10"/>
      <c r="J783" s="79"/>
      <c r="K783" s="71" t="s">
        <v>12016</v>
      </c>
    </row>
    <row r="784" spans="1:11" x14ac:dyDescent="0.35">
      <c r="A784" s="78"/>
      <c r="B784" s="78"/>
      <c r="C784" s="78"/>
      <c r="D784" s="70" t="s">
        <v>12106</v>
      </c>
      <c r="E784" s="77" t="s">
        <v>12106</v>
      </c>
      <c r="F784" s="83" t="s">
        <v>12107</v>
      </c>
      <c r="G784" s="73" t="s">
        <v>65</v>
      </c>
      <c r="H784" s="74" t="s">
        <v>12108</v>
      </c>
      <c r="I784" s="81" t="s">
        <v>250</v>
      </c>
      <c r="J784" s="76" t="s">
        <v>12109</v>
      </c>
      <c r="K784" s="71" t="s">
        <v>12110</v>
      </c>
    </row>
    <row r="785" spans="1:11" x14ac:dyDescent="0.35">
      <c r="A785" s="78"/>
      <c r="B785" s="78"/>
      <c r="C785" s="78"/>
      <c r="D785" s="78"/>
      <c r="E785" s="77" t="s">
        <v>12111</v>
      </c>
      <c r="F785" s="78"/>
      <c r="G785" s="9"/>
      <c r="H785" s="79"/>
      <c r="I785" s="10"/>
      <c r="J785" s="79"/>
      <c r="K785" s="71" t="s">
        <v>12112</v>
      </c>
    </row>
    <row r="786" spans="1:11" x14ac:dyDescent="0.35">
      <c r="A786" s="78"/>
      <c r="B786" s="78"/>
      <c r="C786" s="78"/>
      <c r="D786" s="70" t="s">
        <v>12113</v>
      </c>
      <c r="E786" s="77" t="s">
        <v>12113</v>
      </c>
      <c r="F786" s="83" t="s">
        <v>12114</v>
      </c>
      <c r="G786" s="73" t="s">
        <v>65</v>
      </c>
      <c r="H786" s="74" t="s">
        <v>12115</v>
      </c>
      <c r="I786" s="75" t="s">
        <v>58</v>
      </c>
      <c r="J786" s="76" t="s">
        <v>9831</v>
      </c>
      <c r="K786" s="71" t="s">
        <v>12116</v>
      </c>
    </row>
    <row r="787" spans="1:11" x14ac:dyDescent="0.35">
      <c r="A787" s="78"/>
      <c r="B787" s="78"/>
      <c r="C787" s="78"/>
      <c r="D787" s="78"/>
      <c r="E787" s="77" t="s">
        <v>12117</v>
      </c>
      <c r="F787" s="78"/>
      <c r="G787" s="9"/>
      <c r="H787" s="79"/>
      <c r="I787" s="10"/>
      <c r="J787" s="79"/>
      <c r="K787" s="71" t="s">
        <v>12118</v>
      </c>
    </row>
    <row r="788" spans="1:11" x14ac:dyDescent="0.35">
      <c r="A788" s="78"/>
      <c r="B788" s="78"/>
      <c r="C788" s="78"/>
      <c r="D788" s="70" t="s">
        <v>12119</v>
      </c>
      <c r="E788" s="77" t="s">
        <v>12119</v>
      </c>
      <c r="F788" s="72" t="s">
        <v>12120</v>
      </c>
      <c r="G788" s="73" t="s">
        <v>244</v>
      </c>
      <c r="H788" s="74" t="s">
        <v>12121</v>
      </c>
      <c r="I788" s="81" t="s">
        <v>250</v>
      </c>
      <c r="J788" s="76" t="s">
        <v>12122</v>
      </c>
      <c r="K788" s="71" t="s">
        <v>12123</v>
      </c>
    </row>
    <row r="789" spans="1:11" x14ac:dyDescent="0.35">
      <c r="A789" s="78"/>
      <c r="B789" s="78"/>
      <c r="C789" s="78"/>
      <c r="D789" s="78"/>
      <c r="E789" s="77" t="s">
        <v>12124</v>
      </c>
      <c r="F789" s="34"/>
      <c r="G789" s="9"/>
      <c r="H789" s="79"/>
      <c r="I789" s="10"/>
      <c r="J789" s="79"/>
      <c r="K789" s="71" t="s">
        <v>12125</v>
      </c>
    </row>
    <row r="790" spans="1:11" x14ac:dyDescent="0.35">
      <c r="A790" s="78"/>
      <c r="B790" s="78"/>
      <c r="C790" s="70" t="s">
        <v>12126</v>
      </c>
      <c r="D790" s="70" t="s">
        <v>12127</v>
      </c>
      <c r="E790" s="77" t="s">
        <v>12127</v>
      </c>
      <c r="F790" s="72" t="s">
        <v>12128</v>
      </c>
      <c r="G790" s="73" t="s">
        <v>2545</v>
      </c>
      <c r="H790" s="74" t="s">
        <v>12129</v>
      </c>
      <c r="I790" s="80" t="s">
        <v>120</v>
      </c>
      <c r="J790" s="76" t="s">
        <v>12130</v>
      </c>
      <c r="K790" s="71" t="s">
        <v>12131</v>
      </c>
    </row>
    <row r="791" spans="1:11" x14ac:dyDescent="0.35">
      <c r="A791" s="78"/>
      <c r="B791" s="78"/>
      <c r="C791" s="78"/>
      <c r="D791" s="78"/>
      <c r="E791" s="77" t="s">
        <v>12132</v>
      </c>
      <c r="F791" s="34"/>
      <c r="G791" s="9"/>
      <c r="H791" s="79"/>
      <c r="I791" s="10"/>
      <c r="J791" s="79"/>
      <c r="K791" s="71" t="s">
        <v>12133</v>
      </c>
    </row>
    <row r="792" spans="1:11" x14ac:dyDescent="0.35">
      <c r="A792" s="78"/>
      <c r="B792" s="78"/>
      <c r="C792" s="78"/>
      <c r="D792" s="70" t="s">
        <v>12134</v>
      </c>
      <c r="E792" s="77" t="s">
        <v>12134</v>
      </c>
      <c r="F792" s="72" t="s">
        <v>12135</v>
      </c>
      <c r="G792" s="73" t="s">
        <v>244</v>
      </c>
      <c r="H792" s="74" t="s">
        <v>12136</v>
      </c>
      <c r="I792" s="80" t="s">
        <v>120</v>
      </c>
      <c r="J792" s="76" t="s">
        <v>12137</v>
      </c>
      <c r="K792" s="71" t="s">
        <v>12138</v>
      </c>
    </row>
    <row r="793" spans="1:11" x14ac:dyDescent="0.35">
      <c r="A793" s="78"/>
      <c r="B793" s="78"/>
      <c r="C793" s="78"/>
      <c r="D793" s="78"/>
      <c r="E793" s="77" t="s">
        <v>12139</v>
      </c>
      <c r="F793" s="34"/>
      <c r="G793" s="9"/>
      <c r="H793" s="79"/>
      <c r="I793" s="10"/>
      <c r="J793" s="79"/>
      <c r="K793" s="71" t="s">
        <v>12140</v>
      </c>
    </row>
    <row r="794" spans="1:11" x14ac:dyDescent="0.35">
      <c r="A794" s="78"/>
      <c r="B794" s="78"/>
      <c r="C794" s="78"/>
      <c r="D794" s="70" t="s">
        <v>12141</v>
      </c>
      <c r="E794" s="77" t="s">
        <v>12141</v>
      </c>
      <c r="F794" s="72" t="s">
        <v>12142</v>
      </c>
      <c r="G794" s="73" t="s">
        <v>244</v>
      </c>
      <c r="H794" s="74" t="s">
        <v>12143</v>
      </c>
      <c r="I794" s="81" t="s">
        <v>250</v>
      </c>
      <c r="J794" s="76" t="s">
        <v>12144</v>
      </c>
      <c r="K794" s="71" t="s">
        <v>12116</v>
      </c>
    </row>
    <row r="795" spans="1:11" x14ac:dyDescent="0.35">
      <c r="A795" s="78"/>
      <c r="B795" s="78"/>
      <c r="C795" s="78"/>
      <c r="D795" s="78"/>
      <c r="E795" s="77" t="s">
        <v>11142</v>
      </c>
      <c r="F795" s="34"/>
      <c r="G795" s="9"/>
      <c r="H795" s="79"/>
      <c r="I795" s="10"/>
      <c r="J795" s="79"/>
      <c r="K795" s="71" t="s">
        <v>12118</v>
      </c>
    </row>
    <row r="796" spans="1:11" x14ac:dyDescent="0.35">
      <c r="A796" s="78"/>
      <c r="B796" s="78"/>
      <c r="C796" s="78"/>
      <c r="D796" s="70" t="s">
        <v>12145</v>
      </c>
      <c r="E796" s="77" t="s">
        <v>12145</v>
      </c>
      <c r="F796" s="72" t="s">
        <v>12146</v>
      </c>
      <c r="G796" s="73" t="s">
        <v>65</v>
      </c>
      <c r="H796" s="74" t="s">
        <v>12147</v>
      </c>
      <c r="I796" s="75" t="s">
        <v>58</v>
      </c>
      <c r="J796" s="76" t="s">
        <v>12148</v>
      </c>
      <c r="K796" s="71" t="s">
        <v>12123</v>
      </c>
    </row>
    <row r="797" spans="1:11" x14ac:dyDescent="0.35">
      <c r="A797" s="78"/>
      <c r="B797" s="78"/>
      <c r="C797" s="78"/>
      <c r="D797" s="78"/>
      <c r="E797" s="77" t="s">
        <v>12149</v>
      </c>
      <c r="F797" s="34"/>
      <c r="G797" s="9"/>
      <c r="H797" s="79"/>
      <c r="I797" s="10"/>
      <c r="J797" s="79"/>
      <c r="K797" s="71" t="s">
        <v>12125</v>
      </c>
    </row>
    <row r="798" spans="1:11" x14ac:dyDescent="0.35">
      <c r="A798" s="78"/>
      <c r="B798" s="78"/>
      <c r="C798" s="78"/>
      <c r="D798" s="70" t="s">
        <v>12150</v>
      </c>
      <c r="E798" s="77" t="s">
        <v>12150</v>
      </c>
      <c r="F798" s="72" t="s">
        <v>12151</v>
      </c>
      <c r="G798" s="73" t="s">
        <v>65</v>
      </c>
      <c r="H798" s="74" t="s">
        <v>10974</v>
      </c>
      <c r="I798" s="81" t="s">
        <v>250</v>
      </c>
      <c r="J798" s="76" t="s">
        <v>9637</v>
      </c>
      <c r="K798" s="71" t="s">
        <v>12131</v>
      </c>
    </row>
    <row r="799" spans="1:11" x14ac:dyDescent="0.35">
      <c r="A799" s="78"/>
      <c r="B799" s="78"/>
      <c r="C799" s="78"/>
      <c r="D799" s="78"/>
      <c r="E799" s="77" t="s">
        <v>12152</v>
      </c>
      <c r="F799" s="34"/>
      <c r="G799" s="9"/>
      <c r="H799" s="79"/>
      <c r="I799" s="10"/>
      <c r="J799" s="79"/>
      <c r="K799" s="71" t="s">
        <v>12133</v>
      </c>
    </row>
    <row r="800" spans="1:11" x14ac:dyDescent="0.35">
      <c r="A800" s="78"/>
      <c r="B800" s="78"/>
      <c r="C800" s="70" t="s">
        <v>29</v>
      </c>
      <c r="D800" s="70" t="s">
        <v>12153</v>
      </c>
      <c r="E800" s="77" t="s">
        <v>12153</v>
      </c>
      <c r="F800" s="83" t="s">
        <v>12154</v>
      </c>
      <c r="G800" s="73" t="s">
        <v>65</v>
      </c>
      <c r="H800" s="74" t="s">
        <v>10758</v>
      </c>
      <c r="I800" s="80" t="s">
        <v>120</v>
      </c>
      <c r="J800" s="76" t="s">
        <v>11279</v>
      </c>
      <c r="K800" s="71" t="s">
        <v>12138</v>
      </c>
    </row>
    <row r="801" spans="1:11" x14ac:dyDescent="0.35">
      <c r="A801" s="78"/>
      <c r="B801" s="78"/>
      <c r="C801" s="78"/>
      <c r="D801" s="78"/>
      <c r="E801" s="77" t="s">
        <v>12155</v>
      </c>
      <c r="F801" s="78"/>
      <c r="G801" s="9"/>
      <c r="H801" s="79"/>
      <c r="I801" s="10"/>
      <c r="J801" s="79"/>
      <c r="K801" s="71" t="s">
        <v>12140</v>
      </c>
    </row>
    <row r="802" spans="1:11" x14ac:dyDescent="0.35">
      <c r="A802" s="78"/>
      <c r="B802" s="78"/>
      <c r="C802" s="78"/>
      <c r="D802" s="70" t="s">
        <v>12156</v>
      </c>
      <c r="E802" s="77" t="s">
        <v>12156</v>
      </c>
      <c r="F802" s="83" t="s">
        <v>12157</v>
      </c>
      <c r="G802" s="73" t="s">
        <v>244</v>
      </c>
      <c r="H802" s="74" t="s">
        <v>12158</v>
      </c>
      <c r="I802" s="80" t="s">
        <v>120</v>
      </c>
      <c r="J802" s="76" t="s">
        <v>12159</v>
      </c>
      <c r="K802" s="71" t="s">
        <v>12160</v>
      </c>
    </row>
    <row r="803" spans="1:11" x14ac:dyDescent="0.35">
      <c r="A803" s="78"/>
      <c r="B803" s="78"/>
      <c r="C803" s="78"/>
      <c r="D803" s="78"/>
      <c r="E803" s="77" t="s">
        <v>12161</v>
      </c>
      <c r="F803" s="78"/>
      <c r="G803" s="9"/>
      <c r="H803" s="79"/>
      <c r="I803" s="10"/>
      <c r="J803" s="79"/>
      <c r="K803" s="71" t="s">
        <v>12001</v>
      </c>
    </row>
    <row r="804" spans="1:11" x14ac:dyDescent="0.35">
      <c r="A804" s="78"/>
      <c r="B804" s="78"/>
      <c r="C804" s="78"/>
      <c r="D804" s="70" t="s">
        <v>12162</v>
      </c>
      <c r="E804" s="77" t="s">
        <v>12162</v>
      </c>
      <c r="F804" s="83" t="s">
        <v>12163</v>
      </c>
      <c r="G804" s="73" t="s">
        <v>2545</v>
      </c>
      <c r="H804" s="74" t="s">
        <v>12164</v>
      </c>
      <c r="I804" s="81" t="s">
        <v>250</v>
      </c>
      <c r="J804" s="76" t="s">
        <v>10782</v>
      </c>
      <c r="K804" s="71" t="s">
        <v>12165</v>
      </c>
    </row>
    <row r="805" spans="1:11" x14ac:dyDescent="0.35">
      <c r="A805" s="78"/>
      <c r="B805" s="78"/>
      <c r="C805" s="78"/>
      <c r="D805" s="78"/>
      <c r="E805" s="77" t="s">
        <v>12166</v>
      </c>
      <c r="F805" s="78"/>
      <c r="G805" s="9"/>
      <c r="H805" s="79"/>
      <c r="I805" s="10"/>
      <c r="J805" s="79"/>
      <c r="K805" s="71" t="s">
        <v>12167</v>
      </c>
    </row>
    <row r="806" spans="1:11" x14ac:dyDescent="0.35">
      <c r="A806" s="78"/>
      <c r="B806" s="78"/>
      <c r="C806" s="78"/>
      <c r="D806" s="70" t="s">
        <v>12168</v>
      </c>
      <c r="E806" s="77" t="s">
        <v>12168</v>
      </c>
      <c r="F806" s="83" t="s">
        <v>12169</v>
      </c>
      <c r="G806" s="73" t="s">
        <v>244</v>
      </c>
      <c r="H806" s="74" t="s">
        <v>12170</v>
      </c>
      <c r="I806" s="75" t="s">
        <v>58</v>
      </c>
      <c r="J806" s="76" t="s">
        <v>10652</v>
      </c>
      <c r="K806" s="71" t="s">
        <v>12171</v>
      </c>
    </row>
    <row r="807" spans="1:11" x14ac:dyDescent="0.35">
      <c r="A807" s="78"/>
      <c r="B807" s="78"/>
      <c r="C807" s="78"/>
      <c r="D807" s="78"/>
      <c r="E807" s="77" t="s">
        <v>12172</v>
      </c>
      <c r="F807" s="78"/>
      <c r="G807" s="9"/>
      <c r="H807" s="79"/>
      <c r="I807" s="10"/>
      <c r="J807" s="79"/>
      <c r="K807" s="71" t="s">
        <v>12173</v>
      </c>
    </row>
    <row r="808" spans="1:11" x14ac:dyDescent="0.35">
      <c r="A808" s="78"/>
      <c r="B808" s="78"/>
      <c r="C808" s="78"/>
      <c r="D808" s="70" t="s">
        <v>12174</v>
      </c>
      <c r="E808" s="77" t="s">
        <v>12174</v>
      </c>
      <c r="F808" s="83" t="s">
        <v>12175</v>
      </c>
      <c r="G808" s="73" t="s">
        <v>244</v>
      </c>
      <c r="H808" s="74" t="s">
        <v>12176</v>
      </c>
      <c r="I808" s="81" t="s">
        <v>250</v>
      </c>
      <c r="J808" s="76" t="s">
        <v>12177</v>
      </c>
      <c r="K808" s="71" t="s">
        <v>12178</v>
      </c>
    </row>
    <row r="809" spans="1:11" x14ac:dyDescent="0.35">
      <c r="A809" s="78"/>
      <c r="B809" s="78"/>
      <c r="C809" s="78"/>
      <c r="D809" s="78"/>
      <c r="E809" s="77" t="s">
        <v>12179</v>
      </c>
      <c r="F809" s="78"/>
      <c r="G809" s="9"/>
      <c r="H809" s="79"/>
      <c r="I809" s="10"/>
      <c r="J809" s="79"/>
      <c r="K809" s="71" t="s">
        <v>12133</v>
      </c>
    </row>
    <row r="810" spans="1:11" x14ac:dyDescent="0.35">
      <c r="A810" s="78"/>
      <c r="B810" s="78"/>
      <c r="C810" s="70" t="s">
        <v>12180</v>
      </c>
      <c r="D810" s="70" t="s">
        <v>12181</v>
      </c>
      <c r="E810" s="77" t="s">
        <v>12181</v>
      </c>
      <c r="F810" s="83" t="s">
        <v>12182</v>
      </c>
      <c r="G810" s="73" t="s">
        <v>65</v>
      </c>
      <c r="H810" s="74" t="s">
        <v>12183</v>
      </c>
      <c r="I810" s="80" t="s">
        <v>120</v>
      </c>
      <c r="J810" s="76" t="s">
        <v>12184</v>
      </c>
      <c r="K810" s="71" t="s">
        <v>11816</v>
      </c>
    </row>
    <row r="811" spans="1:11" x14ac:dyDescent="0.35">
      <c r="A811" s="78"/>
      <c r="B811" s="78"/>
      <c r="C811" s="78"/>
      <c r="D811" s="78"/>
      <c r="E811" s="77" t="s">
        <v>12185</v>
      </c>
      <c r="F811" s="78"/>
      <c r="G811" s="9"/>
      <c r="H811" s="79"/>
      <c r="I811" s="10"/>
      <c r="J811" s="79"/>
      <c r="K811" s="71" t="s">
        <v>12186</v>
      </c>
    </row>
    <row r="812" spans="1:11" x14ac:dyDescent="0.35">
      <c r="A812" s="78"/>
      <c r="B812" s="78"/>
      <c r="C812" s="78"/>
      <c r="D812" s="70" t="s">
        <v>12187</v>
      </c>
      <c r="E812" s="77" t="s">
        <v>12187</v>
      </c>
      <c r="F812" s="83" t="s">
        <v>12188</v>
      </c>
      <c r="G812" s="73" t="s">
        <v>65</v>
      </c>
      <c r="H812" s="74" t="s">
        <v>12189</v>
      </c>
      <c r="I812" s="80" t="s">
        <v>120</v>
      </c>
      <c r="J812" s="76" t="s">
        <v>12190</v>
      </c>
      <c r="K812" s="71" t="s">
        <v>12191</v>
      </c>
    </row>
    <row r="813" spans="1:11" x14ac:dyDescent="0.35">
      <c r="A813" s="78"/>
      <c r="B813" s="78"/>
      <c r="C813" s="78"/>
      <c r="D813" s="78"/>
      <c r="E813" s="77" t="s">
        <v>12192</v>
      </c>
      <c r="F813" s="78"/>
      <c r="G813" s="9"/>
      <c r="H813" s="79"/>
      <c r="I813" s="10"/>
      <c r="J813" s="79"/>
      <c r="K813" s="71" t="s">
        <v>12193</v>
      </c>
    </row>
    <row r="814" spans="1:11" x14ac:dyDescent="0.35">
      <c r="A814" s="78"/>
      <c r="B814" s="78"/>
      <c r="C814" s="78"/>
      <c r="D814" s="70" t="s">
        <v>12194</v>
      </c>
      <c r="E814" s="77" t="s">
        <v>12194</v>
      </c>
      <c r="F814" s="83" t="s">
        <v>12195</v>
      </c>
      <c r="G814" s="73" t="s">
        <v>65</v>
      </c>
      <c r="H814" s="74" t="s">
        <v>12196</v>
      </c>
      <c r="I814" s="81" t="s">
        <v>250</v>
      </c>
      <c r="J814" s="76" t="s">
        <v>12197</v>
      </c>
      <c r="K814" s="71" t="s">
        <v>12198</v>
      </c>
    </row>
    <row r="815" spans="1:11" x14ac:dyDescent="0.35">
      <c r="A815" s="78"/>
      <c r="B815" s="78"/>
      <c r="C815" s="78"/>
      <c r="D815" s="78"/>
      <c r="E815" s="77" t="s">
        <v>12199</v>
      </c>
      <c r="F815" s="78"/>
      <c r="G815" s="9"/>
      <c r="H815" s="79"/>
      <c r="I815" s="10"/>
      <c r="J815" s="79"/>
      <c r="K815" s="71" t="s">
        <v>12200</v>
      </c>
    </row>
    <row r="816" spans="1:11" x14ac:dyDescent="0.35">
      <c r="A816" s="78"/>
      <c r="B816" s="78"/>
      <c r="C816" s="78"/>
      <c r="D816" s="70" t="s">
        <v>12201</v>
      </c>
      <c r="E816" s="77" t="s">
        <v>12201</v>
      </c>
      <c r="F816" s="83" t="s">
        <v>12202</v>
      </c>
      <c r="G816" s="73" t="s">
        <v>244</v>
      </c>
      <c r="H816" s="74" t="s">
        <v>12203</v>
      </c>
      <c r="I816" s="75" t="s">
        <v>58</v>
      </c>
      <c r="J816" s="76" t="s">
        <v>12204</v>
      </c>
      <c r="K816" s="71" t="s">
        <v>12205</v>
      </c>
    </row>
    <row r="817" spans="1:11" x14ac:dyDescent="0.35">
      <c r="A817" s="78"/>
      <c r="B817" s="78"/>
      <c r="C817" s="78"/>
      <c r="D817" s="78"/>
      <c r="E817" s="77" t="s">
        <v>12206</v>
      </c>
      <c r="F817" s="78"/>
      <c r="G817" s="9"/>
      <c r="H817" s="79"/>
      <c r="I817" s="10"/>
      <c r="J817" s="79"/>
      <c r="K817" s="71" t="s">
        <v>12207</v>
      </c>
    </row>
    <row r="818" spans="1:11" x14ac:dyDescent="0.35">
      <c r="A818" s="78"/>
      <c r="B818" s="78"/>
      <c r="C818" s="78"/>
      <c r="D818" s="70" t="s">
        <v>12208</v>
      </c>
      <c r="E818" s="77" t="s">
        <v>12208</v>
      </c>
      <c r="F818" s="83" t="s">
        <v>12209</v>
      </c>
      <c r="G818" s="73" t="s">
        <v>2545</v>
      </c>
      <c r="H818" s="74" t="s">
        <v>12210</v>
      </c>
      <c r="I818" s="81" t="s">
        <v>250</v>
      </c>
      <c r="J818" s="76" t="s">
        <v>12211</v>
      </c>
      <c r="K818" s="71" t="s">
        <v>11249</v>
      </c>
    </row>
    <row r="819" spans="1:11" x14ac:dyDescent="0.35">
      <c r="A819" s="78"/>
      <c r="B819" s="78"/>
      <c r="C819" s="78"/>
      <c r="D819" s="78"/>
      <c r="E819" s="77" t="s">
        <v>11321</v>
      </c>
      <c r="F819" s="78"/>
      <c r="G819" s="9"/>
      <c r="H819" s="79"/>
      <c r="I819" s="10"/>
      <c r="J819" s="79"/>
      <c r="K819" s="71" t="s">
        <v>12212</v>
      </c>
    </row>
    <row r="820" spans="1:11" x14ac:dyDescent="0.35">
      <c r="A820" s="78"/>
      <c r="B820" s="78"/>
      <c r="C820" s="70" t="s">
        <v>12213</v>
      </c>
      <c r="D820" s="70" t="s">
        <v>12214</v>
      </c>
      <c r="E820" s="77" t="s">
        <v>12214</v>
      </c>
      <c r="F820" s="83" t="s">
        <v>12215</v>
      </c>
      <c r="G820" s="73" t="s">
        <v>244</v>
      </c>
      <c r="H820" s="74" t="s">
        <v>12216</v>
      </c>
      <c r="I820" s="80" t="s">
        <v>120</v>
      </c>
      <c r="J820" s="76" t="s">
        <v>12217</v>
      </c>
      <c r="K820" s="71" t="s">
        <v>12218</v>
      </c>
    </row>
    <row r="821" spans="1:11" x14ac:dyDescent="0.35">
      <c r="A821" s="78"/>
      <c r="B821" s="78"/>
      <c r="C821" s="78"/>
      <c r="D821" s="78"/>
      <c r="E821" s="77" t="s">
        <v>12219</v>
      </c>
      <c r="F821" s="78"/>
      <c r="G821" s="9"/>
      <c r="H821" s="79"/>
      <c r="I821" s="10"/>
      <c r="J821" s="79"/>
      <c r="K821" s="71" t="s">
        <v>12220</v>
      </c>
    </row>
    <row r="822" spans="1:11" x14ac:dyDescent="0.35">
      <c r="A822" s="78"/>
      <c r="B822" s="78"/>
      <c r="C822" s="78"/>
      <c r="D822" s="70" t="s">
        <v>12221</v>
      </c>
      <c r="E822" s="77" t="s">
        <v>12221</v>
      </c>
      <c r="F822" s="83" t="s">
        <v>12222</v>
      </c>
      <c r="G822" s="73" t="s">
        <v>244</v>
      </c>
      <c r="H822" s="74" t="s">
        <v>12223</v>
      </c>
      <c r="I822" s="80" t="s">
        <v>120</v>
      </c>
      <c r="J822" s="76" t="s">
        <v>12224</v>
      </c>
      <c r="K822" s="71" t="s">
        <v>12225</v>
      </c>
    </row>
    <row r="823" spans="1:11" x14ac:dyDescent="0.35">
      <c r="A823" s="78"/>
      <c r="B823" s="78"/>
      <c r="C823" s="78"/>
      <c r="D823" s="78"/>
      <c r="E823" s="77" t="s">
        <v>12226</v>
      </c>
      <c r="F823" s="78"/>
      <c r="G823" s="9"/>
      <c r="H823" s="79"/>
      <c r="I823" s="10"/>
      <c r="J823" s="79"/>
      <c r="K823" s="71" t="s">
        <v>12227</v>
      </c>
    </row>
    <row r="824" spans="1:11" x14ac:dyDescent="0.35">
      <c r="A824" s="78"/>
      <c r="B824" s="78"/>
      <c r="C824" s="78"/>
      <c r="D824" s="70" t="s">
        <v>12228</v>
      </c>
      <c r="E824" s="77" t="s">
        <v>12228</v>
      </c>
      <c r="F824" s="83" t="s">
        <v>12229</v>
      </c>
      <c r="G824" s="73" t="s">
        <v>65</v>
      </c>
      <c r="H824" s="74" t="s">
        <v>12230</v>
      </c>
      <c r="I824" s="81" t="s">
        <v>250</v>
      </c>
      <c r="J824" s="76" t="s">
        <v>12231</v>
      </c>
      <c r="K824" s="71" t="s">
        <v>12232</v>
      </c>
    </row>
    <row r="825" spans="1:11" x14ac:dyDescent="0.35">
      <c r="A825" s="78"/>
      <c r="B825" s="78"/>
      <c r="C825" s="78"/>
      <c r="D825" s="78"/>
      <c r="E825" s="77" t="s">
        <v>12233</v>
      </c>
      <c r="F825" s="78"/>
      <c r="G825" s="9"/>
      <c r="H825" s="79"/>
      <c r="I825" s="10"/>
      <c r="J825" s="79"/>
      <c r="K825" s="71" t="s">
        <v>12234</v>
      </c>
    </row>
    <row r="826" spans="1:11" x14ac:dyDescent="0.35">
      <c r="A826" s="78"/>
      <c r="B826" s="78"/>
      <c r="C826" s="78"/>
      <c r="D826" s="70" t="s">
        <v>12235</v>
      </c>
      <c r="E826" s="77" t="s">
        <v>12235</v>
      </c>
      <c r="F826" s="83" t="s">
        <v>12236</v>
      </c>
      <c r="G826" s="73" t="s">
        <v>65</v>
      </c>
      <c r="H826" s="74" t="s">
        <v>12237</v>
      </c>
      <c r="I826" s="75" t="s">
        <v>58</v>
      </c>
      <c r="J826" s="76" t="s">
        <v>12238</v>
      </c>
      <c r="K826" s="71" t="s">
        <v>12239</v>
      </c>
    </row>
    <row r="827" spans="1:11" x14ac:dyDescent="0.35">
      <c r="A827" s="78"/>
      <c r="B827" s="78"/>
      <c r="C827" s="78"/>
      <c r="D827" s="78"/>
      <c r="E827" s="77" t="s">
        <v>12240</v>
      </c>
      <c r="F827" s="78"/>
      <c r="G827" s="9"/>
      <c r="H827" s="79"/>
      <c r="I827" s="10"/>
      <c r="J827" s="79"/>
      <c r="K827" s="71" t="s">
        <v>12241</v>
      </c>
    </row>
    <row r="828" spans="1:11" x14ac:dyDescent="0.35">
      <c r="A828" s="78"/>
      <c r="B828" s="78"/>
      <c r="C828" s="78"/>
      <c r="D828" s="70" t="s">
        <v>12242</v>
      </c>
      <c r="E828" s="77" t="s">
        <v>12242</v>
      </c>
      <c r="F828" s="83" t="s">
        <v>12243</v>
      </c>
      <c r="G828" s="73" t="s">
        <v>65</v>
      </c>
      <c r="H828" s="74" t="s">
        <v>12244</v>
      </c>
      <c r="I828" s="81" t="s">
        <v>250</v>
      </c>
      <c r="J828" s="76" t="s">
        <v>12245</v>
      </c>
      <c r="K828" s="71" t="s">
        <v>12246</v>
      </c>
    </row>
    <row r="829" spans="1:11" x14ac:dyDescent="0.35">
      <c r="A829" s="78"/>
      <c r="B829" s="78"/>
      <c r="C829" s="78"/>
      <c r="D829" s="78"/>
      <c r="E829" s="77" t="s">
        <v>12247</v>
      </c>
      <c r="F829" s="78"/>
      <c r="G829" s="9"/>
      <c r="H829" s="79"/>
      <c r="I829" s="10"/>
      <c r="J829" s="79"/>
      <c r="K829" s="71" t="s">
        <v>12248</v>
      </c>
    </row>
    <row r="830" spans="1:11" x14ac:dyDescent="0.35">
      <c r="A830" s="78"/>
      <c r="B830" s="69" t="s">
        <v>4</v>
      </c>
      <c r="C830" s="70" t="s">
        <v>12249</v>
      </c>
      <c r="D830" s="70" t="s">
        <v>12250</v>
      </c>
      <c r="E830" s="71" t="s">
        <v>12251</v>
      </c>
      <c r="F830" s="83" t="s">
        <v>12252</v>
      </c>
      <c r="G830" s="73" t="s">
        <v>244</v>
      </c>
      <c r="H830" s="74" t="s">
        <v>12253</v>
      </c>
      <c r="I830" s="80" t="s">
        <v>120</v>
      </c>
      <c r="J830" s="76" t="s">
        <v>12254</v>
      </c>
      <c r="K830" s="71" t="s">
        <v>12255</v>
      </c>
    </row>
    <row r="831" spans="1:11" x14ac:dyDescent="0.35">
      <c r="A831" s="78"/>
      <c r="B831" s="78"/>
      <c r="C831" s="78"/>
      <c r="D831" s="78"/>
      <c r="E831" s="71" t="s">
        <v>12256</v>
      </c>
      <c r="F831" s="78"/>
      <c r="G831" s="9"/>
      <c r="H831" s="79"/>
      <c r="I831" s="10"/>
      <c r="J831" s="79"/>
      <c r="K831" s="71" t="s">
        <v>12257</v>
      </c>
    </row>
    <row r="832" spans="1:11" x14ac:dyDescent="0.35">
      <c r="A832" s="78"/>
      <c r="B832" s="78"/>
      <c r="C832" s="78"/>
      <c r="D832" s="70" t="s">
        <v>12258</v>
      </c>
      <c r="E832" s="71" t="s">
        <v>11648</v>
      </c>
      <c r="F832" s="83" t="s">
        <v>12259</v>
      </c>
      <c r="G832" s="73" t="s">
        <v>2545</v>
      </c>
      <c r="H832" s="74" t="s">
        <v>12260</v>
      </c>
      <c r="I832" s="80" t="s">
        <v>120</v>
      </c>
      <c r="J832" s="76" t="s">
        <v>12261</v>
      </c>
      <c r="K832" s="71" t="s">
        <v>12262</v>
      </c>
    </row>
    <row r="833" spans="1:11" x14ac:dyDescent="0.35">
      <c r="A833" s="78"/>
      <c r="B833" s="78"/>
      <c r="C833" s="78"/>
      <c r="D833" s="78"/>
      <c r="E833" s="71" t="s">
        <v>12263</v>
      </c>
      <c r="F833" s="78"/>
      <c r="G833" s="9"/>
      <c r="H833" s="79"/>
      <c r="I833" s="10"/>
      <c r="J833" s="79"/>
      <c r="K833" s="71" t="s">
        <v>12264</v>
      </c>
    </row>
    <row r="834" spans="1:11" x14ac:dyDescent="0.35">
      <c r="A834" s="78"/>
      <c r="B834" s="78"/>
      <c r="C834" s="78"/>
      <c r="D834" s="70" t="s">
        <v>12265</v>
      </c>
      <c r="E834" s="71" t="s">
        <v>12266</v>
      </c>
      <c r="F834" s="83" t="s">
        <v>12267</v>
      </c>
      <c r="G834" s="73" t="s">
        <v>244</v>
      </c>
      <c r="H834" s="74" t="s">
        <v>12268</v>
      </c>
      <c r="I834" s="81" t="s">
        <v>250</v>
      </c>
      <c r="J834" s="76" t="s">
        <v>12269</v>
      </c>
      <c r="K834" s="71" t="s">
        <v>12270</v>
      </c>
    </row>
    <row r="835" spans="1:11" x14ac:dyDescent="0.35">
      <c r="A835" s="78"/>
      <c r="B835" s="78"/>
      <c r="C835" s="78"/>
      <c r="D835" s="78"/>
      <c r="E835" s="71" t="s">
        <v>12271</v>
      </c>
      <c r="F835" s="78"/>
      <c r="G835" s="9"/>
      <c r="H835" s="79"/>
      <c r="I835" s="10"/>
      <c r="J835" s="79"/>
      <c r="K835" s="71" t="s">
        <v>12272</v>
      </c>
    </row>
    <row r="836" spans="1:11" x14ac:dyDescent="0.35">
      <c r="A836" s="78"/>
      <c r="B836" s="78"/>
      <c r="C836" s="78"/>
      <c r="D836" s="70" t="s">
        <v>12273</v>
      </c>
      <c r="E836" s="71" t="s">
        <v>12274</v>
      </c>
      <c r="F836" s="83" t="s">
        <v>12275</v>
      </c>
      <c r="G836" s="73" t="s">
        <v>244</v>
      </c>
      <c r="H836" s="74" t="s">
        <v>12276</v>
      </c>
      <c r="I836" s="75" t="s">
        <v>58</v>
      </c>
      <c r="J836" s="76" t="s">
        <v>12277</v>
      </c>
      <c r="K836" s="71" t="s">
        <v>12239</v>
      </c>
    </row>
    <row r="837" spans="1:11" x14ac:dyDescent="0.35">
      <c r="A837" s="78"/>
      <c r="B837" s="78"/>
      <c r="C837" s="78"/>
      <c r="D837" s="78"/>
      <c r="E837" s="71" t="s">
        <v>12278</v>
      </c>
      <c r="F837" s="78"/>
      <c r="G837" s="9"/>
      <c r="H837" s="79"/>
      <c r="I837" s="10"/>
      <c r="J837" s="79"/>
      <c r="K837" s="71" t="s">
        <v>12279</v>
      </c>
    </row>
    <row r="838" spans="1:11" x14ac:dyDescent="0.35">
      <c r="A838" s="78"/>
      <c r="B838" s="78"/>
      <c r="C838" s="78"/>
      <c r="D838" s="70" t="s">
        <v>12280</v>
      </c>
      <c r="E838" s="71" t="s">
        <v>12281</v>
      </c>
      <c r="F838" s="83" t="s">
        <v>12282</v>
      </c>
      <c r="G838" s="73" t="s">
        <v>65</v>
      </c>
      <c r="H838" s="74" t="s">
        <v>12283</v>
      </c>
      <c r="I838" s="81" t="s">
        <v>250</v>
      </c>
      <c r="J838" s="76" t="s">
        <v>12284</v>
      </c>
      <c r="K838" s="71" t="s">
        <v>12285</v>
      </c>
    </row>
    <row r="839" spans="1:11" x14ac:dyDescent="0.35">
      <c r="A839" s="78"/>
      <c r="B839" s="78"/>
      <c r="C839" s="78"/>
      <c r="D839" s="78"/>
      <c r="E839" s="71" t="s">
        <v>12286</v>
      </c>
      <c r="F839" s="78"/>
      <c r="G839" s="9"/>
      <c r="H839" s="79"/>
      <c r="I839" s="10"/>
      <c r="J839" s="79"/>
      <c r="K839" s="71" t="s">
        <v>12287</v>
      </c>
    </row>
    <row r="840" spans="1:11" x14ac:dyDescent="0.35">
      <c r="A840" s="78"/>
      <c r="B840" s="78"/>
      <c r="C840" s="70" t="s">
        <v>12288</v>
      </c>
      <c r="D840" s="70" t="s">
        <v>12289</v>
      </c>
      <c r="E840" s="71" t="s">
        <v>12290</v>
      </c>
      <c r="F840" s="83" t="s">
        <v>12291</v>
      </c>
      <c r="G840" s="73" t="s">
        <v>65</v>
      </c>
      <c r="H840" s="74" t="s">
        <v>12292</v>
      </c>
      <c r="I840" s="80" t="s">
        <v>120</v>
      </c>
      <c r="J840" s="76" t="s">
        <v>12293</v>
      </c>
      <c r="K840" s="71" t="s">
        <v>12294</v>
      </c>
    </row>
    <row r="841" spans="1:11" x14ac:dyDescent="0.35">
      <c r="A841" s="78"/>
      <c r="B841" s="78"/>
      <c r="C841" s="78"/>
      <c r="D841" s="78"/>
      <c r="E841" s="71" t="s">
        <v>12295</v>
      </c>
      <c r="F841" s="78"/>
      <c r="G841" s="9"/>
      <c r="H841" s="79"/>
      <c r="I841" s="10"/>
      <c r="J841" s="79"/>
      <c r="K841" s="71" t="s">
        <v>12296</v>
      </c>
    </row>
    <row r="842" spans="1:11" x14ac:dyDescent="0.35">
      <c r="A842" s="78"/>
      <c r="B842" s="78"/>
      <c r="C842" s="78"/>
      <c r="D842" s="70" t="s">
        <v>12297</v>
      </c>
      <c r="E842" s="71" t="s">
        <v>12298</v>
      </c>
      <c r="F842" s="83" t="s">
        <v>12299</v>
      </c>
      <c r="G842" s="73" t="s">
        <v>65</v>
      </c>
      <c r="H842" s="74" t="s">
        <v>12300</v>
      </c>
      <c r="I842" s="80" t="s">
        <v>120</v>
      </c>
      <c r="J842" s="76" t="s">
        <v>12301</v>
      </c>
      <c r="K842" s="71" t="s">
        <v>12294</v>
      </c>
    </row>
    <row r="843" spans="1:11" x14ac:dyDescent="0.35">
      <c r="A843" s="78"/>
      <c r="B843" s="78"/>
      <c r="C843" s="78"/>
      <c r="D843" s="78"/>
      <c r="E843" s="71" t="s">
        <v>12302</v>
      </c>
      <c r="F843" s="78"/>
      <c r="G843" s="9"/>
      <c r="H843" s="79"/>
      <c r="I843" s="10"/>
      <c r="J843" s="79"/>
      <c r="K843" s="71" t="s">
        <v>12296</v>
      </c>
    </row>
    <row r="844" spans="1:11" x14ac:dyDescent="0.35">
      <c r="A844" s="78"/>
      <c r="B844" s="78"/>
      <c r="C844" s="78"/>
      <c r="D844" s="70" t="s">
        <v>12303</v>
      </c>
      <c r="E844" s="71" t="s">
        <v>12304</v>
      </c>
      <c r="F844" s="83" t="s">
        <v>12305</v>
      </c>
      <c r="G844" s="73" t="s">
        <v>244</v>
      </c>
      <c r="H844" s="74" t="s">
        <v>12306</v>
      </c>
      <c r="I844" s="81" t="s">
        <v>250</v>
      </c>
      <c r="J844" s="76" t="s">
        <v>12307</v>
      </c>
      <c r="K844" s="71" t="s">
        <v>12308</v>
      </c>
    </row>
    <row r="845" spans="1:11" x14ac:dyDescent="0.35">
      <c r="A845" s="78"/>
      <c r="B845" s="78"/>
      <c r="C845" s="78"/>
      <c r="D845" s="78"/>
      <c r="E845" s="71" t="s">
        <v>12309</v>
      </c>
      <c r="F845" s="78"/>
      <c r="G845" s="9"/>
      <c r="H845" s="79"/>
      <c r="I845" s="10"/>
      <c r="J845" s="79"/>
      <c r="K845" s="71" t="s">
        <v>12310</v>
      </c>
    </row>
    <row r="846" spans="1:11" x14ac:dyDescent="0.35">
      <c r="A846" s="78"/>
      <c r="B846" s="78"/>
      <c r="C846" s="78"/>
      <c r="D846" s="70" t="s">
        <v>12311</v>
      </c>
      <c r="E846" s="71" t="s">
        <v>12312</v>
      </c>
      <c r="F846" s="83" t="s">
        <v>12313</v>
      </c>
      <c r="G846" s="73" t="s">
        <v>2545</v>
      </c>
      <c r="H846" s="74" t="s">
        <v>12314</v>
      </c>
      <c r="I846" s="75" t="s">
        <v>58</v>
      </c>
      <c r="J846" s="76" t="s">
        <v>12315</v>
      </c>
      <c r="K846" s="71" t="s">
        <v>12218</v>
      </c>
    </row>
    <row r="847" spans="1:11" x14ac:dyDescent="0.35">
      <c r="A847" s="78"/>
      <c r="B847" s="78"/>
      <c r="C847" s="78"/>
      <c r="D847" s="78"/>
      <c r="E847" s="71" t="s">
        <v>12316</v>
      </c>
      <c r="F847" s="78"/>
      <c r="G847" s="9"/>
      <c r="H847" s="79"/>
      <c r="I847" s="10"/>
      <c r="J847" s="79"/>
      <c r="K847" s="71" t="s">
        <v>12317</v>
      </c>
    </row>
    <row r="848" spans="1:11" x14ac:dyDescent="0.35">
      <c r="A848" s="78"/>
      <c r="B848" s="78"/>
      <c r="C848" s="78"/>
      <c r="D848" s="70" t="s">
        <v>12318</v>
      </c>
      <c r="E848" s="71" t="s">
        <v>12319</v>
      </c>
      <c r="F848" s="83" t="s">
        <v>12320</v>
      </c>
      <c r="G848" s="73" t="s">
        <v>244</v>
      </c>
      <c r="H848" s="74" t="s">
        <v>12321</v>
      </c>
      <c r="I848" s="81" t="s">
        <v>250</v>
      </c>
      <c r="J848" s="76" t="s">
        <v>12322</v>
      </c>
      <c r="K848" s="71" t="s">
        <v>12323</v>
      </c>
    </row>
    <row r="849" spans="1:11" x14ac:dyDescent="0.35">
      <c r="A849" s="78"/>
      <c r="B849" s="78"/>
      <c r="C849" s="78"/>
      <c r="D849" s="78"/>
      <c r="E849" s="71" t="s">
        <v>12324</v>
      </c>
      <c r="F849" s="78"/>
      <c r="G849" s="9"/>
      <c r="H849" s="79"/>
      <c r="I849" s="10"/>
      <c r="J849" s="79"/>
      <c r="K849" s="71" t="s">
        <v>12325</v>
      </c>
    </row>
    <row r="850" spans="1:11" x14ac:dyDescent="0.35">
      <c r="A850" s="78"/>
      <c r="B850" s="78"/>
      <c r="C850" s="70" t="s">
        <v>30</v>
      </c>
      <c r="D850" s="70" t="s">
        <v>12326</v>
      </c>
      <c r="E850" s="71" t="s">
        <v>12327</v>
      </c>
      <c r="F850" s="83" t="s">
        <v>12328</v>
      </c>
      <c r="G850" s="73" t="s">
        <v>244</v>
      </c>
      <c r="H850" s="74" t="s">
        <v>12329</v>
      </c>
      <c r="I850" s="80" t="s">
        <v>120</v>
      </c>
      <c r="J850" s="76" t="s">
        <v>12330</v>
      </c>
      <c r="K850" s="71" t="s">
        <v>12331</v>
      </c>
    </row>
    <row r="851" spans="1:11" x14ac:dyDescent="0.35">
      <c r="A851" s="78"/>
      <c r="B851" s="78"/>
      <c r="C851" s="78"/>
      <c r="D851" s="78"/>
      <c r="E851" s="71" t="s">
        <v>12332</v>
      </c>
      <c r="F851" s="78"/>
      <c r="G851" s="9"/>
      <c r="H851" s="79"/>
      <c r="I851" s="10"/>
      <c r="J851" s="79"/>
      <c r="K851" s="71" t="s">
        <v>12333</v>
      </c>
    </row>
    <row r="852" spans="1:11" x14ac:dyDescent="0.35">
      <c r="A852" s="78"/>
      <c r="B852" s="78"/>
      <c r="C852" s="78"/>
      <c r="D852" s="70" t="s">
        <v>12334</v>
      </c>
      <c r="E852" s="71" t="s">
        <v>12335</v>
      </c>
      <c r="F852" s="83" t="s">
        <v>12336</v>
      </c>
      <c r="G852" s="73" t="s">
        <v>65</v>
      </c>
      <c r="H852" s="74" t="s">
        <v>12337</v>
      </c>
      <c r="I852" s="80" t="s">
        <v>120</v>
      </c>
      <c r="J852" s="76" t="s">
        <v>12338</v>
      </c>
      <c r="K852" s="71" t="s">
        <v>12339</v>
      </c>
    </row>
    <row r="853" spans="1:11" x14ac:dyDescent="0.35">
      <c r="A853" s="78"/>
      <c r="B853" s="78"/>
      <c r="C853" s="78"/>
      <c r="D853" s="78"/>
      <c r="E853" s="71" t="s">
        <v>12340</v>
      </c>
      <c r="F853" s="78"/>
      <c r="G853" s="9"/>
      <c r="H853" s="79"/>
      <c r="I853" s="10"/>
      <c r="J853" s="79"/>
      <c r="K853" s="71" t="s">
        <v>12341</v>
      </c>
    </row>
    <row r="854" spans="1:11" x14ac:dyDescent="0.35">
      <c r="A854" s="78"/>
      <c r="B854" s="78"/>
      <c r="C854" s="78"/>
      <c r="D854" s="70" t="s">
        <v>12342</v>
      </c>
      <c r="E854" s="71" t="s">
        <v>12343</v>
      </c>
      <c r="F854" s="83" t="s">
        <v>12344</v>
      </c>
      <c r="G854" s="73" t="s">
        <v>65</v>
      </c>
      <c r="H854" s="74" t="s">
        <v>12345</v>
      </c>
      <c r="I854" s="81" t="s">
        <v>250</v>
      </c>
      <c r="J854" s="76" t="s">
        <v>12346</v>
      </c>
      <c r="K854" s="71" t="s">
        <v>12347</v>
      </c>
    </row>
    <row r="855" spans="1:11" x14ac:dyDescent="0.35">
      <c r="A855" s="78"/>
      <c r="B855" s="78"/>
      <c r="C855" s="78"/>
      <c r="D855" s="78"/>
      <c r="E855" s="71" t="s">
        <v>12348</v>
      </c>
      <c r="F855" s="78"/>
      <c r="G855" s="9"/>
      <c r="H855" s="79"/>
      <c r="I855" s="10"/>
      <c r="J855" s="79"/>
      <c r="K855" s="71" t="s">
        <v>12349</v>
      </c>
    </row>
    <row r="856" spans="1:11" x14ac:dyDescent="0.35">
      <c r="A856" s="78"/>
      <c r="B856" s="78"/>
      <c r="C856" s="78"/>
      <c r="D856" s="70" t="s">
        <v>12350</v>
      </c>
      <c r="E856" s="71" t="s">
        <v>12351</v>
      </c>
      <c r="F856" s="83" t="s">
        <v>12352</v>
      </c>
      <c r="G856" s="73" t="s">
        <v>65</v>
      </c>
      <c r="H856" s="74" t="s">
        <v>12353</v>
      </c>
      <c r="I856" s="75" t="s">
        <v>58</v>
      </c>
      <c r="J856" s="76" t="s">
        <v>12354</v>
      </c>
      <c r="K856" s="71" t="s">
        <v>12355</v>
      </c>
    </row>
    <row r="857" spans="1:11" x14ac:dyDescent="0.35">
      <c r="A857" s="78"/>
      <c r="B857" s="78"/>
      <c r="C857" s="78"/>
      <c r="D857" s="78"/>
      <c r="E857" s="71" t="s">
        <v>12356</v>
      </c>
      <c r="F857" s="78"/>
      <c r="G857" s="9"/>
      <c r="H857" s="79"/>
      <c r="I857" s="10"/>
      <c r="J857" s="79"/>
      <c r="K857" s="71" t="s">
        <v>12241</v>
      </c>
    </row>
    <row r="858" spans="1:11" x14ac:dyDescent="0.35">
      <c r="A858" s="78"/>
      <c r="B858" s="78"/>
      <c r="C858" s="78"/>
      <c r="D858" s="70" t="s">
        <v>12357</v>
      </c>
      <c r="E858" s="71" t="s">
        <v>12358</v>
      </c>
      <c r="F858" s="83" t="s">
        <v>12359</v>
      </c>
      <c r="G858" s="73" t="s">
        <v>244</v>
      </c>
      <c r="H858" s="74" t="s">
        <v>12360</v>
      </c>
      <c r="I858" s="81" t="s">
        <v>250</v>
      </c>
      <c r="J858" s="76" t="s">
        <v>12361</v>
      </c>
      <c r="K858" s="71" t="s">
        <v>12362</v>
      </c>
    </row>
    <row r="859" spans="1:11" x14ac:dyDescent="0.35">
      <c r="A859" s="78"/>
      <c r="B859" s="78"/>
      <c r="C859" s="78"/>
      <c r="D859" s="78"/>
      <c r="E859" s="71" t="s">
        <v>12363</v>
      </c>
      <c r="F859" s="78"/>
      <c r="G859" s="9"/>
      <c r="H859" s="79"/>
      <c r="I859" s="10"/>
      <c r="J859" s="79"/>
      <c r="K859" s="71" t="s">
        <v>12364</v>
      </c>
    </row>
    <row r="860" spans="1:11" x14ac:dyDescent="0.35">
      <c r="A860" s="78"/>
      <c r="B860" s="78"/>
      <c r="C860" s="70" t="s">
        <v>12365</v>
      </c>
      <c r="D860" s="70" t="s">
        <v>12366</v>
      </c>
      <c r="E860" s="71" t="s">
        <v>12367</v>
      </c>
      <c r="F860" s="83" t="s">
        <v>12368</v>
      </c>
      <c r="G860" s="73" t="s">
        <v>2545</v>
      </c>
      <c r="H860" s="74" t="s">
        <v>12369</v>
      </c>
      <c r="I860" s="80" t="s">
        <v>120</v>
      </c>
      <c r="J860" s="76" t="s">
        <v>12370</v>
      </c>
      <c r="K860" s="71" t="s">
        <v>12262</v>
      </c>
    </row>
    <row r="861" spans="1:11" x14ac:dyDescent="0.35">
      <c r="A861" s="78"/>
      <c r="B861" s="78"/>
      <c r="C861" s="78"/>
      <c r="D861" s="78"/>
      <c r="E861" s="71" t="s">
        <v>12371</v>
      </c>
      <c r="F861" s="78"/>
      <c r="G861" s="9"/>
      <c r="H861" s="79"/>
      <c r="I861" s="10"/>
      <c r="J861" s="79"/>
      <c r="K861" s="71" t="s">
        <v>12264</v>
      </c>
    </row>
    <row r="862" spans="1:11" x14ac:dyDescent="0.35">
      <c r="A862" s="78"/>
      <c r="B862" s="78"/>
      <c r="C862" s="78"/>
      <c r="D862" s="70" t="s">
        <v>12372</v>
      </c>
      <c r="E862" s="71" t="s">
        <v>12373</v>
      </c>
      <c r="F862" s="83" t="s">
        <v>12374</v>
      </c>
      <c r="G862" s="73" t="s">
        <v>244</v>
      </c>
      <c r="H862" s="74" t="s">
        <v>12375</v>
      </c>
      <c r="I862" s="80" t="s">
        <v>120</v>
      </c>
      <c r="J862" s="76" t="s">
        <v>12269</v>
      </c>
      <c r="K862" s="71" t="s">
        <v>12331</v>
      </c>
    </row>
    <row r="863" spans="1:11" x14ac:dyDescent="0.35">
      <c r="A863" s="78"/>
      <c r="B863" s="78"/>
      <c r="C863" s="78"/>
      <c r="D863" s="78"/>
      <c r="E863" s="71" t="s">
        <v>12376</v>
      </c>
      <c r="F863" s="78"/>
      <c r="G863" s="9"/>
      <c r="H863" s="79"/>
      <c r="I863" s="10"/>
      <c r="J863" s="79"/>
      <c r="K863" s="71" t="s">
        <v>12333</v>
      </c>
    </row>
    <row r="864" spans="1:11" x14ac:dyDescent="0.35">
      <c r="A864" s="78"/>
      <c r="B864" s="78"/>
      <c r="C864" s="78"/>
      <c r="D864" s="70" t="s">
        <v>12377</v>
      </c>
      <c r="E864" s="71" t="s">
        <v>12378</v>
      </c>
      <c r="F864" s="83" t="s">
        <v>12379</v>
      </c>
      <c r="G864" s="73" t="s">
        <v>244</v>
      </c>
      <c r="H864" s="74" t="s">
        <v>12380</v>
      </c>
      <c r="I864" s="81" t="s">
        <v>250</v>
      </c>
      <c r="J864" s="76" t="s">
        <v>12330</v>
      </c>
      <c r="K864" s="71" t="s">
        <v>12381</v>
      </c>
    </row>
    <row r="865" spans="1:11" x14ac:dyDescent="0.35">
      <c r="A865" s="78"/>
      <c r="B865" s="78"/>
      <c r="C865" s="78"/>
      <c r="D865" s="78"/>
      <c r="E865" s="71" t="s">
        <v>12382</v>
      </c>
      <c r="F865" s="78"/>
      <c r="G865" s="9"/>
      <c r="H865" s="79"/>
      <c r="I865" s="10"/>
      <c r="J865" s="79"/>
      <c r="K865" s="71" t="s">
        <v>12383</v>
      </c>
    </row>
    <row r="866" spans="1:11" x14ac:dyDescent="0.35">
      <c r="A866" s="78"/>
      <c r="B866" s="78"/>
      <c r="C866" s="78"/>
      <c r="D866" s="70" t="s">
        <v>12384</v>
      </c>
      <c r="E866" s="71" t="s">
        <v>12385</v>
      </c>
      <c r="F866" s="83" t="s">
        <v>12386</v>
      </c>
      <c r="G866" s="73" t="s">
        <v>65</v>
      </c>
      <c r="H866" s="74" t="s">
        <v>12387</v>
      </c>
      <c r="I866" s="75" t="s">
        <v>58</v>
      </c>
      <c r="J866" s="76" t="s">
        <v>12388</v>
      </c>
      <c r="K866" s="71" t="s">
        <v>12389</v>
      </c>
    </row>
    <row r="867" spans="1:11" x14ac:dyDescent="0.35">
      <c r="A867" s="78"/>
      <c r="B867" s="78"/>
      <c r="C867" s="78"/>
      <c r="D867" s="78"/>
      <c r="E867" s="71" t="s">
        <v>12390</v>
      </c>
      <c r="F867" s="78"/>
      <c r="G867" s="9"/>
      <c r="H867" s="79"/>
      <c r="I867" s="10"/>
      <c r="J867" s="79"/>
      <c r="K867" s="71" t="s">
        <v>12391</v>
      </c>
    </row>
    <row r="868" spans="1:11" x14ac:dyDescent="0.35">
      <c r="A868" s="78"/>
      <c r="B868" s="78"/>
      <c r="C868" s="78"/>
      <c r="D868" s="70" t="s">
        <v>12392</v>
      </c>
      <c r="E868" s="71" t="s">
        <v>12393</v>
      </c>
      <c r="F868" s="83" t="s">
        <v>12394</v>
      </c>
      <c r="G868" s="73" t="s">
        <v>65</v>
      </c>
      <c r="H868" s="74" t="s">
        <v>12395</v>
      </c>
      <c r="I868" s="81" t="s">
        <v>250</v>
      </c>
      <c r="J868" s="76" t="s">
        <v>12396</v>
      </c>
      <c r="K868" s="71" t="s">
        <v>12397</v>
      </c>
    </row>
    <row r="869" spans="1:11" x14ac:dyDescent="0.35">
      <c r="A869" s="78"/>
      <c r="B869" s="78"/>
      <c r="C869" s="78"/>
      <c r="D869" s="78"/>
      <c r="E869" s="71" t="s">
        <v>12398</v>
      </c>
      <c r="F869" s="78"/>
      <c r="G869" s="9"/>
      <c r="H869" s="79"/>
      <c r="I869" s="10"/>
      <c r="J869" s="79"/>
      <c r="K869" s="71" t="s">
        <v>12399</v>
      </c>
    </row>
    <row r="870" spans="1:11" x14ac:dyDescent="0.35">
      <c r="A870" s="78"/>
      <c r="B870" s="78"/>
      <c r="C870" s="70" t="s">
        <v>12400</v>
      </c>
      <c r="D870" s="70" t="s">
        <v>12401</v>
      </c>
      <c r="E870" s="71" t="s">
        <v>12402</v>
      </c>
      <c r="F870" s="83" t="s">
        <v>12403</v>
      </c>
      <c r="G870" s="73" t="s">
        <v>65</v>
      </c>
      <c r="H870" s="74" t="s">
        <v>12404</v>
      </c>
      <c r="I870" s="80" t="s">
        <v>120</v>
      </c>
      <c r="J870" s="76" t="s">
        <v>12405</v>
      </c>
      <c r="K870" s="71" t="s">
        <v>12406</v>
      </c>
    </row>
    <row r="871" spans="1:11" x14ac:dyDescent="0.35">
      <c r="A871" s="78"/>
      <c r="B871" s="78"/>
      <c r="C871" s="78"/>
      <c r="D871" s="78"/>
      <c r="E871" s="71" t="s">
        <v>12407</v>
      </c>
      <c r="F871" s="78"/>
      <c r="G871" s="9"/>
      <c r="H871" s="79"/>
      <c r="I871" s="10"/>
      <c r="J871" s="79"/>
      <c r="K871" s="71" t="s">
        <v>12408</v>
      </c>
    </row>
    <row r="872" spans="1:11" x14ac:dyDescent="0.35">
      <c r="A872" s="78"/>
      <c r="B872" s="78"/>
      <c r="C872" s="78"/>
      <c r="D872" s="70" t="s">
        <v>12409</v>
      </c>
      <c r="E872" s="71" t="s">
        <v>12410</v>
      </c>
      <c r="F872" s="83" t="s">
        <v>12411</v>
      </c>
      <c r="G872" s="73" t="s">
        <v>244</v>
      </c>
      <c r="H872" s="74" t="s">
        <v>12412</v>
      </c>
      <c r="I872" s="80" t="s">
        <v>120</v>
      </c>
      <c r="J872" s="76" t="s">
        <v>12413</v>
      </c>
      <c r="K872" s="71" t="s">
        <v>12414</v>
      </c>
    </row>
    <row r="873" spans="1:11" x14ac:dyDescent="0.35">
      <c r="A873" s="78"/>
      <c r="B873" s="78"/>
      <c r="C873" s="78"/>
      <c r="D873" s="78"/>
      <c r="E873" s="71" t="s">
        <v>12415</v>
      </c>
      <c r="F873" s="78"/>
      <c r="G873" s="9"/>
      <c r="H873" s="79"/>
      <c r="I873" s="10"/>
      <c r="J873" s="79"/>
      <c r="K873" s="71" t="s">
        <v>12416</v>
      </c>
    </row>
    <row r="874" spans="1:11" x14ac:dyDescent="0.35">
      <c r="A874" s="78"/>
      <c r="B874" s="78"/>
      <c r="C874" s="78"/>
      <c r="D874" s="70" t="s">
        <v>12417</v>
      </c>
      <c r="E874" s="71" t="s">
        <v>12418</v>
      </c>
      <c r="F874" s="83" t="s">
        <v>12419</v>
      </c>
      <c r="G874" s="73" t="s">
        <v>2545</v>
      </c>
      <c r="H874" s="74" t="s">
        <v>12420</v>
      </c>
      <c r="I874" s="81" t="s">
        <v>250</v>
      </c>
      <c r="J874" s="76" t="s">
        <v>12421</v>
      </c>
      <c r="K874" s="71" t="s">
        <v>10716</v>
      </c>
    </row>
    <row r="875" spans="1:11" x14ac:dyDescent="0.35">
      <c r="A875" s="78"/>
      <c r="B875" s="78"/>
      <c r="C875" s="78"/>
      <c r="D875" s="78"/>
      <c r="E875" s="71" t="s">
        <v>12422</v>
      </c>
      <c r="F875" s="78"/>
      <c r="G875" s="9"/>
      <c r="H875" s="79"/>
      <c r="I875" s="10"/>
      <c r="J875" s="79"/>
      <c r="K875" s="71" t="s">
        <v>10718</v>
      </c>
    </row>
    <row r="876" spans="1:11" x14ac:dyDescent="0.35">
      <c r="A876" s="78"/>
      <c r="B876" s="78"/>
      <c r="C876" s="78"/>
      <c r="D876" s="70" t="s">
        <v>12423</v>
      </c>
      <c r="E876" s="71" t="s">
        <v>12424</v>
      </c>
      <c r="F876" s="83" t="s">
        <v>12425</v>
      </c>
      <c r="G876" s="73" t="s">
        <v>244</v>
      </c>
      <c r="H876" s="74" t="s">
        <v>12426</v>
      </c>
      <c r="I876" s="75" t="s">
        <v>58</v>
      </c>
      <c r="J876" s="76" t="s">
        <v>12427</v>
      </c>
      <c r="K876" s="71" t="s">
        <v>12428</v>
      </c>
    </row>
    <row r="877" spans="1:11" x14ac:dyDescent="0.35">
      <c r="A877" s="78"/>
      <c r="B877" s="78"/>
      <c r="C877" s="78"/>
      <c r="D877" s="78"/>
      <c r="E877" s="71" t="s">
        <v>12429</v>
      </c>
      <c r="F877" s="78"/>
      <c r="G877" s="9"/>
      <c r="H877" s="79"/>
      <c r="I877" s="10"/>
      <c r="J877" s="79"/>
      <c r="K877" s="71" t="s">
        <v>12430</v>
      </c>
    </row>
    <row r="878" spans="1:11" x14ac:dyDescent="0.35">
      <c r="A878" s="78"/>
      <c r="B878" s="78"/>
      <c r="C878" s="78"/>
      <c r="D878" s="70" t="s">
        <v>12431</v>
      </c>
      <c r="E878" s="71" t="s">
        <v>12432</v>
      </c>
      <c r="F878" s="83" t="s">
        <v>12433</v>
      </c>
      <c r="G878" s="73" t="s">
        <v>244</v>
      </c>
      <c r="H878" s="74" t="s">
        <v>12434</v>
      </c>
      <c r="I878" s="81" t="s">
        <v>250</v>
      </c>
      <c r="J878" s="76" t="s">
        <v>12435</v>
      </c>
      <c r="K878" s="71" t="s">
        <v>12389</v>
      </c>
    </row>
    <row r="879" spans="1:11" x14ac:dyDescent="0.35">
      <c r="A879" s="78"/>
      <c r="B879" s="78"/>
      <c r="C879" s="78"/>
      <c r="D879" s="78"/>
      <c r="E879" s="71" t="s">
        <v>12436</v>
      </c>
      <c r="F879" s="78"/>
      <c r="G879" s="9"/>
      <c r="H879" s="79"/>
      <c r="I879" s="10"/>
      <c r="J879" s="79"/>
      <c r="K879" s="71" t="s">
        <v>12437</v>
      </c>
    </row>
    <row r="880" spans="1:11" x14ac:dyDescent="0.35">
      <c r="A880" s="78"/>
      <c r="B880" s="78"/>
      <c r="C880" s="70" t="s">
        <v>31</v>
      </c>
      <c r="D880" s="70" t="s">
        <v>12438</v>
      </c>
      <c r="E880" s="71" t="s">
        <v>12439</v>
      </c>
      <c r="F880" s="83" t="s">
        <v>12440</v>
      </c>
      <c r="G880" s="73" t="s">
        <v>65</v>
      </c>
      <c r="H880" s="74" t="s">
        <v>12441</v>
      </c>
      <c r="I880" s="80" t="s">
        <v>120</v>
      </c>
      <c r="J880" s="76" t="s">
        <v>12442</v>
      </c>
      <c r="K880" s="71" t="s">
        <v>12443</v>
      </c>
    </row>
    <row r="881" spans="1:11" x14ac:dyDescent="0.35">
      <c r="A881" s="78"/>
      <c r="B881" s="78"/>
      <c r="C881" s="78"/>
      <c r="D881" s="78"/>
      <c r="E881" s="71" t="s">
        <v>12444</v>
      </c>
      <c r="F881" s="78"/>
      <c r="G881" s="9"/>
      <c r="H881" s="79"/>
      <c r="I881" s="10"/>
      <c r="J881" s="79"/>
      <c r="K881" s="71" t="s">
        <v>12445</v>
      </c>
    </row>
    <row r="882" spans="1:11" x14ac:dyDescent="0.35">
      <c r="A882" s="78"/>
      <c r="B882" s="78"/>
      <c r="C882" s="78"/>
      <c r="D882" s="70" t="s">
        <v>12446</v>
      </c>
      <c r="E882" s="71" t="s">
        <v>12447</v>
      </c>
      <c r="F882" s="83" t="s">
        <v>12448</v>
      </c>
      <c r="G882" s="73" t="s">
        <v>65</v>
      </c>
      <c r="H882" s="74" t="s">
        <v>12449</v>
      </c>
      <c r="I882" s="80" t="s">
        <v>120</v>
      </c>
      <c r="J882" s="76" t="s">
        <v>12450</v>
      </c>
      <c r="K882" s="71" t="s">
        <v>12428</v>
      </c>
    </row>
    <row r="883" spans="1:11" x14ac:dyDescent="0.35">
      <c r="A883" s="78"/>
      <c r="B883" s="78"/>
      <c r="C883" s="78"/>
      <c r="D883" s="78"/>
      <c r="E883" s="71" t="s">
        <v>12451</v>
      </c>
      <c r="F883" s="78"/>
      <c r="G883" s="9"/>
      <c r="H883" s="79"/>
      <c r="I883" s="10"/>
      <c r="J883" s="79"/>
      <c r="K883" s="71" t="s">
        <v>12452</v>
      </c>
    </row>
    <row r="884" spans="1:11" x14ac:dyDescent="0.35">
      <c r="A884" s="78"/>
      <c r="B884" s="78"/>
      <c r="C884" s="78"/>
      <c r="D884" s="70" t="s">
        <v>12453</v>
      </c>
      <c r="E884" s="71" t="s">
        <v>12454</v>
      </c>
      <c r="F884" s="83" t="s">
        <v>12455</v>
      </c>
      <c r="G884" s="73" t="s">
        <v>65</v>
      </c>
      <c r="H884" s="74" t="s">
        <v>12456</v>
      </c>
      <c r="I884" s="81" t="s">
        <v>250</v>
      </c>
      <c r="J884" s="76" t="s">
        <v>12457</v>
      </c>
      <c r="K884" s="71" t="s">
        <v>12458</v>
      </c>
    </row>
    <row r="885" spans="1:11" x14ac:dyDescent="0.35">
      <c r="A885" s="78"/>
      <c r="B885" s="78"/>
      <c r="C885" s="78"/>
      <c r="D885" s="78"/>
      <c r="E885" s="71" t="s">
        <v>12459</v>
      </c>
      <c r="F885" s="78"/>
      <c r="G885" s="9"/>
      <c r="H885" s="79"/>
      <c r="I885" s="10"/>
      <c r="J885" s="79"/>
      <c r="K885" s="71" t="s">
        <v>12460</v>
      </c>
    </row>
    <row r="886" spans="1:11" x14ac:dyDescent="0.35">
      <c r="A886" s="78"/>
      <c r="B886" s="78"/>
      <c r="C886" s="78"/>
      <c r="D886" s="70" t="s">
        <v>12461</v>
      </c>
      <c r="E886" s="71" t="s">
        <v>12462</v>
      </c>
      <c r="F886" s="83" t="s">
        <v>12463</v>
      </c>
      <c r="G886" s="73" t="s">
        <v>244</v>
      </c>
      <c r="H886" s="74" t="s">
        <v>12464</v>
      </c>
      <c r="I886" s="75" t="s">
        <v>58</v>
      </c>
      <c r="J886" s="76" t="s">
        <v>12465</v>
      </c>
      <c r="K886" s="71" t="s">
        <v>12466</v>
      </c>
    </row>
    <row r="887" spans="1:11" x14ac:dyDescent="0.35">
      <c r="A887" s="78"/>
      <c r="B887" s="78"/>
      <c r="C887" s="78"/>
      <c r="D887" s="78"/>
      <c r="E887" s="71" t="s">
        <v>12467</v>
      </c>
      <c r="F887" s="78"/>
      <c r="G887" s="9"/>
      <c r="H887" s="79"/>
      <c r="I887" s="10"/>
      <c r="J887" s="79"/>
      <c r="K887" s="71" t="s">
        <v>12468</v>
      </c>
    </row>
    <row r="888" spans="1:11" x14ac:dyDescent="0.35">
      <c r="A888" s="78"/>
      <c r="B888" s="78"/>
      <c r="C888" s="78"/>
      <c r="D888" s="70" t="s">
        <v>12469</v>
      </c>
      <c r="E888" s="71" t="s">
        <v>12470</v>
      </c>
      <c r="F888" s="83" t="s">
        <v>12471</v>
      </c>
      <c r="G888" s="73" t="s">
        <v>2545</v>
      </c>
      <c r="H888" s="74" t="s">
        <v>12472</v>
      </c>
      <c r="I888" s="81" t="s">
        <v>250</v>
      </c>
      <c r="J888" s="76" t="s">
        <v>12473</v>
      </c>
      <c r="K888" s="71" t="s">
        <v>12443</v>
      </c>
    </row>
    <row r="889" spans="1:11" x14ac:dyDescent="0.35">
      <c r="A889" s="78"/>
      <c r="B889" s="78"/>
      <c r="C889" s="78"/>
      <c r="D889" s="78"/>
      <c r="E889" s="71" t="s">
        <v>12474</v>
      </c>
      <c r="F889" s="78"/>
      <c r="G889" s="9"/>
      <c r="H889" s="79"/>
      <c r="I889" s="10"/>
      <c r="J889" s="79"/>
      <c r="K889" s="71" t="s">
        <v>12475</v>
      </c>
    </row>
    <row r="890" spans="1:11" x14ac:dyDescent="0.35">
      <c r="A890" s="78"/>
      <c r="B890" s="78"/>
      <c r="C890" s="70" t="s">
        <v>12476</v>
      </c>
      <c r="D890" s="70" t="s">
        <v>12477</v>
      </c>
      <c r="E890" s="71" t="s">
        <v>12478</v>
      </c>
      <c r="F890" s="83" t="s">
        <v>12479</v>
      </c>
      <c r="G890" s="73" t="s">
        <v>244</v>
      </c>
      <c r="H890" s="74" t="s">
        <v>12480</v>
      </c>
      <c r="I890" s="80" t="s">
        <v>120</v>
      </c>
      <c r="J890" s="76" t="s">
        <v>12481</v>
      </c>
      <c r="K890" s="71" t="s">
        <v>12443</v>
      </c>
    </row>
    <row r="891" spans="1:11" x14ac:dyDescent="0.35">
      <c r="A891" s="78"/>
      <c r="B891" s="78"/>
      <c r="C891" s="78"/>
      <c r="D891" s="78"/>
      <c r="E891" s="71" t="s">
        <v>12482</v>
      </c>
      <c r="F891" s="78"/>
      <c r="G891" s="9"/>
      <c r="H891" s="79"/>
      <c r="I891" s="10"/>
      <c r="J891" s="79"/>
      <c r="K891" s="71" t="s">
        <v>12475</v>
      </c>
    </row>
    <row r="892" spans="1:11" x14ac:dyDescent="0.35">
      <c r="A892" s="78"/>
      <c r="B892" s="78"/>
      <c r="C892" s="78"/>
      <c r="D892" s="70" t="s">
        <v>12483</v>
      </c>
      <c r="E892" s="71" t="s">
        <v>12484</v>
      </c>
      <c r="F892" s="83" t="s">
        <v>12485</v>
      </c>
      <c r="G892" s="73" t="s">
        <v>244</v>
      </c>
      <c r="H892" s="74" t="s">
        <v>12486</v>
      </c>
      <c r="I892" s="80" t="s">
        <v>120</v>
      </c>
      <c r="J892" s="76" t="s">
        <v>12487</v>
      </c>
      <c r="K892" s="71" t="s">
        <v>12488</v>
      </c>
    </row>
    <row r="893" spans="1:11" x14ac:dyDescent="0.35">
      <c r="A893" s="78"/>
      <c r="B893" s="78"/>
      <c r="C893" s="78"/>
      <c r="D893" s="78"/>
      <c r="E893" s="71" t="s">
        <v>12489</v>
      </c>
      <c r="F893" s="78"/>
      <c r="G893" s="9"/>
      <c r="H893" s="79"/>
      <c r="I893" s="10"/>
      <c r="J893" s="79"/>
      <c r="K893" s="71" t="s">
        <v>12490</v>
      </c>
    </row>
    <row r="894" spans="1:11" x14ac:dyDescent="0.35">
      <c r="A894" s="78"/>
      <c r="B894" s="78"/>
      <c r="C894" s="78"/>
      <c r="D894" s="70" t="s">
        <v>12491</v>
      </c>
      <c r="E894" s="71" t="s">
        <v>12492</v>
      </c>
      <c r="F894" s="83" t="s">
        <v>12493</v>
      </c>
      <c r="G894" s="73" t="s">
        <v>65</v>
      </c>
      <c r="H894" s="74" t="s">
        <v>12494</v>
      </c>
      <c r="I894" s="81" t="s">
        <v>250</v>
      </c>
      <c r="J894" s="76" t="s">
        <v>12495</v>
      </c>
      <c r="K894" s="71" t="s">
        <v>12496</v>
      </c>
    </row>
    <row r="895" spans="1:11" x14ac:dyDescent="0.35">
      <c r="A895" s="78"/>
      <c r="B895" s="78"/>
      <c r="C895" s="78"/>
      <c r="D895" s="78"/>
      <c r="E895" s="71" t="s">
        <v>12497</v>
      </c>
      <c r="F895" s="78"/>
      <c r="G895" s="9"/>
      <c r="H895" s="79"/>
      <c r="I895" s="10"/>
      <c r="J895" s="79"/>
      <c r="K895" s="71" t="s">
        <v>12498</v>
      </c>
    </row>
    <row r="896" spans="1:11" x14ac:dyDescent="0.35">
      <c r="A896" s="78"/>
      <c r="B896" s="78"/>
      <c r="C896" s="78"/>
      <c r="D896" s="70" t="s">
        <v>12499</v>
      </c>
      <c r="E896" s="71" t="s">
        <v>12500</v>
      </c>
      <c r="F896" s="83" t="s">
        <v>12501</v>
      </c>
      <c r="G896" s="73" t="s">
        <v>65</v>
      </c>
      <c r="H896" s="74" t="s">
        <v>12502</v>
      </c>
      <c r="I896" s="75" t="s">
        <v>58</v>
      </c>
      <c r="J896" s="76" t="s">
        <v>12503</v>
      </c>
      <c r="K896" s="71" t="s">
        <v>12504</v>
      </c>
    </row>
    <row r="897" spans="1:11" x14ac:dyDescent="0.35">
      <c r="A897" s="78"/>
      <c r="B897" s="78"/>
      <c r="C897" s="78"/>
      <c r="D897" s="78"/>
      <c r="E897" s="71" t="s">
        <v>12505</v>
      </c>
      <c r="F897" s="78"/>
      <c r="G897" s="9"/>
      <c r="H897" s="79"/>
      <c r="I897" s="10"/>
      <c r="J897" s="79"/>
      <c r="K897" s="71" t="s">
        <v>12506</v>
      </c>
    </row>
    <row r="898" spans="1:11" x14ac:dyDescent="0.35">
      <c r="A898" s="78"/>
      <c r="B898" s="78"/>
      <c r="C898" s="78"/>
      <c r="D898" s="70" t="s">
        <v>12507</v>
      </c>
      <c r="E898" s="71" t="s">
        <v>12508</v>
      </c>
      <c r="F898" s="83" t="s">
        <v>12509</v>
      </c>
      <c r="G898" s="73" t="s">
        <v>65</v>
      </c>
      <c r="H898" s="74" t="s">
        <v>12510</v>
      </c>
      <c r="I898" s="81" t="s">
        <v>250</v>
      </c>
      <c r="J898" s="76" t="s">
        <v>12511</v>
      </c>
      <c r="K898" s="71" t="s">
        <v>11847</v>
      </c>
    </row>
    <row r="899" spans="1:11" x14ac:dyDescent="0.35">
      <c r="A899" s="78"/>
      <c r="B899" s="78"/>
      <c r="C899" s="78"/>
      <c r="D899" s="78"/>
      <c r="E899" s="71" t="s">
        <v>12512</v>
      </c>
      <c r="F899" s="78"/>
      <c r="G899" s="9"/>
      <c r="H899" s="79"/>
      <c r="I899" s="10"/>
      <c r="J899" s="79"/>
      <c r="K899" s="71" t="s">
        <v>12513</v>
      </c>
    </row>
    <row r="900" spans="1:11" x14ac:dyDescent="0.35">
      <c r="A900" s="78"/>
      <c r="B900" s="78"/>
      <c r="C900" s="70" t="s">
        <v>12514</v>
      </c>
      <c r="D900" s="70" t="s">
        <v>12515</v>
      </c>
      <c r="E900" s="71" t="s">
        <v>12516</v>
      </c>
      <c r="F900" s="83" t="s">
        <v>12517</v>
      </c>
      <c r="G900" s="73" t="s">
        <v>244</v>
      </c>
      <c r="H900" s="74" t="s">
        <v>12518</v>
      </c>
      <c r="I900" s="80" t="s">
        <v>120</v>
      </c>
      <c r="J900" s="76" t="s">
        <v>12519</v>
      </c>
      <c r="K900" s="71" t="s">
        <v>12520</v>
      </c>
    </row>
    <row r="901" spans="1:11" x14ac:dyDescent="0.35">
      <c r="A901" s="78"/>
      <c r="B901" s="78"/>
      <c r="C901" s="78"/>
      <c r="D901" s="78"/>
      <c r="E901" s="71" t="s">
        <v>1344</v>
      </c>
      <c r="F901" s="78"/>
      <c r="G901" s="9"/>
      <c r="H901" s="79"/>
      <c r="I901" s="10"/>
      <c r="J901" s="79"/>
      <c r="K901" s="71" t="s">
        <v>12521</v>
      </c>
    </row>
    <row r="902" spans="1:11" x14ac:dyDescent="0.35">
      <c r="A902" s="78"/>
      <c r="B902" s="78"/>
      <c r="C902" s="78"/>
      <c r="D902" s="70" t="s">
        <v>12522</v>
      </c>
      <c r="E902" s="71" t="s">
        <v>12523</v>
      </c>
      <c r="F902" s="83" t="s">
        <v>12524</v>
      </c>
      <c r="G902" s="73" t="s">
        <v>2545</v>
      </c>
      <c r="H902" s="74" t="s">
        <v>12525</v>
      </c>
      <c r="I902" s="80" t="s">
        <v>120</v>
      </c>
      <c r="J902" s="76" t="s">
        <v>12526</v>
      </c>
      <c r="K902" s="71" t="s">
        <v>12527</v>
      </c>
    </row>
    <row r="903" spans="1:11" x14ac:dyDescent="0.35">
      <c r="A903" s="78"/>
      <c r="B903" s="78"/>
      <c r="C903" s="78"/>
      <c r="D903" s="78"/>
      <c r="E903" s="71" t="s">
        <v>12528</v>
      </c>
      <c r="F903" s="78"/>
      <c r="G903" s="9"/>
      <c r="H903" s="79"/>
      <c r="I903" s="10"/>
      <c r="J903" s="79"/>
      <c r="K903" s="71" t="s">
        <v>12529</v>
      </c>
    </row>
    <row r="904" spans="1:11" x14ac:dyDescent="0.35">
      <c r="A904" s="78"/>
      <c r="B904" s="78"/>
      <c r="C904" s="78"/>
      <c r="D904" s="70" t="s">
        <v>12530</v>
      </c>
      <c r="E904" s="71" t="s">
        <v>12531</v>
      </c>
      <c r="F904" s="83" t="s">
        <v>12532</v>
      </c>
      <c r="G904" s="73" t="s">
        <v>244</v>
      </c>
      <c r="H904" s="74" t="s">
        <v>12022</v>
      </c>
      <c r="I904" s="81" t="s">
        <v>250</v>
      </c>
      <c r="J904" s="76" t="s">
        <v>12533</v>
      </c>
      <c r="K904" s="71" t="s">
        <v>12534</v>
      </c>
    </row>
    <row r="905" spans="1:11" x14ac:dyDescent="0.35">
      <c r="A905" s="78"/>
      <c r="B905" s="78"/>
      <c r="C905" s="78"/>
      <c r="D905" s="78"/>
      <c r="E905" s="71" t="s">
        <v>12535</v>
      </c>
      <c r="F905" s="78"/>
      <c r="G905" s="9"/>
      <c r="H905" s="79"/>
      <c r="I905" s="10"/>
      <c r="J905" s="79"/>
      <c r="K905" s="71" t="s">
        <v>12536</v>
      </c>
    </row>
    <row r="906" spans="1:11" x14ac:dyDescent="0.35">
      <c r="A906" s="78"/>
      <c r="B906" s="78"/>
      <c r="C906" s="78"/>
      <c r="D906" s="70" t="s">
        <v>12537</v>
      </c>
      <c r="E906" s="71" t="s">
        <v>12538</v>
      </c>
      <c r="F906" s="83" t="s">
        <v>12539</v>
      </c>
      <c r="G906" s="73" t="s">
        <v>244</v>
      </c>
      <c r="H906" s="74" t="s">
        <v>12540</v>
      </c>
      <c r="I906" s="75" t="s">
        <v>58</v>
      </c>
      <c r="J906" s="76" t="s">
        <v>12541</v>
      </c>
      <c r="K906" s="71" t="s">
        <v>12542</v>
      </c>
    </row>
    <row r="907" spans="1:11" x14ac:dyDescent="0.35">
      <c r="A907" s="78"/>
      <c r="B907" s="78"/>
      <c r="C907" s="78"/>
      <c r="D907" s="78"/>
      <c r="E907" s="71" t="s">
        <v>12543</v>
      </c>
      <c r="F907" s="78"/>
      <c r="G907" s="9"/>
      <c r="H907" s="79"/>
      <c r="I907" s="10"/>
      <c r="J907" s="79"/>
      <c r="K907" s="71" t="s">
        <v>12241</v>
      </c>
    </row>
    <row r="908" spans="1:11" x14ac:dyDescent="0.35">
      <c r="A908" s="78"/>
      <c r="B908" s="78"/>
      <c r="C908" s="78"/>
      <c r="D908" s="70" t="s">
        <v>12544</v>
      </c>
      <c r="E908" s="71" t="s">
        <v>12545</v>
      </c>
      <c r="F908" s="83" t="s">
        <v>12546</v>
      </c>
      <c r="G908" s="73" t="s">
        <v>65</v>
      </c>
      <c r="H908" s="74" t="s">
        <v>12547</v>
      </c>
      <c r="I908" s="81" t="s">
        <v>250</v>
      </c>
      <c r="J908" s="76" t="s">
        <v>12548</v>
      </c>
      <c r="K908" s="71" t="s">
        <v>12549</v>
      </c>
    </row>
    <row r="909" spans="1:11" x14ac:dyDescent="0.35">
      <c r="A909" s="78"/>
      <c r="B909" s="78"/>
      <c r="C909" s="78"/>
      <c r="D909" s="78"/>
      <c r="E909" s="71" t="s">
        <v>12550</v>
      </c>
      <c r="F909" s="78"/>
      <c r="G909" s="9"/>
      <c r="H909" s="79"/>
      <c r="I909" s="10"/>
      <c r="J909" s="79"/>
      <c r="K909" s="71" t="s">
        <v>11687</v>
      </c>
    </row>
    <row r="910" spans="1:11" x14ac:dyDescent="0.35">
      <c r="A910" s="78"/>
      <c r="B910" s="78"/>
      <c r="C910" s="70" t="s">
        <v>12551</v>
      </c>
      <c r="D910" s="70" t="s">
        <v>12552</v>
      </c>
      <c r="E910" s="71" t="s">
        <v>12553</v>
      </c>
      <c r="F910" s="83" t="s">
        <v>12554</v>
      </c>
      <c r="G910" s="73" t="s">
        <v>65</v>
      </c>
      <c r="H910" s="74" t="s">
        <v>12555</v>
      </c>
      <c r="I910" s="80" t="s">
        <v>120</v>
      </c>
      <c r="J910" s="76" t="s">
        <v>12556</v>
      </c>
      <c r="K910" s="71" t="s">
        <v>12557</v>
      </c>
    </row>
    <row r="911" spans="1:11" x14ac:dyDescent="0.35">
      <c r="A911" s="78"/>
      <c r="B911" s="78"/>
      <c r="C911" s="78"/>
      <c r="D911" s="78"/>
      <c r="E911" s="71" t="s">
        <v>12558</v>
      </c>
      <c r="F911" s="78"/>
      <c r="G911" s="9"/>
      <c r="H911" s="79"/>
      <c r="I911" s="10"/>
      <c r="J911" s="79"/>
      <c r="K911" s="71" t="s">
        <v>12559</v>
      </c>
    </row>
    <row r="912" spans="1:11" x14ac:dyDescent="0.35">
      <c r="A912" s="78"/>
      <c r="B912" s="78"/>
      <c r="C912" s="78"/>
      <c r="D912" s="70" t="s">
        <v>12560</v>
      </c>
      <c r="E912" s="71" t="s">
        <v>12561</v>
      </c>
      <c r="F912" s="83" t="s">
        <v>12562</v>
      </c>
      <c r="G912" s="73" t="s">
        <v>65</v>
      </c>
      <c r="H912" s="74" t="s">
        <v>12563</v>
      </c>
      <c r="I912" s="80" t="s">
        <v>120</v>
      </c>
      <c r="J912" s="76" t="s">
        <v>12564</v>
      </c>
      <c r="K912" s="71" t="s">
        <v>12565</v>
      </c>
    </row>
    <row r="913" spans="1:11" x14ac:dyDescent="0.35">
      <c r="A913" s="78"/>
      <c r="B913" s="78"/>
      <c r="C913" s="78"/>
      <c r="D913" s="78"/>
      <c r="E913" s="71" t="s">
        <v>12566</v>
      </c>
      <c r="F913" s="78"/>
      <c r="G913" s="9"/>
      <c r="H913" s="79"/>
      <c r="I913" s="10"/>
      <c r="J913" s="79"/>
      <c r="K913" s="71" t="s">
        <v>12567</v>
      </c>
    </row>
    <row r="914" spans="1:11" x14ac:dyDescent="0.35">
      <c r="A914" s="78"/>
      <c r="B914" s="78"/>
      <c r="C914" s="78"/>
      <c r="D914" s="70" t="s">
        <v>12568</v>
      </c>
      <c r="E914" s="71" t="s">
        <v>12569</v>
      </c>
      <c r="F914" s="83" t="s">
        <v>12570</v>
      </c>
      <c r="G914" s="73" t="s">
        <v>244</v>
      </c>
      <c r="H914" s="74" t="s">
        <v>12571</v>
      </c>
      <c r="I914" s="81" t="s">
        <v>250</v>
      </c>
      <c r="J914" s="76" t="s">
        <v>12572</v>
      </c>
      <c r="K914" s="71" t="s">
        <v>12573</v>
      </c>
    </row>
    <row r="915" spans="1:11" x14ac:dyDescent="0.35">
      <c r="A915" s="78"/>
      <c r="B915" s="78"/>
      <c r="C915" s="78"/>
      <c r="D915" s="78"/>
      <c r="E915" s="71" t="s">
        <v>12574</v>
      </c>
      <c r="F915" s="78"/>
      <c r="G915" s="9"/>
      <c r="H915" s="79"/>
      <c r="I915" s="10"/>
      <c r="J915" s="79"/>
      <c r="K915" s="71" t="s">
        <v>12575</v>
      </c>
    </row>
    <row r="916" spans="1:11" x14ac:dyDescent="0.35">
      <c r="A916" s="78"/>
      <c r="B916" s="78"/>
      <c r="C916" s="78"/>
      <c r="D916" s="70" t="s">
        <v>12576</v>
      </c>
      <c r="E916" s="71" t="s">
        <v>12577</v>
      </c>
      <c r="F916" s="83" t="s">
        <v>12578</v>
      </c>
      <c r="G916" s="73" t="s">
        <v>2545</v>
      </c>
      <c r="H916" s="74" t="s">
        <v>12579</v>
      </c>
      <c r="I916" s="75" t="s">
        <v>58</v>
      </c>
      <c r="J916" s="76" t="s">
        <v>12580</v>
      </c>
      <c r="K916" s="71" t="s">
        <v>12581</v>
      </c>
    </row>
    <row r="917" spans="1:11" x14ac:dyDescent="0.35">
      <c r="A917" s="78"/>
      <c r="B917" s="78"/>
      <c r="C917" s="78"/>
      <c r="D917" s="78"/>
      <c r="E917" s="71" t="s">
        <v>12582</v>
      </c>
      <c r="F917" s="78"/>
      <c r="G917" s="9"/>
      <c r="H917" s="79"/>
      <c r="I917" s="10"/>
      <c r="J917" s="79"/>
      <c r="K917" s="71" t="s">
        <v>12583</v>
      </c>
    </row>
    <row r="918" spans="1:11" x14ac:dyDescent="0.35">
      <c r="A918" s="78"/>
      <c r="B918" s="78"/>
      <c r="C918" s="78"/>
      <c r="D918" s="70" t="s">
        <v>12584</v>
      </c>
      <c r="E918" s="71" t="s">
        <v>12585</v>
      </c>
      <c r="F918" s="83" t="s">
        <v>12586</v>
      </c>
      <c r="G918" s="73" t="s">
        <v>244</v>
      </c>
      <c r="H918" s="74" t="s">
        <v>12587</v>
      </c>
      <c r="I918" s="81" t="s">
        <v>250</v>
      </c>
      <c r="J918" s="76" t="s">
        <v>12588</v>
      </c>
      <c r="K918" s="71" t="s">
        <v>12589</v>
      </c>
    </row>
    <row r="919" spans="1:11" x14ac:dyDescent="0.35">
      <c r="A919" s="78"/>
      <c r="B919" s="78"/>
      <c r="C919" s="78"/>
      <c r="D919" s="78"/>
      <c r="E919" s="71" t="s">
        <v>12590</v>
      </c>
      <c r="F919" s="78"/>
      <c r="G919" s="9"/>
      <c r="H919" s="79"/>
      <c r="I919" s="10"/>
      <c r="J919" s="79"/>
      <c r="K919" s="71" t="s">
        <v>12591</v>
      </c>
    </row>
    <row r="920" spans="1:11" x14ac:dyDescent="0.35">
      <c r="A920" s="78"/>
      <c r="B920" s="78"/>
      <c r="C920" s="70" t="s">
        <v>12592</v>
      </c>
      <c r="D920" s="70" t="s">
        <v>12593</v>
      </c>
      <c r="E920" s="71" t="s">
        <v>12594</v>
      </c>
      <c r="F920" s="83" t="s">
        <v>12595</v>
      </c>
      <c r="G920" s="73" t="s">
        <v>244</v>
      </c>
      <c r="H920" s="74" t="s">
        <v>12596</v>
      </c>
      <c r="I920" s="80" t="s">
        <v>120</v>
      </c>
      <c r="J920" s="76" t="s">
        <v>12597</v>
      </c>
      <c r="K920" s="71" t="s">
        <v>12598</v>
      </c>
    </row>
    <row r="921" spans="1:11" x14ac:dyDescent="0.35">
      <c r="A921" s="78"/>
      <c r="B921" s="78"/>
      <c r="C921" s="78"/>
      <c r="D921" s="78"/>
      <c r="E921" s="71" t="s">
        <v>12599</v>
      </c>
      <c r="F921" s="78"/>
      <c r="G921" s="9"/>
      <c r="H921" s="79"/>
      <c r="I921" s="10"/>
      <c r="J921" s="79"/>
      <c r="K921" s="71" t="s">
        <v>12600</v>
      </c>
    </row>
    <row r="922" spans="1:11" x14ac:dyDescent="0.35">
      <c r="A922" s="78"/>
      <c r="B922" s="78"/>
      <c r="C922" s="78"/>
      <c r="D922" s="70" t="s">
        <v>12601</v>
      </c>
      <c r="E922" s="71" t="s">
        <v>12602</v>
      </c>
      <c r="F922" s="83" t="s">
        <v>12603</v>
      </c>
      <c r="G922" s="73" t="s">
        <v>65</v>
      </c>
      <c r="H922" s="74" t="s">
        <v>12604</v>
      </c>
      <c r="I922" s="80" t="s">
        <v>120</v>
      </c>
      <c r="J922" s="76" t="s">
        <v>12605</v>
      </c>
      <c r="K922" s="71" t="s">
        <v>12606</v>
      </c>
    </row>
    <row r="923" spans="1:11" x14ac:dyDescent="0.35">
      <c r="A923" s="78"/>
      <c r="B923" s="78"/>
      <c r="C923" s="78"/>
      <c r="D923" s="78"/>
      <c r="E923" s="71" t="s">
        <v>12607</v>
      </c>
      <c r="F923" s="78"/>
      <c r="G923" s="9"/>
      <c r="H923" s="79"/>
      <c r="I923" s="10"/>
      <c r="J923" s="79"/>
      <c r="K923" s="71" t="s">
        <v>12608</v>
      </c>
    </row>
    <row r="924" spans="1:11" x14ac:dyDescent="0.35">
      <c r="A924" s="78"/>
      <c r="B924" s="78"/>
      <c r="C924" s="78"/>
      <c r="D924" s="70" t="s">
        <v>12609</v>
      </c>
      <c r="E924" s="71" t="s">
        <v>12610</v>
      </c>
      <c r="F924" s="83" t="s">
        <v>12611</v>
      </c>
      <c r="G924" s="73" t="s">
        <v>65</v>
      </c>
      <c r="H924" s="74" t="s">
        <v>12612</v>
      </c>
      <c r="I924" s="81" t="s">
        <v>250</v>
      </c>
      <c r="J924" s="76" t="s">
        <v>12613</v>
      </c>
      <c r="K924" s="71" t="s">
        <v>12614</v>
      </c>
    </row>
    <row r="925" spans="1:11" x14ac:dyDescent="0.35">
      <c r="A925" s="78"/>
      <c r="B925" s="78"/>
      <c r="C925" s="78"/>
      <c r="D925" s="78"/>
      <c r="E925" s="71" t="s">
        <v>12615</v>
      </c>
      <c r="F925" s="78"/>
      <c r="G925" s="9"/>
      <c r="H925" s="79"/>
      <c r="I925" s="10"/>
      <c r="J925" s="79"/>
      <c r="K925" s="71" t="s">
        <v>12616</v>
      </c>
    </row>
    <row r="926" spans="1:11" x14ac:dyDescent="0.35">
      <c r="A926" s="78"/>
      <c r="B926" s="78"/>
      <c r="C926" s="78"/>
      <c r="D926" s="70" t="s">
        <v>12617</v>
      </c>
      <c r="E926" s="71" t="s">
        <v>12618</v>
      </c>
      <c r="F926" s="83" t="s">
        <v>12619</v>
      </c>
      <c r="G926" s="73" t="s">
        <v>65</v>
      </c>
      <c r="H926" s="74" t="s">
        <v>12620</v>
      </c>
      <c r="I926" s="75" t="s">
        <v>58</v>
      </c>
      <c r="J926" s="76" t="s">
        <v>12621</v>
      </c>
      <c r="K926" s="71" t="s">
        <v>12622</v>
      </c>
    </row>
    <row r="927" spans="1:11" x14ac:dyDescent="0.35">
      <c r="A927" s="78"/>
      <c r="B927" s="78"/>
      <c r="C927" s="78"/>
      <c r="D927" s="78"/>
      <c r="E927" s="71" t="s">
        <v>12623</v>
      </c>
      <c r="F927" s="78"/>
      <c r="G927" s="9"/>
      <c r="H927" s="79"/>
      <c r="I927" s="10"/>
      <c r="J927" s="79"/>
      <c r="K927" s="71" t="s">
        <v>12624</v>
      </c>
    </row>
    <row r="928" spans="1:11" x14ac:dyDescent="0.35">
      <c r="A928" s="78"/>
      <c r="B928" s="78"/>
      <c r="C928" s="78"/>
      <c r="D928" s="70" t="s">
        <v>12625</v>
      </c>
      <c r="E928" s="71" t="s">
        <v>12626</v>
      </c>
      <c r="F928" s="83" t="s">
        <v>12627</v>
      </c>
      <c r="G928" s="73" t="s">
        <v>244</v>
      </c>
      <c r="H928" s="74" t="s">
        <v>12628</v>
      </c>
      <c r="I928" s="81" t="s">
        <v>250</v>
      </c>
      <c r="J928" s="76" t="s">
        <v>12629</v>
      </c>
      <c r="K928" s="71" t="s">
        <v>12630</v>
      </c>
    </row>
    <row r="929" spans="1:11" x14ac:dyDescent="0.35">
      <c r="A929" s="78"/>
      <c r="B929" s="78"/>
      <c r="C929" s="78"/>
      <c r="D929" s="78"/>
      <c r="E929" s="71" t="s">
        <v>12631</v>
      </c>
      <c r="F929" s="78"/>
      <c r="G929" s="9"/>
      <c r="H929" s="79"/>
      <c r="I929" s="10"/>
      <c r="J929" s="79"/>
      <c r="K929" s="71" t="s">
        <v>12608</v>
      </c>
    </row>
    <row r="930" spans="1:11" x14ac:dyDescent="0.35">
      <c r="A930" s="78"/>
      <c r="B930" s="78"/>
      <c r="C930" s="70" t="s">
        <v>12632</v>
      </c>
      <c r="D930" s="70" t="s">
        <v>12633</v>
      </c>
      <c r="E930" s="71" t="s">
        <v>12634</v>
      </c>
      <c r="F930" s="83" t="s">
        <v>12635</v>
      </c>
      <c r="G930" s="73" t="s">
        <v>2545</v>
      </c>
      <c r="H930" s="74" t="s">
        <v>12636</v>
      </c>
      <c r="I930" s="80" t="s">
        <v>120</v>
      </c>
      <c r="J930" s="76" t="s">
        <v>12637</v>
      </c>
      <c r="K930" s="71" t="s">
        <v>12638</v>
      </c>
    </row>
    <row r="931" spans="1:11" x14ac:dyDescent="0.35">
      <c r="A931" s="78"/>
      <c r="B931" s="78"/>
      <c r="C931" s="78"/>
      <c r="D931" s="78"/>
      <c r="E931" s="71" t="s">
        <v>12639</v>
      </c>
      <c r="F931" s="78"/>
      <c r="G931" s="9"/>
      <c r="H931" s="79"/>
      <c r="I931" s="10"/>
      <c r="J931" s="79"/>
      <c r="K931" s="71" t="s">
        <v>12640</v>
      </c>
    </row>
    <row r="932" spans="1:11" x14ac:dyDescent="0.35">
      <c r="A932" s="78"/>
      <c r="B932" s="78"/>
      <c r="C932" s="78"/>
      <c r="D932" s="70" t="s">
        <v>12641</v>
      </c>
      <c r="E932" s="71" t="s">
        <v>12642</v>
      </c>
      <c r="F932" s="83" t="s">
        <v>12643</v>
      </c>
      <c r="G932" s="73" t="s">
        <v>244</v>
      </c>
      <c r="H932" s="74" t="s">
        <v>12644</v>
      </c>
      <c r="I932" s="80" t="s">
        <v>120</v>
      </c>
      <c r="J932" s="76" t="s">
        <v>12645</v>
      </c>
      <c r="K932" s="71" t="s">
        <v>12646</v>
      </c>
    </row>
    <row r="933" spans="1:11" x14ac:dyDescent="0.35">
      <c r="A933" s="78"/>
      <c r="B933" s="78"/>
      <c r="C933" s="78"/>
      <c r="D933" s="78"/>
      <c r="E933" s="71" t="s">
        <v>12647</v>
      </c>
      <c r="F933" s="78"/>
      <c r="G933" s="9"/>
      <c r="H933" s="79"/>
      <c r="I933" s="10"/>
      <c r="J933" s="79"/>
      <c r="K933" s="71" t="s">
        <v>12118</v>
      </c>
    </row>
    <row r="934" spans="1:11" x14ac:dyDescent="0.35">
      <c r="A934" s="78"/>
      <c r="B934" s="78"/>
      <c r="C934" s="78"/>
      <c r="D934" s="70" t="s">
        <v>12648</v>
      </c>
      <c r="E934" s="71" t="s">
        <v>12649</v>
      </c>
      <c r="F934" s="83" t="s">
        <v>12650</v>
      </c>
      <c r="G934" s="73" t="s">
        <v>244</v>
      </c>
      <c r="H934" s="74" t="s">
        <v>12651</v>
      </c>
      <c r="I934" s="81" t="s">
        <v>250</v>
      </c>
      <c r="J934" s="76" t="s">
        <v>12652</v>
      </c>
      <c r="K934" s="71" t="s">
        <v>10716</v>
      </c>
    </row>
    <row r="935" spans="1:11" x14ac:dyDescent="0.35">
      <c r="A935" s="78"/>
      <c r="B935" s="78"/>
      <c r="C935" s="78"/>
      <c r="D935" s="78"/>
      <c r="E935" s="71" t="s">
        <v>12653</v>
      </c>
      <c r="F935" s="78"/>
      <c r="G935" s="9"/>
      <c r="H935" s="79"/>
      <c r="I935" s="10"/>
      <c r="J935" s="79"/>
      <c r="K935" s="71" t="s">
        <v>10718</v>
      </c>
    </row>
    <row r="936" spans="1:11" x14ac:dyDescent="0.35">
      <c r="A936" s="78"/>
      <c r="B936" s="78"/>
      <c r="C936" s="78"/>
      <c r="D936" s="70" t="s">
        <v>12654</v>
      </c>
      <c r="E936" s="71" t="s">
        <v>12655</v>
      </c>
      <c r="F936" s="83" t="s">
        <v>12656</v>
      </c>
      <c r="G936" s="73" t="s">
        <v>65</v>
      </c>
      <c r="H936" s="74" t="s">
        <v>12657</v>
      </c>
      <c r="I936" s="75" t="s">
        <v>58</v>
      </c>
      <c r="J936" s="76" t="s">
        <v>12658</v>
      </c>
      <c r="K936" s="71" t="s">
        <v>12466</v>
      </c>
    </row>
    <row r="937" spans="1:11" x14ac:dyDescent="0.35">
      <c r="A937" s="78"/>
      <c r="B937" s="78"/>
      <c r="C937" s="78"/>
      <c r="D937" s="78"/>
      <c r="E937" s="71" t="s">
        <v>12659</v>
      </c>
      <c r="F937" s="78"/>
      <c r="G937" s="9"/>
      <c r="H937" s="79"/>
      <c r="I937" s="10"/>
      <c r="J937" s="79"/>
      <c r="K937" s="71" t="s">
        <v>12468</v>
      </c>
    </row>
    <row r="938" spans="1:11" x14ac:dyDescent="0.35">
      <c r="A938" s="78"/>
      <c r="B938" s="78"/>
      <c r="C938" s="78"/>
      <c r="D938" s="70" t="s">
        <v>12660</v>
      </c>
      <c r="E938" s="71" t="s">
        <v>12661</v>
      </c>
      <c r="F938" s="83" t="s">
        <v>12662</v>
      </c>
      <c r="G938" s="73" t="s">
        <v>65</v>
      </c>
      <c r="H938" s="74" t="s">
        <v>10667</v>
      </c>
      <c r="I938" s="81" t="s">
        <v>250</v>
      </c>
      <c r="J938" s="76" t="s">
        <v>12663</v>
      </c>
      <c r="K938" s="71" t="s">
        <v>12664</v>
      </c>
    </row>
    <row r="939" spans="1:11" x14ac:dyDescent="0.35">
      <c r="A939" s="78"/>
      <c r="B939" s="78"/>
      <c r="C939" s="78"/>
      <c r="D939" s="78"/>
      <c r="E939" s="71" t="s">
        <v>12665</v>
      </c>
      <c r="F939" s="78"/>
      <c r="G939" s="9"/>
      <c r="H939" s="79"/>
      <c r="I939" s="10"/>
      <c r="J939" s="79"/>
      <c r="K939" s="71" t="s">
        <v>12666</v>
      </c>
    </row>
    <row r="940" spans="1:11" x14ac:dyDescent="0.35">
      <c r="A940" s="78"/>
      <c r="B940" s="78"/>
      <c r="C940" s="70" t="s">
        <v>12667</v>
      </c>
      <c r="D940" s="70" t="s">
        <v>12668</v>
      </c>
      <c r="E940" s="71" t="s">
        <v>12669</v>
      </c>
      <c r="F940" s="83" t="s">
        <v>12670</v>
      </c>
      <c r="G940" s="73" t="s">
        <v>65</v>
      </c>
      <c r="H940" s="74" t="s">
        <v>12671</v>
      </c>
      <c r="I940" s="80" t="s">
        <v>120</v>
      </c>
      <c r="J940" s="76" t="s">
        <v>12672</v>
      </c>
      <c r="K940" s="71" t="s">
        <v>12488</v>
      </c>
    </row>
    <row r="941" spans="1:11" x14ac:dyDescent="0.35">
      <c r="A941" s="78"/>
      <c r="B941" s="78"/>
      <c r="C941" s="78"/>
      <c r="D941" s="78"/>
      <c r="E941" s="71" t="s">
        <v>12673</v>
      </c>
      <c r="F941" s="78"/>
      <c r="G941" s="9"/>
      <c r="H941" s="79"/>
      <c r="I941" s="10"/>
      <c r="J941" s="79"/>
      <c r="K941" s="71" t="s">
        <v>12490</v>
      </c>
    </row>
    <row r="942" spans="1:11" x14ac:dyDescent="0.35">
      <c r="A942" s="78"/>
      <c r="B942" s="78"/>
      <c r="C942" s="78"/>
      <c r="D942" s="70" t="s">
        <v>12674</v>
      </c>
      <c r="E942" s="71" t="s">
        <v>12675</v>
      </c>
      <c r="F942" s="83" t="s">
        <v>12676</v>
      </c>
      <c r="G942" s="73" t="s">
        <v>244</v>
      </c>
      <c r="H942" s="74" t="s">
        <v>12677</v>
      </c>
      <c r="I942" s="80" t="s">
        <v>120</v>
      </c>
      <c r="J942" s="76" t="s">
        <v>12190</v>
      </c>
      <c r="K942" s="71" t="s">
        <v>11816</v>
      </c>
    </row>
    <row r="943" spans="1:11" x14ac:dyDescent="0.35">
      <c r="A943" s="78"/>
      <c r="B943" s="78"/>
      <c r="C943" s="78"/>
      <c r="D943" s="78"/>
      <c r="E943" s="71" t="s">
        <v>12678</v>
      </c>
      <c r="F943" s="78"/>
      <c r="G943" s="9"/>
      <c r="H943" s="79"/>
      <c r="I943" s="10"/>
      <c r="J943" s="79"/>
      <c r="K943" s="71" t="s">
        <v>12186</v>
      </c>
    </row>
    <row r="944" spans="1:11" x14ac:dyDescent="0.35">
      <c r="A944" s="78"/>
      <c r="B944" s="78"/>
      <c r="C944" s="78"/>
      <c r="D944" s="70" t="s">
        <v>12679</v>
      </c>
      <c r="E944" s="71" t="s">
        <v>12680</v>
      </c>
      <c r="F944" s="83" t="s">
        <v>12681</v>
      </c>
      <c r="G944" s="73" t="s">
        <v>2545</v>
      </c>
      <c r="H944" s="74" t="s">
        <v>12682</v>
      </c>
      <c r="I944" s="81" t="s">
        <v>250</v>
      </c>
      <c r="J944" s="76" t="s">
        <v>12197</v>
      </c>
      <c r="K944" s="71" t="s">
        <v>12191</v>
      </c>
    </row>
    <row r="945" spans="1:11" x14ac:dyDescent="0.35">
      <c r="A945" s="78"/>
      <c r="B945" s="78"/>
      <c r="C945" s="78"/>
      <c r="D945" s="78"/>
      <c r="E945" s="71" t="s">
        <v>12683</v>
      </c>
      <c r="F945" s="78"/>
      <c r="G945" s="9"/>
      <c r="H945" s="79"/>
      <c r="I945" s="10"/>
      <c r="J945" s="79"/>
      <c r="K945" s="71" t="s">
        <v>12193</v>
      </c>
    </row>
    <row r="946" spans="1:11" x14ac:dyDescent="0.35">
      <c r="A946" s="78"/>
      <c r="B946" s="78"/>
      <c r="C946" s="78"/>
      <c r="D946" s="70" t="s">
        <v>12684</v>
      </c>
      <c r="E946" s="71" t="s">
        <v>1472</v>
      </c>
      <c r="F946" s="83" t="s">
        <v>12685</v>
      </c>
      <c r="G946" s="73" t="s">
        <v>244</v>
      </c>
      <c r="H946" s="74" t="s">
        <v>12686</v>
      </c>
      <c r="I946" s="75" t="s">
        <v>58</v>
      </c>
      <c r="J946" s="76" t="s">
        <v>12204</v>
      </c>
      <c r="K946" s="71" t="s">
        <v>12198</v>
      </c>
    </row>
    <row r="947" spans="1:11" x14ac:dyDescent="0.35">
      <c r="A947" s="78"/>
      <c r="B947" s="78"/>
      <c r="C947" s="78"/>
      <c r="D947" s="78"/>
      <c r="E947" s="71" t="s">
        <v>12687</v>
      </c>
      <c r="F947" s="78"/>
      <c r="G947" s="9"/>
      <c r="H947" s="79"/>
      <c r="I947" s="10"/>
      <c r="J947" s="79"/>
      <c r="K947" s="71" t="s">
        <v>12200</v>
      </c>
    </row>
    <row r="948" spans="1:11" x14ac:dyDescent="0.35">
      <c r="A948" s="78"/>
      <c r="B948" s="78"/>
      <c r="C948" s="78"/>
      <c r="D948" s="70" t="s">
        <v>12688</v>
      </c>
      <c r="E948" s="71" t="s">
        <v>12689</v>
      </c>
      <c r="F948" s="83" t="s">
        <v>12690</v>
      </c>
      <c r="G948" s="73" t="s">
        <v>244</v>
      </c>
      <c r="H948" s="74" t="s">
        <v>12691</v>
      </c>
      <c r="I948" s="81" t="s">
        <v>250</v>
      </c>
      <c r="J948" s="76" t="s">
        <v>12211</v>
      </c>
      <c r="K948" s="71" t="s">
        <v>12692</v>
      </c>
    </row>
    <row r="949" spans="1:11" x14ac:dyDescent="0.35">
      <c r="A949" s="78"/>
      <c r="B949" s="78"/>
      <c r="C949" s="78"/>
      <c r="D949" s="78"/>
      <c r="E949" s="71" t="s">
        <v>12693</v>
      </c>
      <c r="F949" s="78"/>
      <c r="G949" s="9"/>
      <c r="H949" s="79"/>
      <c r="I949" s="10"/>
      <c r="J949" s="79"/>
      <c r="K949" s="71" t="s">
        <v>12694</v>
      </c>
    </row>
    <row r="950" spans="1:11" x14ac:dyDescent="0.35">
      <c r="A950" s="78"/>
      <c r="B950" s="78"/>
      <c r="C950" s="70" t="s">
        <v>12695</v>
      </c>
      <c r="D950" s="70" t="s">
        <v>12696</v>
      </c>
      <c r="E950" s="71" t="s">
        <v>12697</v>
      </c>
      <c r="F950" s="83" t="s">
        <v>12698</v>
      </c>
      <c r="G950" s="73" t="s">
        <v>65</v>
      </c>
      <c r="H950" s="74" t="s">
        <v>12699</v>
      </c>
      <c r="I950" s="80" t="s">
        <v>120</v>
      </c>
      <c r="J950" s="76" t="s">
        <v>12700</v>
      </c>
      <c r="K950" s="71" t="s">
        <v>12262</v>
      </c>
    </row>
    <row r="951" spans="1:11" x14ac:dyDescent="0.35">
      <c r="A951" s="78"/>
      <c r="B951" s="78"/>
      <c r="C951" s="78"/>
      <c r="D951" s="78"/>
      <c r="E951" s="71" t="s">
        <v>12701</v>
      </c>
      <c r="F951" s="78"/>
      <c r="G951" s="9"/>
      <c r="H951" s="79"/>
      <c r="I951" s="10"/>
      <c r="J951" s="79"/>
      <c r="K951" s="71" t="s">
        <v>12702</v>
      </c>
    </row>
    <row r="952" spans="1:11" x14ac:dyDescent="0.35">
      <c r="A952" s="78"/>
      <c r="B952" s="78"/>
      <c r="C952" s="78"/>
      <c r="D952" s="70" t="s">
        <v>12703</v>
      </c>
      <c r="E952" s="71" t="s">
        <v>12704</v>
      </c>
      <c r="F952" s="83" t="s">
        <v>12705</v>
      </c>
      <c r="G952" s="73" t="s">
        <v>65</v>
      </c>
      <c r="H952" s="74" t="s">
        <v>12706</v>
      </c>
      <c r="I952" s="80" t="s">
        <v>120</v>
      </c>
      <c r="J952" s="76" t="s">
        <v>12707</v>
      </c>
      <c r="K952" s="71" t="s">
        <v>10716</v>
      </c>
    </row>
    <row r="953" spans="1:11" x14ac:dyDescent="0.35">
      <c r="A953" s="78"/>
      <c r="B953" s="78"/>
      <c r="C953" s="78"/>
      <c r="D953" s="78"/>
      <c r="E953" s="71" t="s">
        <v>12708</v>
      </c>
      <c r="F953" s="78"/>
      <c r="G953" s="9"/>
      <c r="H953" s="79"/>
      <c r="I953" s="10"/>
      <c r="J953" s="79"/>
      <c r="K953" s="71" t="s">
        <v>10718</v>
      </c>
    </row>
    <row r="954" spans="1:11" x14ac:dyDescent="0.35">
      <c r="A954" s="78"/>
      <c r="B954" s="78"/>
      <c r="C954" s="78"/>
      <c r="D954" s="70" t="s">
        <v>12709</v>
      </c>
      <c r="E954" s="71" t="s">
        <v>12710</v>
      </c>
      <c r="F954" s="83" t="s">
        <v>12711</v>
      </c>
      <c r="G954" s="73" t="s">
        <v>65</v>
      </c>
      <c r="H954" s="74" t="s">
        <v>12712</v>
      </c>
      <c r="I954" s="81" t="s">
        <v>250</v>
      </c>
      <c r="J954" s="76" t="s">
        <v>12652</v>
      </c>
      <c r="K954" s="71" t="s">
        <v>12713</v>
      </c>
    </row>
    <row r="955" spans="1:11" x14ac:dyDescent="0.35">
      <c r="A955" s="78"/>
      <c r="B955" s="78"/>
      <c r="C955" s="78"/>
      <c r="D955" s="78"/>
      <c r="E955" s="71" t="s">
        <v>12714</v>
      </c>
      <c r="F955" s="78"/>
      <c r="G955" s="9"/>
      <c r="H955" s="79"/>
      <c r="I955" s="10"/>
      <c r="J955" s="79"/>
      <c r="K955" s="71" t="s">
        <v>12430</v>
      </c>
    </row>
    <row r="956" spans="1:11" x14ac:dyDescent="0.35">
      <c r="A956" s="78"/>
      <c r="B956" s="78"/>
      <c r="C956" s="78"/>
      <c r="D956" s="70" t="s">
        <v>12715</v>
      </c>
      <c r="E956" s="71" t="s">
        <v>12716</v>
      </c>
      <c r="F956" s="83" t="s">
        <v>12717</v>
      </c>
      <c r="G956" s="73" t="s">
        <v>244</v>
      </c>
      <c r="H956" s="74" t="s">
        <v>12718</v>
      </c>
      <c r="I956" s="75" t="s">
        <v>58</v>
      </c>
      <c r="J956" s="76" t="s">
        <v>12719</v>
      </c>
      <c r="K956" s="71" t="s">
        <v>12720</v>
      </c>
    </row>
    <row r="957" spans="1:11" x14ac:dyDescent="0.35">
      <c r="A957" s="78"/>
      <c r="B957" s="78"/>
      <c r="C957" s="78"/>
      <c r="D957" s="78"/>
      <c r="E957" s="71" t="s">
        <v>12721</v>
      </c>
      <c r="F957" s="78"/>
      <c r="G957" s="9"/>
      <c r="H957" s="79"/>
      <c r="I957" s="10"/>
      <c r="J957" s="79"/>
      <c r="K957" s="71" t="s">
        <v>12722</v>
      </c>
    </row>
    <row r="958" spans="1:11" x14ac:dyDescent="0.35">
      <c r="A958" s="78"/>
      <c r="B958" s="78"/>
      <c r="C958" s="78"/>
      <c r="D958" s="70" t="s">
        <v>12723</v>
      </c>
      <c r="E958" s="71" t="s">
        <v>12724</v>
      </c>
      <c r="F958" s="83" t="s">
        <v>12725</v>
      </c>
      <c r="G958" s="73" t="s">
        <v>2545</v>
      </c>
      <c r="H958" s="74" t="s">
        <v>12726</v>
      </c>
      <c r="I958" s="81" t="s">
        <v>250</v>
      </c>
      <c r="J958" s="76" t="s">
        <v>12727</v>
      </c>
      <c r="K958" s="71" t="s">
        <v>12728</v>
      </c>
    </row>
    <row r="959" spans="1:11" x14ac:dyDescent="0.35">
      <c r="A959" s="78"/>
      <c r="B959" s="78"/>
      <c r="C959" s="78"/>
      <c r="D959" s="78"/>
      <c r="E959" s="71" t="s">
        <v>12729</v>
      </c>
      <c r="F959" s="78"/>
      <c r="G959" s="9"/>
      <c r="H959" s="79"/>
      <c r="I959" s="10"/>
      <c r="J959" s="79"/>
      <c r="K959" s="71" t="s">
        <v>12730</v>
      </c>
    </row>
    <row r="960" spans="1:11" x14ac:dyDescent="0.35">
      <c r="A960" s="78"/>
      <c r="B960" s="78"/>
      <c r="C960" s="70" t="s">
        <v>32</v>
      </c>
      <c r="D960" s="70" t="s">
        <v>12731</v>
      </c>
      <c r="E960" s="71" t="s">
        <v>12732</v>
      </c>
      <c r="F960" s="83" t="s">
        <v>12733</v>
      </c>
      <c r="G960" s="73" t="s">
        <v>244</v>
      </c>
      <c r="H960" s="74" t="s">
        <v>12734</v>
      </c>
      <c r="I960" s="80" t="s">
        <v>120</v>
      </c>
      <c r="J960" s="76" t="s">
        <v>12735</v>
      </c>
      <c r="K960" s="71" t="s">
        <v>12736</v>
      </c>
    </row>
    <row r="961" spans="1:11" x14ac:dyDescent="0.35">
      <c r="A961" s="78"/>
      <c r="B961" s="78"/>
      <c r="C961" s="78"/>
      <c r="D961" s="78"/>
      <c r="E961" s="71" t="s">
        <v>12737</v>
      </c>
      <c r="F961" s="78"/>
      <c r="G961" s="9"/>
      <c r="H961" s="79"/>
      <c r="I961" s="10"/>
      <c r="J961" s="79"/>
      <c r="K961" s="71" t="s">
        <v>12738</v>
      </c>
    </row>
    <row r="962" spans="1:11" x14ac:dyDescent="0.35">
      <c r="A962" s="78"/>
      <c r="B962" s="78"/>
      <c r="C962" s="78"/>
      <c r="D962" s="70" t="s">
        <v>12739</v>
      </c>
      <c r="E962" s="71" t="s">
        <v>12393</v>
      </c>
      <c r="F962" s="83" t="s">
        <v>12740</v>
      </c>
      <c r="G962" s="73" t="s">
        <v>244</v>
      </c>
      <c r="H962" s="74" t="s">
        <v>12741</v>
      </c>
      <c r="I962" s="80" t="s">
        <v>120</v>
      </c>
      <c r="J962" s="76" t="s">
        <v>12742</v>
      </c>
      <c r="K962" s="71" t="s">
        <v>11840</v>
      </c>
    </row>
    <row r="963" spans="1:11" x14ac:dyDescent="0.35">
      <c r="A963" s="78"/>
      <c r="B963" s="78"/>
      <c r="C963" s="78"/>
      <c r="D963" s="78"/>
      <c r="E963" s="71" t="s">
        <v>12332</v>
      </c>
      <c r="F963" s="78"/>
      <c r="G963" s="9"/>
      <c r="H963" s="79"/>
      <c r="I963" s="10"/>
      <c r="J963" s="79"/>
      <c r="K963" s="71" t="s">
        <v>12743</v>
      </c>
    </row>
    <row r="964" spans="1:11" x14ac:dyDescent="0.35">
      <c r="A964" s="78"/>
      <c r="B964" s="78"/>
      <c r="C964" s="78"/>
      <c r="D964" s="70" t="s">
        <v>12744</v>
      </c>
      <c r="E964" s="71" t="s">
        <v>12745</v>
      </c>
      <c r="F964" s="83" t="s">
        <v>12746</v>
      </c>
      <c r="G964" s="73" t="s">
        <v>65</v>
      </c>
      <c r="H964" s="74" t="s">
        <v>12747</v>
      </c>
      <c r="I964" s="81" t="s">
        <v>250</v>
      </c>
      <c r="J964" s="76" t="s">
        <v>12748</v>
      </c>
      <c r="K964" s="71" t="s">
        <v>12622</v>
      </c>
    </row>
    <row r="965" spans="1:11" x14ac:dyDescent="0.35">
      <c r="A965" s="78"/>
      <c r="B965" s="78"/>
      <c r="C965" s="78"/>
      <c r="D965" s="78"/>
      <c r="E965" s="71" t="s">
        <v>12749</v>
      </c>
      <c r="F965" s="78"/>
      <c r="G965" s="9"/>
      <c r="H965" s="79"/>
      <c r="I965" s="10"/>
      <c r="J965" s="79"/>
      <c r="K965" s="71" t="s">
        <v>12624</v>
      </c>
    </row>
    <row r="966" spans="1:11" x14ac:dyDescent="0.35">
      <c r="A966" s="78"/>
      <c r="B966" s="78"/>
      <c r="C966" s="78"/>
      <c r="D966" s="70" t="s">
        <v>12750</v>
      </c>
      <c r="E966" s="71" t="s">
        <v>12751</v>
      </c>
      <c r="F966" s="83" t="s">
        <v>12752</v>
      </c>
      <c r="G966" s="73" t="s">
        <v>65</v>
      </c>
      <c r="H966" s="74" t="s">
        <v>12753</v>
      </c>
      <c r="I966" s="75" t="s">
        <v>58</v>
      </c>
      <c r="J966" s="76" t="s">
        <v>12754</v>
      </c>
      <c r="K966" s="71" t="s">
        <v>12755</v>
      </c>
    </row>
    <row r="967" spans="1:11" x14ac:dyDescent="0.35">
      <c r="A967" s="78"/>
      <c r="B967" s="78"/>
      <c r="C967" s="78"/>
      <c r="D967" s="78"/>
      <c r="E967" s="71" t="s">
        <v>12756</v>
      </c>
      <c r="F967" s="78"/>
      <c r="G967" s="9"/>
      <c r="H967" s="79"/>
      <c r="I967" s="10"/>
      <c r="J967" s="79"/>
      <c r="K967" s="71" t="s">
        <v>12757</v>
      </c>
    </row>
    <row r="968" spans="1:11" x14ac:dyDescent="0.35">
      <c r="A968" s="78"/>
      <c r="B968" s="78"/>
      <c r="C968" s="78"/>
      <c r="D968" s="70" t="s">
        <v>12758</v>
      </c>
      <c r="E968" s="71" t="s">
        <v>12759</v>
      </c>
      <c r="F968" s="83" t="s">
        <v>12760</v>
      </c>
      <c r="G968" s="73" t="s">
        <v>65</v>
      </c>
      <c r="H968" s="74" t="s">
        <v>12761</v>
      </c>
      <c r="I968" s="81" t="s">
        <v>250</v>
      </c>
      <c r="J968" s="76" t="s">
        <v>12762</v>
      </c>
      <c r="K968" s="71" t="s">
        <v>12763</v>
      </c>
    </row>
    <row r="969" spans="1:11" x14ac:dyDescent="0.35">
      <c r="A969" s="78"/>
      <c r="B969" s="78"/>
      <c r="C969" s="78"/>
      <c r="D969" s="78"/>
      <c r="E969" s="71" t="s">
        <v>12764</v>
      </c>
      <c r="F969" s="78"/>
      <c r="G969" s="9"/>
      <c r="H969" s="79"/>
      <c r="I969" s="10"/>
      <c r="J969" s="79"/>
      <c r="K969" s="71" t="s">
        <v>12765</v>
      </c>
    </row>
    <row r="970" spans="1:11" x14ac:dyDescent="0.35">
      <c r="A970" s="78"/>
      <c r="B970" s="78"/>
      <c r="C970" s="70" t="s">
        <v>12766</v>
      </c>
      <c r="D970" s="70" t="s">
        <v>12767</v>
      </c>
      <c r="E970" s="71" t="s">
        <v>12768</v>
      </c>
      <c r="F970" s="83" t="s">
        <v>12769</v>
      </c>
      <c r="G970" s="73" t="s">
        <v>244</v>
      </c>
      <c r="H970" s="74" t="s">
        <v>12770</v>
      </c>
      <c r="I970" s="80" t="s">
        <v>120</v>
      </c>
      <c r="J970" s="76" t="s">
        <v>12771</v>
      </c>
      <c r="K970" s="71" t="s">
        <v>12772</v>
      </c>
    </row>
    <row r="971" spans="1:11" x14ac:dyDescent="0.35">
      <c r="A971" s="78"/>
      <c r="B971" s="78"/>
      <c r="C971" s="78"/>
      <c r="D971" s="78"/>
      <c r="E971" s="71" t="s">
        <v>12773</v>
      </c>
      <c r="F971" s="78"/>
      <c r="G971" s="9"/>
      <c r="H971" s="79"/>
      <c r="I971" s="10"/>
      <c r="J971" s="79"/>
      <c r="K971" s="71" t="s">
        <v>12774</v>
      </c>
    </row>
    <row r="972" spans="1:11" x14ac:dyDescent="0.35">
      <c r="A972" s="78"/>
      <c r="B972" s="78"/>
      <c r="C972" s="78"/>
      <c r="D972" s="70" t="s">
        <v>12775</v>
      </c>
      <c r="E972" s="71" t="s">
        <v>12776</v>
      </c>
      <c r="F972" s="83" t="s">
        <v>12777</v>
      </c>
      <c r="G972" s="73" t="s">
        <v>2545</v>
      </c>
      <c r="H972" s="74" t="s">
        <v>12778</v>
      </c>
      <c r="I972" s="80" t="s">
        <v>120</v>
      </c>
      <c r="J972" s="76" t="s">
        <v>12779</v>
      </c>
      <c r="K972" s="71" t="s">
        <v>12542</v>
      </c>
    </row>
    <row r="973" spans="1:11" x14ac:dyDescent="0.35">
      <c r="A973" s="78"/>
      <c r="B973" s="78"/>
      <c r="C973" s="78"/>
      <c r="D973" s="78"/>
      <c r="E973" s="71" t="s">
        <v>12780</v>
      </c>
      <c r="F973" s="78"/>
      <c r="G973" s="9"/>
      <c r="H973" s="79"/>
      <c r="I973" s="10"/>
      <c r="J973" s="79"/>
      <c r="K973" s="71" t="s">
        <v>12781</v>
      </c>
    </row>
    <row r="974" spans="1:11" x14ac:dyDescent="0.35">
      <c r="A974" s="78"/>
      <c r="B974" s="78"/>
      <c r="C974" s="78"/>
      <c r="D974" s="70" t="s">
        <v>12782</v>
      </c>
      <c r="E974" s="71" t="s">
        <v>12783</v>
      </c>
      <c r="F974" s="83" t="s">
        <v>12784</v>
      </c>
      <c r="G974" s="73" t="s">
        <v>244</v>
      </c>
      <c r="H974" s="74" t="s">
        <v>12785</v>
      </c>
      <c r="I974" s="81" t="s">
        <v>250</v>
      </c>
      <c r="J974" s="76" t="s">
        <v>12786</v>
      </c>
      <c r="K974" s="71" t="s">
        <v>12787</v>
      </c>
    </row>
    <row r="975" spans="1:11" x14ac:dyDescent="0.35">
      <c r="A975" s="78"/>
      <c r="B975" s="78"/>
      <c r="C975" s="78"/>
      <c r="D975" s="78"/>
      <c r="E975" s="71" t="s">
        <v>12788</v>
      </c>
      <c r="F975" s="78"/>
      <c r="G975" s="9"/>
      <c r="H975" s="79"/>
      <c r="I975" s="10"/>
      <c r="J975" s="79"/>
      <c r="K975" s="71" t="s">
        <v>12789</v>
      </c>
    </row>
    <row r="976" spans="1:11" x14ac:dyDescent="0.35">
      <c r="A976" s="78"/>
      <c r="B976" s="78"/>
      <c r="C976" s="78"/>
      <c r="D976" s="70" t="s">
        <v>12790</v>
      </c>
      <c r="E976" s="71" t="s">
        <v>12791</v>
      </c>
      <c r="F976" s="83" t="s">
        <v>12792</v>
      </c>
      <c r="G976" s="73" t="s">
        <v>244</v>
      </c>
      <c r="H976" s="74" t="s">
        <v>12793</v>
      </c>
      <c r="I976" s="75" t="s">
        <v>58</v>
      </c>
      <c r="J976" s="76" t="s">
        <v>12794</v>
      </c>
      <c r="K976" s="71" t="s">
        <v>12795</v>
      </c>
    </row>
    <row r="977" spans="1:11" x14ac:dyDescent="0.35">
      <c r="A977" s="78"/>
      <c r="B977" s="78"/>
      <c r="C977" s="78"/>
      <c r="D977" s="78"/>
      <c r="E977" s="71" t="s">
        <v>12796</v>
      </c>
      <c r="F977" s="78"/>
      <c r="G977" s="9"/>
      <c r="H977" s="79"/>
      <c r="I977" s="10"/>
      <c r="J977" s="79"/>
      <c r="K977" s="71" t="s">
        <v>12797</v>
      </c>
    </row>
    <row r="978" spans="1:11" x14ac:dyDescent="0.35">
      <c r="A978" s="78"/>
      <c r="B978" s="78"/>
      <c r="C978" s="78"/>
      <c r="D978" s="70" t="s">
        <v>12798</v>
      </c>
      <c r="E978" s="71" t="s">
        <v>12799</v>
      </c>
      <c r="F978" s="83" t="s">
        <v>12800</v>
      </c>
      <c r="G978" s="73" t="s">
        <v>65</v>
      </c>
      <c r="H978" s="74" t="s">
        <v>12801</v>
      </c>
      <c r="I978" s="81" t="s">
        <v>250</v>
      </c>
      <c r="J978" s="76" t="s">
        <v>12802</v>
      </c>
      <c r="K978" s="71" t="s">
        <v>12803</v>
      </c>
    </row>
    <row r="979" spans="1:11" x14ac:dyDescent="0.35">
      <c r="A979" s="78"/>
      <c r="B979" s="78"/>
      <c r="C979" s="78"/>
      <c r="D979" s="78"/>
      <c r="E979" s="71" t="s">
        <v>12804</v>
      </c>
      <c r="F979" s="78"/>
      <c r="G979" s="9"/>
      <c r="H979" s="79"/>
      <c r="I979" s="10"/>
      <c r="J979" s="79"/>
      <c r="K979" s="71" t="s">
        <v>12805</v>
      </c>
    </row>
    <row r="980" spans="1:11" x14ac:dyDescent="0.35">
      <c r="A980" s="78"/>
      <c r="B980" s="78"/>
      <c r="C980" s="70" t="s">
        <v>12806</v>
      </c>
      <c r="D980" s="70" t="s">
        <v>12807</v>
      </c>
      <c r="E980" s="71" t="s">
        <v>12808</v>
      </c>
      <c r="F980" s="83" t="s">
        <v>12809</v>
      </c>
      <c r="G980" s="73" t="s">
        <v>65</v>
      </c>
      <c r="H980" s="74" t="s">
        <v>12810</v>
      </c>
      <c r="I980" s="80" t="s">
        <v>120</v>
      </c>
      <c r="J980" s="76" t="s">
        <v>12811</v>
      </c>
      <c r="K980" s="71" t="s">
        <v>12812</v>
      </c>
    </row>
    <row r="981" spans="1:11" x14ac:dyDescent="0.35">
      <c r="A981" s="78"/>
      <c r="B981" s="78"/>
      <c r="C981" s="78"/>
      <c r="D981" s="78"/>
      <c r="E981" s="71" t="s">
        <v>12813</v>
      </c>
      <c r="F981" s="78"/>
      <c r="G981" s="9"/>
      <c r="H981" s="79"/>
      <c r="I981" s="10"/>
      <c r="J981" s="79"/>
      <c r="K981" s="71" t="s">
        <v>12814</v>
      </c>
    </row>
    <row r="982" spans="1:11" x14ac:dyDescent="0.35">
      <c r="A982" s="78"/>
      <c r="B982" s="78"/>
      <c r="C982" s="78"/>
      <c r="D982" s="70" t="s">
        <v>12815</v>
      </c>
      <c r="E982" s="71" t="s">
        <v>12816</v>
      </c>
      <c r="F982" s="83" t="s">
        <v>12817</v>
      </c>
      <c r="G982" s="73" t="s">
        <v>65</v>
      </c>
      <c r="H982" s="74" t="s">
        <v>12818</v>
      </c>
      <c r="I982" s="80" t="s">
        <v>120</v>
      </c>
      <c r="J982" s="76" t="s">
        <v>12819</v>
      </c>
      <c r="K982" s="71" t="s">
        <v>12820</v>
      </c>
    </row>
    <row r="983" spans="1:11" x14ac:dyDescent="0.35">
      <c r="A983" s="78"/>
      <c r="B983" s="78"/>
      <c r="C983" s="78"/>
      <c r="D983" s="78"/>
      <c r="E983" s="71" t="s">
        <v>12821</v>
      </c>
      <c r="F983" s="78"/>
      <c r="G983" s="9"/>
      <c r="H983" s="79"/>
      <c r="I983" s="10"/>
      <c r="J983" s="79"/>
      <c r="K983" s="71" t="s">
        <v>12822</v>
      </c>
    </row>
    <row r="984" spans="1:11" x14ac:dyDescent="0.35">
      <c r="A984" s="78"/>
      <c r="B984" s="78"/>
      <c r="C984" s="78"/>
      <c r="D984" s="70" t="s">
        <v>12823</v>
      </c>
      <c r="E984" s="71" t="s">
        <v>12824</v>
      </c>
      <c r="F984" s="83" t="s">
        <v>12825</v>
      </c>
      <c r="G984" s="73" t="s">
        <v>244</v>
      </c>
      <c r="H984" s="74" t="s">
        <v>12826</v>
      </c>
      <c r="I984" s="81" t="s">
        <v>250</v>
      </c>
      <c r="J984" s="76" t="s">
        <v>12827</v>
      </c>
      <c r="K984" s="71" t="s">
        <v>12803</v>
      </c>
    </row>
    <row r="985" spans="1:11" x14ac:dyDescent="0.35">
      <c r="A985" s="78"/>
      <c r="B985" s="78"/>
      <c r="C985" s="78"/>
      <c r="D985" s="78"/>
      <c r="E985" s="71" t="s">
        <v>12828</v>
      </c>
      <c r="F985" s="78"/>
      <c r="G985" s="9"/>
      <c r="H985" s="79"/>
      <c r="I985" s="10"/>
      <c r="J985" s="79"/>
      <c r="K985" s="71" t="s">
        <v>12805</v>
      </c>
    </row>
    <row r="986" spans="1:11" x14ac:dyDescent="0.35">
      <c r="A986" s="78"/>
      <c r="B986" s="78"/>
      <c r="C986" s="78"/>
      <c r="D986" s="70" t="s">
        <v>12829</v>
      </c>
      <c r="E986" s="71" t="s">
        <v>12830</v>
      </c>
      <c r="F986" s="83" t="s">
        <v>12831</v>
      </c>
      <c r="G986" s="73" t="s">
        <v>2545</v>
      </c>
      <c r="H986" s="74" t="s">
        <v>12832</v>
      </c>
      <c r="I986" s="75" t="s">
        <v>58</v>
      </c>
      <c r="J986" s="76" t="s">
        <v>12833</v>
      </c>
      <c r="K986" s="71" t="s">
        <v>12812</v>
      </c>
    </row>
    <row r="987" spans="1:11" x14ac:dyDescent="0.35">
      <c r="A987" s="78"/>
      <c r="B987" s="78"/>
      <c r="C987" s="78"/>
      <c r="D987" s="78"/>
      <c r="E987" s="71" t="s">
        <v>12834</v>
      </c>
      <c r="F987" s="78"/>
      <c r="G987" s="9"/>
      <c r="H987" s="79"/>
      <c r="I987" s="10"/>
      <c r="J987" s="79"/>
      <c r="K987" s="71" t="s">
        <v>12814</v>
      </c>
    </row>
    <row r="988" spans="1:11" x14ac:dyDescent="0.35">
      <c r="A988" s="78"/>
      <c r="B988" s="78"/>
      <c r="C988" s="78"/>
      <c r="D988" s="70" t="s">
        <v>12835</v>
      </c>
      <c r="E988" s="71" t="s">
        <v>12836</v>
      </c>
      <c r="F988" s="83" t="s">
        <v>12837</v>
      </c>
      <c r="G988" s="73" t="s">
        <v>244</v>
      </c>
      <c r="H988" s="74" t="s">
        <v>12838</v>
      </c>
      <c r="I988" s="81" t="s">
        <v>250</v>
      </c>
      <c r="J988" s="76" t="s">
        <v>12839</v>
      </c>
      <c r="K988" s="71" t="s">
        <v>12820</v>
      </c>
    </row>
    <row r="989" spans="1:11" x14ac:dyDescent="0.35">
      <c r="A989" s="78"/>
      <c r="B989" s="78"/>
      <c r="C989" s="78"/>
      <c r="D989" s="78"/>
      <c r="E989" s="71" t="s">
        <v>12840</v>
      </c>
      <c r="F989" s="78"/>
      <c r="G989" s="9"/>
      <c r="H989" s="79"/>
      <c r="I989" s="10"/>
      <c r="J989" s="79"/>
      <c r="K989" s="71" t="s">
        <v>12822</v>
      </c>
    </row>
    <row r="990" spans="1:11" x14ac:dyDescent="0.35">
      <c r="A990" s="78"/>
      <c r="B990" s="78"/>
      <c r="C990" s="70" t="s">
        <v>12841</v>
      </c>
      <c r="D990" s="70" t="s">
        <v>12842</v>
      </c>
      <c r="E990" s="71" t="s">
        <v>12843</v>
      </c>
      <c r="F990" s="83" t="s">
        <v>12844</v>
      </c>
      <c r="G990" s="73" t="s">
        <v>244</v>
      </c>
      <c r="H990" s="74" t="s">
        <v>12845</v>
      </c>
      <c r="I990" s="80" t="s">
        <v>120</v>
      </c>
      <c r="J990" s="76" t="s">
        <v>12846</v>
      </c>
      <c r="K990" s="71" t="s">
        <v>12847</v>
      </c>
    </row>
    <row r="991" spans="1:11" x14ac:dyDescent="0.35">
      <c r="A991" s="78"/>
      <c r="B991" s="78"/>
      <c r="C991" s="78"/>
      <c r="D991" s="78"/>
      <c r="E991" s="71" t="s">
        <v>12848</v>
      </c>
      <c r="F991" s="78"/>
      <c r="G991" s="9"/>
      <c r="H991" s="79"/>
      <c r="I991" s="10"/>
      <c r="J991" s="79"/>
      <c r="K991" s="71" t="s">
        <v>12849</v>
      </c>
    </row>
    <row r="992" spans="1:11" x14ac:dyDescent="0.35">
      <c r="A992" s="78"/>
      <c r="B992" s="78"/>
      <c r="C992" s="78"/>
      <c r="D992" s="70" t="s">
        <v>12850</v>
      </c>
      <c r="E992" s="71" t="s">
        <v>12851</v>
      </c>
      <c r="F992" s="83" t="s">
        <v>12852</v>
      </c>
      <c r="G992" s="73" t="s">
        <v>65</v>
      </c>
      <c r="H992" s="74" t="s">
        <v>12853</v>
      </c>
      <c r="I992" s="80" t="s">
        <v>120</v>
      </c>
      <c r="J992" s="76" t="s">
        <v>12854</v>
      </c>
      <c r="K992" s="71" t="s">
        <v>12622</v>
      </c>
    </row>
    <row r="993" spans="1:11" x14ac:dyDescent="0.35">
      <c r="A993" s="78"/>
      <c r="B993" s="78"/>
      <c r="C993" s="78"/>
      <c r="D993" s="78"/>
      <c r="E993" s="71" t="s">
        <v>12855</v>
      </c>
      <c r="F993" s="78"/>
      <c r="G993" s="9"/>
      <c r="H993" s="79"/>
      <c r="I993" s="10"/>
      <c r="J993" s="79"/>
      <c r="K993" s="71" t="s">
        <v>12856</v>
      </c>
    </row>
    <row r="994" spans="1:11" x14ac:dyDescent="0.35">
      <c r="A994" s="78"/>
      <c r="B994" s="78"/>
      <c r="C994" s="78"/>
      <c r="D994" s="70" t="s">
        <v>12857</v>
      </c>
      <c r="E994" s="71" t="s">
        <v>12858</v>
      </c>
      <c r="F994" s="83" t="s">
        <v>12859</v>
      </c>
      <c r="G994" s="73" t="s">
        <v>65</v>
      </c>
      <c r="H994" s="74" t="s">
        <v>12860</v>
      </c>
      <c r="I994" s="81" t="s">
        <v>250</v>
      </c>
      <c r="J994" s="76" t="s">
        <v>12861</v>
      </c>
      <c r="K994" s="71" t="s">
        <v>12862</v>
      </c>
    </row>
    <row r="995" spans="1:11" x14ac:dyDescent="0.35">
      <c r="A995" s="78"/>
      <c r="B995" s="78"/>
      <c r="C995" s="78"/>
      <c r="D995" s="78"/>
      <c r="E995" s="71" t="s">
        <v>12863</v>
      </c>
      <c r="F995" s="78"/>
      <c r="G995" s="9"/>
      <c r="H995" s="79"/>
      <c r="I995" s="10"/>
      <c r="J995" s="79"/>
      <c r="K995" s="71" t="s">
        <v>12864</v>
      </c>
    </row>
    <row r="996" spans="1:11" x14ac:dyDescent="0.35">
      <c r="A996" s="78"/>
      <c r="B996" s="78"/>
      <c r="C996" s="78"/>
      <c r="D996" s="70" t="s">
        <v>12865</v>
      </c>
      <c r="E996" s="71" t="s">
        <v>12866</v>
      </c>
      <c r="F996" s="83" t="s">
        <v>12867</v>
      </c>
      <c r="G996" s="73" t="s">
        <v>65</v>
      </c>
      <c r="H996" s="74" t="s">
        <v>12868</v>
      </c>
      <c r="I996" s="75" t="s">
        <v>58</v>
      </c>
      <c r="J996" s="76" t="s">
        <v>12869</v>
      </c>
      <c r="K996" s="71" t="s">
        <v>12870</v>
      </c>
    </row>
    <row r="997" spans="1:11" x14ac:dyDescent="0.35">
      <c r="A997" s="78"/>
      <c r="B997" s="78"/>
      <c r="C997" s="78"/>
      <c r="D997" s="78"/>
      <c r="E997" s="71" t="s">
        <v>12871</v>
      </c>
      <c r="F997" s="78"/>
      <c r="G997" s="9"/>
      <c r="H997" s="79"/>
      <c r="I997" s="10"/>
      <c r="J997" s="79"/>
      <c r="K997" s="71" t="s">
        <v>12872</v>
      </c>
    </row>
    <row r="998" spans="1:11" x14ac:dyDescent="0.35">
      <c r="A998" s="78"/>
      <c r="B998" s="78"/>
      <c r="C998" s="78"/>
      <c r="D998" s="70" t="s">
        <v>12873</v>
      </c>
      <c r="E998" s="71" t="s">
        <v>12874</v>
      </c>
      <c r="F998" s="83" t="s">
        <v>12875</v>
      </c>
      <c r="G998" s="73" t="s">
        <v>244</v>
      </c>
      <c r="H998" s="74" t="s">
        <v>12876</v>
      </c>
      <c r="I998" s="81" t="s">
        <v>250</v>
      </c>
      <c r="J998" s="76" t="s">
        <v>12645</v>
      </c>
      <c r="K998" s="71" t="s">
        <v>12646</v>
      </c>
    </row>
    <row r="999" spans="1:11" x14ac:dyDescent="0.35">
      <c r="A999" s="78"/>
      <c r="B999" s="78"/>
      <c r="C999" s="78"/>
      <c r="D999" s="78"/>
      <c r="E999" s="71" t="s">
        <v>12877</v>
      </c>
      <c r="F999" s="78"/>
      <c r="G999" s="9"/>
      <c r="H999" s="79"/>
      <c r="I999" s="10"/>
      <c r="J999" s="79"/>
      <c r="K999" s="71" t="s">
        <v>12118</v>
      </c>
    </row>
    <row r="1000" spans="1:11" x14ac:dyDescent="0.35">
      <c r="A1000" s="78"/>
      <c r="B1000" s="78"/>
      <c r="C1000" s="70" t="s">
        <v>33</v>
      </c>
      <c r="D1000" s="70" t="s">
        <v>12878</v>
      </c>
      <c r="E1000" s="71" t="s">
        <v>12879</v>
      </c>
      <c r="F1000" s="83" t="s">
        <v>12880</v>
      </c>
      <c r="G1000" s="73" t="s">
        <v>2545</v>
      </c>
      <c r="H1000" s="74" t="s">
        <v>12881</v>
      </c>
      <c r="I1000" s="80" t="s">
        <v>120</v>
      </c>
      <c r="J1000" s="76" t="s">
        <v>12672</v>
      </c>
      <c r="K1000" s="71" t="s">
        <v>11995</v>
      </c>
    </row>
    <row r="1001" spans="1:11" x14ac:dyDescent="0.35">
      <c r="A1001" s="78"/>
      <c r="B1001" s="78"/>
      <c r="C1001" s="78"/>
      <c r="D1001" s="78"/>
      <c r="E1001" s="71" t="s">
        <v>12882</v>
      </c>
      <c r="F1001" s="78"/>
      <c r="G1001" s="9"/>
      <c r="H1001" s="79"/>
      <c r="I1001" s="10"/>
      <c r="J1001" s="79"/>
      <c r="K1001" s="71" t="s">
        <v>12437</v>
      </c>
    </row>
    <row r="1002" spans="1:11" x14ac:dyDescent="0.35">
      <c r="A1002" s="78"/>
      <c r="B1002" s="78"/>
      <c r="C1002" s="78"/>
      <c r="D1002" s="70" t="s">
        <v>12883</v>
      </c>
      <c r="E1002" s="71" t="s">
        <v>12884</v>
      </c>
      <c r="F1002" s="83" t="s">
        <v>12885</v>
      </c>
      <c r="G1002" s="73" t="s">
        <v>244</v>
      </c>
      <c r="H1002" s="74" t="s">
        <v>12886</v>
      </c>
      <c r="I1002" s="80" t="s">
        <v>120</v>
      </c>
      <c r="J1002" s="76" t="s">
        <v>12887</v>
      </c>
      <c r="K1002" s="71" t="s">
        <v>10716</v>
      </c>
    </row>
    <row r="1003" spans="1:11" x14ac:dyDescent="0.35">
      <c r="A1003" s="78"/>
      <c r="B1003" s="78"/>
      <c r="C1003" s="78"/>
      <c r="D1003" s="78"/>
      <c r="E1003" s="71" t="s">
        <v>12888</v>
      </c>
      <c r="F1003" s="78"/>
      <c r="G1003" s="9"/>
      <c r="H1003" s="79"/>
      <c r="I1003" s="10"/>
      <c r="J1003" s="79"/>
      <c r="K1003" s="71" t="s">
        <v>10718</v>
      </c>
    </row>
    <row r="1004" spans="1:11" x14ac:dyDescent="0.35">
      <c r="A1004" s="78"/>
      <c r="B1004" s="78"/>
      <c r="C1004" s="78"/>
      <c r="D1004" s="70" t="s">
        <v>12889</v>
      </c>
      <c r="E1004" s="71" t="s">
        <v>12890</v>
      </c>
      <c r="F1004" s="83" t="s">
        <v>12891</v>
      </c>
      <c r="G1004" s="73" t="s">
        <v>244</v>
      </c>
      <c r="H1004" s="74" t="s">
        <v>12892</v>
      </c>
      <c r="I1004" s="81" t="s">
        <v>250</v>
      </c>
      <c r="J1004" s="76" t="s">
        <v>12652</v>
      </c>
      <c r="K1004" s="71" t="s">
        <v>12466</v>
      </c>
    </row>
    <row r="1005" spans="1:11" x14ac:dyDescent="0.35">
      <c r="A1005" s="78"/>
      <c r="B1005" s="78"/>
      <c r="C1005" s="78"/>
      <c r="D1005" s="78"/>
      <c r="E1005" s="71" t="s">
        <v>12393</v>
      </c>
      <c r="F1005" s="78"/>
      <c r="G1005" s="9"/>
      <c r="H1005" s="79"/>
      <c r="I1005" s="10"/>
      <c r="J1005" s="79"/>
      <c r="K1005" s="71" t="s">
        <v>12468</v>
      </c>
    </row>
    <row r="1006" spans="1:11" x14ac:dyDescent="0.35">
      <c r="A1006" s="78"/>
      <c r="B1006" s="78"/>
      <c r="C1006" s="78"/>
      <c r="D1006" s="70" t="s">
        <v>12893</v>
      </c>
      <c r="E1006" s="71" t="s">
        <v>12894</v>
      </c>
      <c r="F1006" s="83" t="s">
        <v>12895</v>
      </c>
      <c r="G1006" s="73" t="s">
        <v>65</v>
      </c>
      <c r="H1006" s="74" t="s">
        <v>12677</v>
      </c>
      <c r="I1006" s="75" t="s">
        <v>58</v>
      </c>
      <c r="J1006" s="76" t="s">
        <v>12658</v>
      </c>
      <c r="K1006" s="71" t="s">
        <v>12896</v>
      </c>
    </row>
    <row r="1007" spans="1:11" x14ac:dyDescent="0.35">
      <c r="A1007" s="78"/>
      <c r="B1007" s="78"/>
      <c r="C1007" s="78"/>
      <c r="D1007" s="78"/>
      <c r="E1007" s="71" t="s">
        <v>12897</v>
      </c>
      <c r="F1007" s="78"/>
      <c r="G1007" s="9"/>
      <c r="H1007" s="79"/>
      <c r="I1007" s="10"/>
      <c r="J1007" s="79"/>
      <c r="K1007" s="71" t="s">
        <v>12898</v>
      </c>
    </row>
    <row r="1008" spans="1:11" x14ac:dyDescent="0.35">
      <c r="A1008" s="78"/>
      <c r="B1008" s="78"/>
      <c r="C1008" s="78"/>
      <c r="D1008" s="70" t="s">
        <v>12899</v>
      </c>
      <c r="E1008" s="71" t="s">
        <v>12900</v>
      </c>
      <c r="F1008" s="83" t="s">
        <v>12901</v>
      </c>
      <c r="G1008" s="73" t="s">
        <v>65</v>
      </c>
      <c r="H1008" s="74" t="s">
        <v>12902</v>
      </c>
      <c r="I1008" s="81" t="s">
        <v>250</v>
      </c>
      <c r="J1008" s="76" t="s">
        <v>12903</v>
      </c>
      <c r="K1008" s="71" t="s">
        <v>12904</v>
      </c>
    </row>
    <row r="1009" spans="1:11" x14ac:dyDescent="0.35">
      <c r="A1009" s="78"/>
      <c r="B1009" s="78"/>
      <c r="C1009" s="78"/>
      <c r="D1009" s="78"/>
      <c r="E1009" s="71" t="s">
        <v>12905</v>
      </c>
      <c r="F1009" s="78"/>
      <c r="G1009" s="9"/>
      <c r="H1009" s="79"/>
      <c r="I1009" s="10"/>
      <c r="J1009" s="79"/>
      <c r="K1009" s="71" t="s">
        <v>12906</v>
      </c>
    </row>
    <row r="1010" spans="1:11" x14ac:dyDescent="0.35">
      <c r="A1010" s="78"/>
      <c r="B1010" s="78"/>
      <c r="C1010" s="70" t="s">
        <v>12907</v>
      </c>
      <c r="D1010" s="70" t="s">
        <v>12908</v>
      </c>
      <c r="E1010" s="71" t="s">
        <v>12909</v>
      </c>
      <c r="F1010" s="83" t="s">
        <v>12910</v>
      </c>
      <c r="G1010" s="73" t="s">
        <v>65</v>
      </c>
      <c r="H1010" s="74" t="s">
        <v>12911</v>
      </c>
      <c r="I1010" s="80" t="s">
        <v>120</v>
      </c>
      <c r="J1010" s="76" t="s">
        <v>12912</v>
      </c>
      <c r="K1010" s="71" t="s">
        <v>12736</v>
      </c>
    </row>
    <row r="1011" spans="1:11" x14ac:dyDescent="0.35">
      <c r="A1011" s="78"/>
      <c r="B1011" s="78"/>
      <c r="C1011" s="78"/>
      <c r="D1011" s="78"/>
      <c r="E1011" s="71" t="s">
        <v>12913</v>
      </c>
      <c r="F1011" s="78"/>
      <c r="G1011" s="9"/>
      <c r="H1011" s="79"/>
      <c r="I1011" s="10"/>
      <c r="J1011" s="79"/>
      <c r="K1011" s="71" t="s">
        <v>12738</v>
      </c>
    </row>
    <row r="1012" spans="1:11" x14ac:dyDescent="0.35">
      <c r="A1012" s="78"/>
      <c r="B1012" s="78"/>
      <c r="C1012" s="78"/>
      <c r="D1012" s="70" t="s">
        <v>12914</v>
      </c>
      <c r="E1012" s="71" t="s">
        <v>12737</v>
      </c>
      <c r="F1012" s="83" t="s">
        <v>12915</v>
      </c>
      <c r="G1012" s="73" t="s">
        <v>244</v>
      </c>
      <c r="H1012" s="74" t="s">
        <v>12916</v>
      </c>
      <c r="I1012" s="80" t="s">
        <v>120</v>
      </c>
      <c r="J1012" s="76" t="s">
        <v>12917</v>
      </c>
      <c r="K1012" s="71" t="s">
        <v>12918</v>
      </c>
    </row>
    <row r="1013" spans="1:11" x14ac:dyDescent="0.35">
      <c r="A1013" s="78"/>
      <c r="B1013" s="78"/>
      <c r="C1013" s="78"/>
      <c r="D1013" s="78"/>
      <c r="E1013" s="71" t="s">
        <v>12919</v>
      </c>
      <c r="F1013" s="78"/>
      <c r="G1013" s="9"/>
      <c r="H1013" s="79"/>
      <c r="I1013" s="10"/>
      <c r="J1013" s="79"/>
      <c r="K1013" s="71" t="s">
        <v>12920</v>
      </c>
    </row>
    <row r="1014" spans="1:11" x14ac:dyDescent="0.35">
      <c r="A1014" s="78"/>
      <c r="B1014" s="78"/>
      <c r="C1014" s="78"/>
      <c r="D1014" s="70" t="s">
        <v>12921</v>
      </c>
      <c r="E1014" s="71" t="s">
        <v>12922</v>
      </c>
      <c r="F1014" s="83" t="s">
        <v>12923</v>
      </c>
      <c r="G1014" s="73" t="s">
        <v>2545</v>
      </c>
      <c r="H1014" s="74" t="s">
        <v>12924</v>
      </c>
      <c r="I1014" s="81" t="s">
        <v>250</v>
      </c>
      <c r="J1014" s="76" t="s">
        <v>12925</v>
      </c>
      <c r="K1014" s="71" t="s">
        <v>12926</v>
      </c>
    </row>
    <row r="1015" spans="1:11" x14ac:dyDescent="0.35">
      <c r="A1015" s="78"/>
      <c r="B1015" s="78"/>
      <c r="C1015" s="78"/>
      <c r="D1015" s="78"/>
      <c r="E1015" s="71" t="s">
        <v>12927</v>
      </c>
      <c r="F1015" s="78"/>
      <c r="G1015" s="9"/>
      <c r="H1015" s="79"/>
      <c r="I1015" s="10"/>
      <c r="J1015" s="79"/>
      <c r="K1015" s="71" t="s">
        <v>12928</v>
      </c>
    </row>
    <row r="1016" spans="1:11" x14ac:dyDescent="0.35">
      <c r="A1016" s="78"/>
      <c r="B1016" s="78"/>
      <c r="C1016" s="78"/>
      <c r="D1016" s="70" t="s">
        <v>12929</v>
      </c>
      <c r="E1016" s="71" t="s">
        <v>12745</v>
      </c>
      <c r="F1016" s="83" t="s">
        <v>12930</v>
      </c>
      <c r="G1016" s="73" t="s">
        <v>244</v>
      </c>
      <c r="H1016" s="74" t="s">
        <v>12931</v>
      </c>
      <c r="I1016" s="75" t="s">
        <v>58</v>
      </c>
      <c r="J1016" s="76" t="s">
        <v>12932</v>
      </c>
      <c r="K1016" s="71" t="s">
        <v>12933</v>
      </c>
    </row>
    <row r="1017" spans="1:11" x14ac:dyDescent="0.35">
      <c r="A1017" s="78"/>
      <c r="B1017" s="78"/>
      <c r="C1017" s="78"/>
      <c r="D1017" s="78"/>
      <c r="E1017" s="71" t="s">
        <v>12934</v>
      </c>
      <c r="F1017" s="78"/>
      <c r="G1017" s="9"/>
      <c r="H1017" s="79"/>
      <c r="I1017" s="10"/>
      <c r="J1017" s="79"/>
      <c r="K1017" s="71" t="s">
        <v>12935</v>
      </c>
    </row>
    <row r="1018" spans="1:11" x14ac:dyDescent="0.35">
      <c r="A1018" s="78"/>
      <c r="B1018" s="78"/>
      <c r="C1018" s="78"/>
      <c r="D1018" s="70" t="s">
        <v>12936</v>
      </c>
      <c r="E1018" s="71" t="s">
        <v>12937</v>
      </c>
      <c r="F1018" s="72" t="s">
        <v>12938</v>
      </c>
      <c r="G1018" s="73" t="s">
        <v>244</v>
      </c>
      <c r="H1018" s="76" t="s">
        <v>12939</v>
      </c>
      <c r="I1018" s="80" t="s">
        <v>120</v>
      </c>
      <c r="J1018" s="76" t="s">
        <v>12940</v>
      </c>
      <c r="K1018" s="71" t="s">
        <v>12941</v>
      </c>
    </row>
    <row r="1019" spans="1:11" x14ac:dyDescent="0.35">
      <c r="A1019" s="78"/>
      <c r="B1019" s="78"/>
      <c r="C1019" s="78"/>
      <c r="D1019" s="78"/>
      <c r="E1019" s="71" t="s">
        <v>12942</v>
      </c>
      <c r="F1019" s="34"/>
      <c r="G1019" s="9"/>
      <c r="H1019" s="79"/>
      <c r="I1019" s="10"/>
      <c r="J1019" s="79"/>
      <c r="K1019" s="71" t="s">
        <v>12943</v>
      </c>
    </row>
  </sheetData>
  <mergeCells count="3162">
    <mergeCell ref="D1018:D1019"/>
    <mergeCell ref="F1018:F1019"/>
    <mergeCell ref="G1018:G1019"/>
    <mergeCell ref="H1018:H1019"/>
    <mergeCell ref="I1018:I1019"/>
    <mergeCell ref="J1018:J1019"/>
    <mergeCell ref="I1014:I1015"/>
    <mergeCell ref="J1014:J1015"/>
    <mergeCell ref="D1016:D1017"/>
    <mergeCell ref="F1016:F1017"/>
    <mergeCell ref="G1016:G1017"/>
    <mergeCell ref="H1016:H1017"/>
    <mergeCell ref="I1016:I1017"/>
    <mergeCell ref="J1016:J1017"/>
    <mergeCell ref="J1010:J1011"/>
    <mergeCell ref="D1012:D1013"/>
    <mergeCell ref="F1012:F1013"/>
    <mergeCell ref="G1012:G1013"/>
    <mergeCell ref="H1012:H1013"/>
    <mergeCell ref="I1012:I1013"/>
    <mergeCell ref="J1012:J1013"/>
    <mergeCell ref="C1010:C1019"/>
    <mergeCell ref="D1010:D1011"/>
    <mergeCell ref="F1010:F1011"/>
    <mergeCell ref="G1010:G1011"/>
    <mergeCell ref="H1010:H1011"/>
    <mergeCell ref="I1010:I1011"/>
    <mergeCell ref="D1014:D1015"/>
    <mergeCell ref="F1014:F1015"/>
    <mergeCell ref="G1014:G1015"/>
    <mergeCell ref="H1014:H1015"/>
    <mergeCell ref="D1008:D1009"/>
    <mergeCell ref="F1008:F1009"/>
    <mergeCell ref="G1008:G1009"/>
    <mergeCell ref="H1008:H1009"/>
    <mergeCell ref="I1008:I1009"/>
    <mergeCell ref="J1008:J1009"/>
    <mergeCell ref="I1004:I1005"/>
    <mergeCell ref="J1004:J1005"/>
    <mergeCell ref="D1006:D1007"/>
    <mergeCell ref="F1006:F1007"/>
    <mergeCell ref="G1006:G1007"/>
    <mergeCell ref="H1006:H1007"/>
    <mergeCell ref="I1006:I1007"/>
    <mergeCell ref="J1006:J1007"/>
    <mergeCell ref="J1000:J1001"/>
    <mergeCell ref="D1002:D1003"/>
    <mergeCell ref="F1002:F1003"/>
    <mergeCell ref="G1002:G1003"/>
    <mergeCell ref="H1002:H1003"/>
    <mergeCell ref="I1002:I1003"/>
    <mergeCell ref="J1002:J1003"/>
    <mergeCell ref="C1000:C1009"/>
    <mergeCell ref="D1000:D1001"/>
    <mergeCell ref="F1000:F1001"/>
    <mergeCell ref="G1000:G1001"/>
    <mergeCell ref="H1000:H1001"/>
    <mergeCell ref="I1000:I1001"/>
    <mergeCell ref="D1004:D1005"/>
    <mergeCell ref="F1004:F1005"/>
    <mergeCell ref="G1004:G1005"/>
    <mergeCell ref="H1004:H1005"/>
    <mergeCell ref="D998:D999"/>
    <mergeCell ref="F998:F999"/>
    <mergeCell ref="G998:G999"/>
    <mergeCell ref="H998:H999"/>
    <mergeCell ref="I998:I999"/>
    <mergeCell ref="J998:J999"/>
    <mergeCell ref="I994:I995"/>
    <mergeCell ref="J994:J995"/>
    <mergeCell ref="D996:D997"/>
    <mergeCell ref="F996:F997"/>
    <mergeCell ref="G996:G997"/>
    <mergeCell ref="H996:H997"/>
    <mergeCell ref="I996:I997"/>
    <mergeCell ref="J996:J997"/>
    <mergeCell ref="J990:J991"/>
    <mergeCell ref="D992:D993"/>
    <mergeCell ref="F992:F993"/>
    <mergeCell ref="G992:G993"/>
    <mergeCell ref="H992:H993"/>
    <mergeCell ref="I992:I993"/>
    <mergeCell ref="J992:J993"/>
    <mergeCell ref="C990:C999"/>
    <mergeCell ref="D990:D991"/>
    <mergeCell ref="F990:F991"/>
    <mergeCell ref="G990:G991"/>
    <mergeCell ref="H990:H991"/>
    <mergeCell ref="I990:I991"/>
    <mergeCell ref="D994:D995"/>
    <mergeCell ref="F994:F995"/>
    <mergeCell ref="G994:G995"/>
    <mergeCell ref="H994:H995"/>
    <mergeCell ref="D988:D989"/>
    <mergeCell ref="F988:F989"/>
    <mergeCell ref="G988:G989"/>
    <mergeCell ref="H988:H989"/>
    <mergeCell ref="I988:I989"/>
    <mergeCell ref="J988:J989"/>
    <mergeCell ref="I984:I985"/>
    <mergeCell ref="J984:J985"/>
    <mergeCell ref="D986:D987"/>
    <mergeCell ref="F986:F987"/>
    <mergeCell ref="G986:G987"/>
    <mergeCell ref="H986:H987"/>
    <mergeCell ref="I986:I987"/>
    <mergeCell ref="J986:J987"/>
    <mergeCell ref="J980:J981"/>
    <mergeCell ref="D982:D983"/>
    <mergeCell ref="F982:F983"/>
    <mergeCell ref="G982:G983"/>
    <mergeCell ref="H982:H983"/>
    <mergeCell ref="I982:I983"/>
    <mergeCell ref="J982:J983"/>
    <mergeCell ref="C980:C989"/>
    <mergeCell ref="D980:D981"/>
    <mergeCell ref="F980:F981"/>
    <mergeCell ref="G980:G981"/>
    <mergeCell ref="H980:H981"/>
    <mergeCell ref="I980:I981"/>
    <mergeCell ref="D984:D985"/>
    <mergeCell ref="F984:F985"/>
    <mergeCell ref="G984:G985"/>
    <mergeCell ref="H984:H985"/>
    <mergeCell ref="D978:D979"/>
    <mergeCell ref="F978:F979"/>
    <mergeCell ref="G978:G979"/>
    <mergeCell ref="H978:H979"/>
    <mergeCell ref="I978:I979"/>
    <mergeCell ref="J978:J979"/>
    <mergeCell ref="I974:I975"/>
    <mergeCell ref="J974:J975"/>
    <mergeCell ref="D976:D977"/>
    <mergeCell ref="F976:F977"/>
    <mergeCell ref="G976:G977"/>
    <mergeCell ref="H976:H977"/>
    <mergeCell ref="I976:I977"/>
    <mergeCell ref="J976:J977"/>
    <mergeCell ref="J970:J971"/>
    <mergeCell ref="D972:D973"/>
    <mergeCell ref="F972:F973"/>
    <mergeCell ref="G972:G973"/>
    <mergeCell ref="H972:H973"/>
    <mergeCell ref="I972:I973"/>
    <mergeCell ref="J972:J973"/>
    <mergeCell ref="C970:C979"/>
    <mergeCell ref="D970:D971"/>
    <mergeCell ref="F970:F971"/>
    <mergeCell ref="G970:G971"/>
    <mergeCell ref="H970:H971"/>
    <mergeCell ref="I970:I971"/>
    <mergeCell ref="D974:D975"/>
    <mergeCell ref="F974:F975"/>
    <mergeCell ref="G974:G975"/>
    <mergeCell ref="H974:H975"/>
    <mergeCell ref="D968:D969"/>
    <mergeCell ref="F968:F969"/>
    <mergeCell ref="G968:G969"/>
    <mergeCell ref="H968:H969"/>
    <mergeCell ref="I968:I969"/>
    <mergeCell ref="J968:J969"/>
    <mergeCell ref="I964:I965"/>
    <mergeCell ref="J964:J965"/>
    <mergeCell ref="D966:D967"/>
    <mergeCell ref="F966:F967"/>
    <mergeCell ref="G966:G967"/>
    <mergeCell ref="H966:H967"/>
    <mergeCell ref="I966:I967"/>
    <mergeCell ref="J966:J967"/>
    <mergeCell ref="J960:J961"/>
    <mergeCell ref="D962:D963"/>
    <mergeCell ref="F962:F963"/>
    <mergeCell ref="G962:G963"/>
    <mergeCell ref="H962:H963"/>
    <mergeCell ref="I962:I963"/>
    <mergeCell ref="J962:J963"/>
    <mergeCell ref="C960:C969"/>
    <mergeCell ref="D960:D961"/>
    <mergeCell ref="F960:F961"/>
    <mergeCell ref="G960:G961"/>
    <mergeCell ref="H960:H961"/>
    <mergeCell ref="I960:I961"/>
    <mergeCell ref="D964:D965"/>
    <mergeCell ref="F964:F965"/>
    <mergeCell ref="G964:G965"/>
    <mergeCell ref="H964:H965"/>
    <mergeCell ref="D958:D959"/>
    <mergeCell ref="F958:F959"/>
    <mergeCell ref="G958:G959"/>
    <mergeCell ref="H958:H959"/>
    <mergeCell ref="I958:I959"/>
    <mergeCell ref="J958:J959"/>
    <mergeCell ref="I954:I955"/>
    <mergeCell ref="J954:J955"/>
    <mergeCell ref="D956:D957"/>
    <mergeCell ref="F956:F957"/>
    <mergeCell ref="G956:G957"/>
    <mergeCell ref="H956:H957"/>
    <mergeCell ref="I956:I957"/>
    <mergeCell ref="J956:J957"/>
    <mergeCell ref="J950:J951"/>
    <mergeCell ref="D952:D953"/>
    <mergeCell ref="F952:F953"/>
    <mergeCell ref="G952:G953"/>
    <mergeCell ref="H952:H953"/>
    <mergeCell ref="I952:I953"/>
    <mergeCell ref="J952:J953"/>
    <mergeCell ref="C950:C959"/>
    <mergeCell ref="D950:D951"/>
    <mergeCell ref="F950:F951"/>
    <mergeCell ref="G950:G951"/>
    <mergeCell ref="H950:H951"/>
    <mergeCell ref="I950:I951"/>
    <mergeCell ref="D954:D955"/>
    <mergeCell ref="F954:F955"/>
    <mergeCell ref="G954:G955"/>
    <mergeCell ref="H954:H955"/>
    <mergeCell ref="D948:D949"/>
    <mergeCell ref="F948:F949"/>
    <mergeCell ref="G948:G949"/>
    <mergeCell ref="H948:H949"/>
    <mergeCell ref="I948:I949"/>
    <mergeCell ref="J948:J949"/>
    <mergeCell ref="I944:I945"/>
    <mergeCell ref="J944:J945"/>
    <mergeCell ref="D946:D947"/>
    <mergeCell ref="F946:F947"/>
    <mergeCell ref="G946:G947"/>
    <mergeCell ref="H946:H947"/>
    <mergeCell ref="I946:I947"/>
    <mergeCell ref="J946:J947"/>
    <mergeCell ref="J940:J941"/>
    <mergeCell ref="D942:D943"/>
    <mergeCell ref="F942:F943"/>
    <mergeCell ref="G942:G943"/>
    <mergeCell ref="H942:H943"/>
    <mergeCell ref="I942:I943"/>
    <mergeCell ref="J942:J943"/>
    <mergeCell ref="C940:C949"/>
    <mergeCell ref="D940:D941"/>
    <mergeCell ref="F940:F941"/>
    <mergeCell ref="G940:G941"/>
    <mergeCell ref="H940:H941"/>
    <mergeCell ref="I940:I941"/>
    <mergeCell ref="D944:D945"/>
    <mergeCell ref="F944:F945"/>
    <mergeCell ref="G944:G945"/>
    <mergeCell ref="H944:H945"/>
    <mergeCell ref="D938:D939"/>
    <mergeCell ref="F938:F939"/>
    <mergeCell ref="G938:G939"/>
    <mergeCell ref="H938:H939"/>
    <mergeCell ref="I938:I939"/>
    <mergeCell ref="J938:J939"/>
    <mergeCell ref="I934:I935"/>
    <mergeCell ref="J934:J935"/>
    <mergeCell ref="D936:D937"/>
    <mergeCell ref="F936:F937"/>
    <mergeCell ref="G936:G937"/>
    <mergeCell ref="H936:H937"/>
    <mergeCell ref="I936:I937"/>
    <mergeCell ref="J936:J937"/>
    <mergeCell ref="J930:J931"/>
    <mergeCell ref="D932:D933"/>
    <mergeCell ref="F932:F933"/>
    <mergeCell ref="G932:G933"/>
    <mergeCell ref="H932:H933"/>
    <mergeCell ref="I932:I933"/>
    <mergeCell ref="J932:J933"/>
    <mergeCell ref="C930:C939"/>
    <mergeCell ref="D930:D931"/>
    <mergeCell ref="F930:F931"/>
    <mergeCell ref="G930:G931"/>
    <mergeCell ref="H930:H931"/>
    <mergeCell ref="I930:I931"/>
    <mergeCell ref="D934:D935"/>
    <mergeCell ref="F934:F935"/>
    <mergeCell ref="G934:G935"/>
    <mergeCell ref="H934:H935"/>
    <mergeCell ref="D928:D929"/>
    <mergeCell ref="F928:F929"/>
    <mergeCell ref="G928:G929"/>
    <mergeCell ref="H928:H929"/>
    <mergeCell ref="I928:I929"/>
    <mergeCell ref="J928:J929"/>
    <mergeCell ref="I924:I925"/>
    <mergeCell ref="J924:J925"/>
    <mergeCell ref="D926:D927"/>
    <mergeCell ref="F926:F927"/>
    <mergeCell ref="G926:G927"/>
    <mergeCell ref="H926:H927"/>
    <mergeCell ref="I926:I927"/>
    <mergeCell ref="J926:J927"/>
    <mergeCell ref="J920:J921"/>
    <mergeCell ref="D922:D923"/>
    <mergeCell ref="F922:F923"/>
    <mergeCell ref="G922:G923"/>
    <mergeCell ref="H922:H923"/>
    <mergeCell ref="I922:I923"/>
    <mergeCell ref="J922:J923"/>
    <mergeCell ref="C920:C929"/>
    <mergeCell ref="D920:D921"/>
    <mergeCell ref="F920:F921"/>
    <mergeCell ref="G920:G921"/>
    <mergeCell ref="H920:H921"/>
    <mergeCell ref="I920:I921"/>
    <mergeCell ref="D924:D925"/>
    <mergeCell ref="F924:F925"/>
    <mergeCell ref="G924:G925"/>
    <mergeCell ref="H924:H925"/>
    <mergeCell ref="D918:D919"/>
    <mergeCell ref="F918:F919"/>
    <mergeCell ref="G918:G919"/>
    <mergeCell ref="H918:H919"/>
    <mergeCell ref="I918:I919"/>
    <mergeCell ref="J918:J919"/>
    <mergeCell ref="I914:I915"/>
    <mergeCell ref="J914:J915"/>
    <mergeCell ref="D916:D917"/>
    <mergeCell ref="F916:F917"/>
    <mergeCell ref="G916:G917"/>
    <mergeCell ref="H916:H917"/>
    <mergeCell ref="I916:I917"/>
    <mergeCell ref="J916:J917"/>
    <mergeCell ref="J910:J911"/>
    <mergeCell ref="D912:D913"/>
    <mergeCell ref="F912:F913"/>
    <mergeCell ref="G912:G913"/>
    <mergeCell ref="H912:H913"/>
    <mergeCell ref="I912:I913"/>
    <mergeCell ref="J912:J913"/>
    <mergeCell ref="C910:C919"/>
    <mergeCell ref="D910:D911"/>
    <mergeCell ref="F910:F911"/>
    <mergeCell ref="G910:G911"/>
    <mergeCell ref="H910:H911"/>
    <mergeCell ref="I910:I911"/>
    <mergeCell ref="D914:D915"/>
    <mergeCell ref="F914:F915"/>
    <mergeCell ref="G914:G915"/>
    <mergeCell ref="H914:H915"/>
    <mergeCell ref="D908:D909"/>
    <mergeCell ref="F908:F909"/>
    <mergeCell ref="G908:G909"/>
    <mergeCell ref="H908:H909"/>
    <mergeCell ref="I908:I909"/>
    <mergeCell ref="J908:J909"/>
    <mergeCell ref="I904:I905"/>
    <mergeCell ref="J904:J905"/>
    <mergeCell ref="D906:D907"/>
    <mergeCell ref="F906:F907"/>
    <mergeCell ref="G906:G907"/>
    <mergeCell ref="H906:H907"/>
    <mergeCell ref="I906:I907"/>
    <mergeCell ref="J906:J907"/>
    <mergeCell ref="J900:J901"/>
    <mergeCell ref="D902:D903"/>
    <mergeCell ref="F902:F903"/>
    <mergeCell ref="G902:G903"/>
    <mergeCell ref="H902:H903"/>
    <mergeCell ref="I902:I903"/>
    <mergeCell ref="J902:J903"/>
    <mergeCell ref="C900:C909"/>
    <mergeCell ref="D900:D901"/>
    <mergeCell ref="F900:F901"/>
    <mergeCell ref="G900:G901"/>
    <mergeCell ref="H900:H901"/>
    <mergeCell ref="I900:I901"/>
    <mergeCell ref="D904:D905"/>
    <mergeCell ref="F904:F905"/>
    <mergeCell ref="G904:G905"/>
    <mergeCell ref="H904:H905"/>
    <mergeCell ref="D898:D899"/>
    <mergeCell ref="F898:F899"/>
    <mergeCell ref="G898:G899"/>
    <mergeCell ref="H898:H899"/>
    <mergeCell ref="I898:I899"/>
    <mergeCell ref="J898:J899"/>
    <mergeCell ref="I894:I895"/>
    <mergeCell ref="J894:J895"/>
    <mergeCell ref="D896:D897"/>
    <mergeCell ref="F896:F897"/>
    <mergeCell ref="G896:G897"/>
    <mergeCell ref="H896:H897"/>
    <mergeCell ref="I896:I897"/>
    <mergeCell ref="J896:J897"/>
    <mergeCell ref="J890:J891"/>
    <mergeCell ref="D892:D893"/>
    <mergeCell ref="F892:F893"/>
    <mergeCell ref="G892:G893"/>
    <mergeCell ref="H892:H893"/>
    <mergeCell ref="I892:I893"/>
    <mergeCell ref="J892:J893"/>
    <mergeCell ref="C890:C899"/>
    <mergeCell ref="D890:D891"/>
    <mergeCell ref="F890:F891"/>
    <mergeCell ref="G890:G891"/>
    <mergeCell ref="H890:H891"/>
    <mergeCell ref="I890:I891"/>
    <mergeCell ref="D894:D895"/>
    <mergeCell ref="F894:F895"/>
    <mergeCell ref="G894:G895"/>
    <mergeCell ref="H894:H895"/>
    <mergeCell ref="D888:D889"/>
    <mergeCell ref="F888:F889"/>
    <mergeCell ref="G888:G889"/>
    <mergeCell ref="H888:H889"/>
    <mergeCell ref="I888:I889"/>
    <mergeCell ref="J888:J889"/>
    <mergeCell ref="I884:I885"/>
    <mergeCell ref="J884:J885"/>
    <mergeCell ref="D886:D887"/>
    <mergeCell ref="F886:F887"/>
    <mergeCell ref="G886:G887"/>
    <mergeCell ref="H886:H887"/>
    <mergeCell ref="I886:I887"/>
    <mergeCell ref="J886:J887"/>
    <mergeCell ref="J880:J881"/>
    <mergeCell ref="D882:D883"/>
    <mergeCell ref="F882:F883"/>
    <mergeCell ref="G882:G883"/>
    <mergeCell ref="H882:H883"/>
    <mergeCell ref="I882:I883"/>
    <mergeCell ref="J882:J883"/>
    <mergeCell ref="C880:C889"/>
    <mergeCell ref="D880:D881"/>
    <mergeCell ref="F880:F881"/>
    <mergeCell ref="G880:G881"/>
    <mergeCell ref="H880:H881"/>
    <mergeCell ref="I880:I881"/>
    <mergeCell ref="D884:D885"/>
    <mergeCell ref="F884:F885"/>
    <mergeCell ref="G884:G885"/>
    <mergeCell ref="H884:H885"/>
    <mergeCell ref="D878:D879"/>
    <mergeCell ref="F878:F879"/>
    <mergeCell ref="G878:G879"/>
    <mergeCell ref="H878:H879"/>
    <mergeCell ref="I878:I879"/>
    <mergeCell ref="J878:J879"/>
    <mergeCell ref="I874:I875"/>
    <mergeCell ref="J874:J875"/>
    <mergeCell ref="D876:D877"/>
    <mergeCell ref="F876:F877"/>
    <mergeCell ref="G876:G877"/>
    <mergeCell ref="H876:H877"/>
    <mergeCell ref="I876:I877"/>
    <mergeCell ref="J876:J877"/>
    <mergeCell ref="J870:J871"/>
    <mergeCell ref="D872:D873"/>
    <mergeCell ref="F872:F873"/>
    <mergeCell ref="G872:G873"/>
    <mergeCell ref="H872:H873"/>
    <mergeCell ref="I872:I873"/>
    <mergeCell ref="J872:J873"/>
    <mergeCell ref="C870:C879"/>
    <mergeCell ref="D870:D871"/>
    <mergeCell ref="F870:F871"/>
    <mergeCell ref="G870:G871"/>
    <mergeCell ref="H870:H871"/>
    <mergeCell ref="I870:I871"/>
    <mergeCell ref="D874:D875"/>
    <mergeCell ref="F874:F875"/>
    <mergeCell ref="G874:G875"/>
    <mergeCell ref="H874:H875"/>
    <mergeCell ref="D868:D869"/>
    <mergeCell ref="F868:F869"/>
    <mergeCell ref="G868:G869"/>
    <mergeCell ref="H868:H869"/>
    <mergeCell ref="I868:I869"/>
    <mergeCell ref="J868:J869"/>
    <mergeCell ref="I864:I865"/>
    <mergeCell ref="J864:J865"/>
    <mergeCell ref="D866:D867"/>
    <mergeCell ref="F866:F867"/>
    <mergeCell ref="G866:G867"/>
    <mergeCell ref="H866:H867"/>
    <mergeCell ref="I866:I867"/>
    <mergeCell ref="J866:J867"/>
    <mergeCell ref="J860:J861"/>
    <mergeCell ref="D862:D863"/>
    <mergeCell ref="F862:F863"/>
    <mergeCell ref="G862:G863"/>
    <mergeCell ref="H862:H863"/>
    <mergeCell ref="I862:I863"/>
    <mergeCell ref="J862:J863"/>
    <mergeCell ref="C860:C869"/>
    <mergeCell ref="D860:D861"/>
    <mergeCell ref="F860:F861"/>
    <mergeCell ref="G860:G861"/>
    <mergeCell ref="H860:H861"/>
    <mergeCell ref="I860:I861"/>
    <mergeCell ref="D864:D865"/>
    <mergeCell ref="F864:F865"/>
    <mergeCell ref="G864:G865"/>
    <mergeCell ref="H864:H865"/>
    <mergeCell ref="D858:D859"/>
    <mergeCell ref="F858:F859"/>
    <mergeCell ref="G858:G859"/>
    <mergeCell ref="H858:H859"/>
    <mergeCell ref="I858:I859"/>
    <mergeCell ref="J858:J859"/>
    <mergeCell ref="I854:I855"/>
    <mergeCell ref="J854:J855"/>
    <mergeCell ref="D856:D857"/>
    <mergeCell ref="F856:F857"/>
    <mergeCell ref="G856:G857"/>
    <mergeCell ref="H856:H857"/>
    <mergeCell ref="I856:I857"/>
    <mergeCell ref="J856:J857"/>
    <mergeCell ref="J850:J851"/>
    <mergeCell ref="D852:D853"/>
    <mergeCell ref="F852:F853"/>
    <mergeCell ref="G852:G853"/>
    <mergeCell ref="H852:H853"/>
    <mergeCell ref="I852:I853"/>
    <mergeCell ref="J852:J853"/>
    <mergeCell ref="C850:C859"/>
    <mergeCell ref="D850:D851"/>
    <mergeCell ref="F850:F851"/>
    <mergeCell ref="G850:G851"/>
    <mergeCell ref="H850:H851"/>
    <mergeCell ref="I850:I851"/>
    <mergeCell ref="D854:D855"/>
    <mergeCell ref="F854:F855"/>
    <mergeCell ref="G854:G855"/>
    <mergeCell ref="H854:H855"/>
    <mergeCell ref="D848:D849"/>
    <mergeCell ref="F848:F849"/>
    <mergeCell ref="G848:G849"/>
    <mergeCell ref="H848:H849"/>
    <mergeCell ref="I848:I849"/>
    <mergeCell ref="J848:J849"/>
    <mergeCell ref="I844:I845"/>
    <mergeCell ref="J844:J845"/>
    <mergeCell ref="D846:D847"/>
    <mergeCell ref="F846:F847"/>
    <mergeCell ref="G846:G847"/>
    <mergeCell ref="H846:H847"/>
    <mergeCell ref="I846:I847"/>
    <mergeCell ref="J846:J847"/>
    <mergeCell ref="J840:J841"/>
    <mergeCell ref="D842:D843"/>
    <mergeCell ref="F842:F843"/>
    <mergeCell ref="G842:G843"/>
    <mergeCell ref="H842:H843"/>
    <mergeCell ref="I842:I843"/>
    <mergeCell ref="J842:J843"/>
    <mergeCell ref="C840:C849"/>
    <mergeCell ref="D840:D841"/>
    <mergeCell ref="F840:F841"/>
    <mergeCell ref="G840:G841"/>
    <mergeCell ref="H840:H841"/>
    <mergeCell ref="I840:I841"/>
    <mergeCell ref="D844:D845"/>
    <mergeCell ref="F844:F845"/>
    <mergeCell ref="G844:G845"/>
    <mergeCell ref="H844:H845"/>
    <mergeCell ref="D838:D839"/>
    <mergeCell ref="F838:F839"/>
    <mergeCell ref="G838:G839"/>
    <mergeCell ref="H838:H839"/>
    <mergeCell ref="I838:I839"/>
    <mergeCell ref="J838:J839"/>
    <mergeCell ref="I834:I835"/>
    <mergeCell ref="J834:J835"/>
    <mergeCell ref="D836:D837"/>
    <mergeCell ref="F836:F837"/>
    <mergeCell ref="G836:G837"/>
    <mergeCell ref="H836:H837"/>
    <mergeCell ref="I836:I837"/>
    <mergeCell ref="J836:J837"/>
    <mergeCell ref="I830:I831"/>
    <mergeCell ref="J830:J831"/>
    <mergeCell ref="D832:D833"/>
    <mergeCell ref="F832:F833"/>
    <mergeCell ref="G832:G833"/>
    <mergeCell ref="H832:H833"/>
    <mergeCell ref="I832:I833"/>
    <mergeCell ref="J832:J833"/>
    <mergeCell ref="B830:B1019"/>
    <mergeCell ref="C830:C839"/>
    <mergeCell ref="D830:D831"/>
    <mergeCell ref="F830:F831"/>
    <mergeCell ref="G830:G831"/>
    <mergeCell ref="H830:H831"/>
    <mergeCell ref="D834:D835"/>
    <mergeCell ref="F834:F835"/>
    <mergeCell ref="G834:G835"/>
    <mergeCell ref="H834:H835"/>
    <mergeCell ref="D828:D829"/>
    <mergeCell ref="F828:F829"/>
    <mergeCell ref="G828:G829"/>
    <mergeCell ref="H828:H829"/>
    <mergeCell ref="I828:I829"/>
    <mergeCell ref="J828:J829"/>
    <mergeCell ref="I824:I825"/>
    <mergeCell ref="J824:J825"/>
    <mergeCell ref="D826:D827"/>
    <mergeCell ref="F826:F827"/>
    <mergeCell ref="G826:G827"/>
    <mergeCell ref="H826:H827"/>
    <mergeCell ref="I826:I827"/>
    <mergeCell ref="J826:J827"/>
    <mergeCell ref="J820:J821"/>
    <mergeCell ref="D822:D823"/>
    <mergeCell ref="F822:F823"/>
    <mergeCell ref="G822:G823"/>
    <mergeCell ref="H822:H823"/>
    <mergeCell ref="I822:I823"/>
    <mergeCell ref="J822:J823"/>
    <mergeCell ref="C820:C829"/>
    <mergeCell ref="D820:D821"/>
    <mergeCell ref="F820:F821"/>
    <mergeCell ref="G820:G821"/>
    <mergeCell ref="H820:H821"/>
    <mergeCell ref="I820:I821"/>
    <mergeCell ref="D824:D825"/>
    <mergeCell ref="F824:F825"/>
    <mergeCell ref="G824:G825"/>
    <mergeCell ref="H824:H825"/>
    <mergeCell ref="D818:D819"/>
    <mergeCell ref="F818:F819"/>
    <mergeCell ref="G818:G819"/>
    <mergeCell ref="H818:H819"/>
    <mergeCell ref="I818:I819"/>
    <mergeCell ref="J818:J819"/>
    <mergeCell ref="I814:I815"/>
    <mergeCell ref="J814:J815"/>
    <mergeCell ref="D816:D817"/>
    <mergeCell ref="F816:F817"/>
    <mergeCell ref="G816:G817"/>
    <mergeCell ref="H816:H817"/>
    <mergeCell ref="I816:I817"/>
    <mergeCell ref="J816:J817"/>
    <mergeCell ref="J810:J811"/>
    <mergeCell ref="D812:D813"/>
    <mergeCell ref="F812:F813"/>
    <mergeCell ref="G812:G813"/>
    <mergeCell ref="H812:H813"/>
    <mergeCell ref="I812:I813"/>
    <mergeCell ref="J812:J813"/>
    <mergeCell ref="C810:C819"/>
    <mergeCell ref="D810:D811"/>
    <mergeCell ref="F810:F811"/>
    <mergeCell ref="G810:G811"/>
    <mergeCell ref="H810:H811"/>
    <mergeCell ref="I810:I811"/>
    <mergeCell ref="D814:D815"/>
    <mergeCell ref="F814:F815"/>
    <mergeCell ref="G814:G815"/>
    <mergeCell ref="H814:H815"/>
    <mergeCell ref="D808:D809"/>
    <mergeCell ref="F808:F809"/>
    <mergeCell ref="G808:G809"/>
    <mergeCell ref="H808:H809"/>
    <mergeCell ref="I808:I809"/>
    <mergeCell ref="J808:J809"/>
    <mergeCell ref="I804:I805"/>
    <mergeCell ref="J804:J805"/>
    <mergeCell ref="D806:D807"/>
    <mergeCell ref="F806:F807"/>
    <mergeCell ref="G806:G807"/>
    <mergeCell ref="H806:H807"/>
    <mergeCell ref="I806:I807"/>
    <mergeCell ref="J806:J807"/>
    <mergeCell ref="J800:J801"/>
    <mergeCell ref="D802:D803"/>
    <mergeCell ref="F802:F803"/>
    <mergeCell ref="G802:G803"/>
    <mergeCell ref="H802:H803"/>
    <mergeCell ref="I802:I803"/>
    <mergeCell ref="J802:J803"/>
    <mergeCell ref="C800:C809"/>
    <mergeCell ref="D800:D801"/>
    <mergeCell ref="F800:F801"/>
    <mergeCell ref="G800:G801"/>
    <mergeCell ref="H800:H801"/>
    <mergeCell ref="I800:I801"/>
    <mergeCell ref="D804:D805"/>
    <mergeCell ref="F804:F805"/>
    <mergeCell ref="G804:G805"/>
    <mergeCell ref="H804:H805"/>
    <mergeCell ref="D798:D799"/>
    <mergeCell ref="F798:F799"/>
    <mergeCell ref="G798:G799"/>
    <mergeCell ref="H798:H799"/>
    <mergeCell ref="I798:I799"/>
    <mergeCell ref="J798:J799"/>
    <mergeCell ref="I794:I795"/>
    <mergeCell ref="J794:J795"/>
    <mergeCell ref="D796:D797"/>
    <mergeCell ref="F796:F797"/>
    <mergeCell ref="G796:G797"/>
    <mergeCell ref="H796:H797"/>
    <mergeCell ref="I796:I797"/>
    <mergeCell ref="J796:J797"/>
    <mergeCell ref="J790:J791"/>
    <mergeCell ref="D792:D793"/>
    <mergeCell ref="F792:F793"/>
    <mergeCell ref="G792:G793"/>
    <mergeCell ref="H792:H793"/>
    <mergeCell ref="I792:I793"/>
    <mergeCell ref="J792:J793"/>
    <mergeCell ref="C790:C799"/>
    <mergeCell ref="D790:D791"/>
    <mergeCell ref="F790:F791"/>
    <mergeCell ref="G790:G791"/>
    <mergeCell ref="H790:H791"/>
    <mergeCell ref="I790:I791"/>
    <mergeCell ref="D794:D795"/>
    <mergeCell ref="F794:F795"/>
    <mergeCell ref="G794:G795"/>
    <mergeCell ref="H794:H795"/>
    <mergeCell ref="D788:D789"/>
    <mergeCell ref="F788:F789"/>
    <mergeCell ref="G788:G789"/>
    <mergeCell ref="H788:H789"/>
    <mergeCell ref="I788:I789"/>
    <mergeCell ref="J788:J789"/>
    <mergeCell ref="I784:I785"/>
    <mergeCell ref="J784:J785"/>
    <mergeCell ref="D786:D787"/>
    <mergeCell ref="F786:F787"/>
    <mergeCell ref="G786:G787"/>
    <mergeCell ref="H786:H787"/>
    <mergeCell ref="I786:I787"/>
    <mergeCell ref="J786:J787"/>
    <mergeCell ref="J780:J781"/>
    <mergeCell ref="D782:D783"/>
    <mergeCell ref="F782:F783"/>
    <mergeCell ref="G782:G783"/>
    <mergeCell ref="H782:H783"/>
    <mergeCell ref="I782:I783"/>
    <mergeCell ref="J782:J783"/>
    <mergeCell ref="C780:C789"/>
    <mergeCell ref="D780:D781"/>
    <mergeCell ref="F780:F781"/>
    <mergeCell ref="G780:G781"/>
    <mergeCell ref="H780:H781"/>
    <mergeCell ref="I780:I781"/>
    <mergeCell ref="D784:D785"/>
    <mergeCell ref="F784:F785"/>
    <mergeCell ref="G784:G785"/>
    <mergeCell ref="H784:H785"/>
    <mergeCell ref="D778:D779"/>
    <mergeCell ref="F778:F779"/>
    <mergeCell ref="G778:G779"/>
    <mergeCell ref="H778:H779"/>
    <mergeCell ref="I778:I779"/>
    <mergeCell ref="J778:J779"/>
    <mergeCell ref="I774:I775"/>
    <mergeCell ref="J774:J775"/>
    <mergeCell ref="D776:D777"/>
    <mergeCell ref="F776:F777"/>
    <mergeCell ref="G776:G777"/>
    <mergeCell ref="H776:H777"/>
    <mergeCell ref="I776:I777"/>
    <mergeCell ref="J776:J777"/>
    <mergeCell ref="J770:J771"/>
    <mergeCell ref="D772:D773"/>
    <mergeCell ref="F772:F773"/>
    <mergeCell ref="G772:G773"/>
    <mergeCell ref="H772:H773"/>
    <mergeCell ref="I772:I773"/>
    <mergeCell ref="J772:J773"/>
    <mergeCell ref="C770:C779"/>
    <mergeCell ref="D770:D771"/>
    <mergeCell ref="F770:F771"/>
    <mergeCell ref="G770:G771"/>
    <mergeCell ref="H770:H771"/>
    <mergeCell ref="I770:I771"/>
    <mergeCell ref="D774:D775"/>
    <mergeCell ref="F774:F775"/>
    <mergeCell ref="G774:G775"/>
    <mergeCell ref="H774:H775"/>
    <mergeCell ref="D768:D769"/>
    <mergeCell ref="F768:F769"/>
    <mergeCell ref="G768:G769"/>
    <mergeCell ref="H768:H769"/>
    <mergeCell ref="I768:I769"/>
    <mergeCell ref="J768:J769"/>
    <mergeCell ref="I764:I765"/>
    <mergeCell ref="J764:J765"/>
    <mergeCell ref="D766:D767"/>
    <mergeCell ref="F766:F767"/>
    <mergeCell ref="G766:G767"/>
    <mergeCell ref="H766:H767"/>
    <mergeCell ref="I766:I767"/>
    <mergeCell ref="J766:J767"/>
    <mergeCell ref="J760:J761"/>
    <mergeCell ref="D762:D763"/>
    <mergeCell ref="F762:F763"/>
    <mergeCell ref="G762:G763"/>
    <mergeCell ref="H762:H763"/>
    <mergeCell ref="I762:I763"/>
    <mergeCell ref="J762:J763"/>
    <mergeCell ref="C760:C769"/>
    <mergeCell ref="D760:D761"/>
    <mergeCell ref="F760:F761"/>
    <mergeCell ref="G760:G761"/>
    <mergeCell ref="H760:H761"/>
    <mergeCell ref="I760:I761"/>
    <mergeCell ref="D764:D765"/>
    <mergeCell ref="F764:F765"/>
    <mergeCell ref="G764:G765"/>
    <mergeCell ref="H764:H765"/>
    <mergeCell ref="D758:D759"/>
    <mergeCell ref="F758:F759"/>
    <mergeCell ref="G758:G759"/>
    <mergeCell ref="H758:H759"/>
    <mergeCell ref="I758:I759"/>
    <mergeCell ref="J758:J759"/>
    <mergeCell ref="I754:I755"/>
    <mergeCell ref="J754:J755"/>
    <mergeCell ref="D756:D757"/>
    <mergeCell ref="F756:F757"/>
    <mergeCell ref="G756:G757"/>
    <mergeCell ref="H756:H757"/>
    <mergeCell ref="I756:I757"/>
    <mergeCell ref="J756:J757"/>
    <mergeCell ref="J750:J751"/>
    <mergeCell ref="D752:D753"/>
    <mergeCell ref="F752:F753"/>
    <mergeCell ref="G752:G753"/>
    <mergeCell ref="H752:H753"/>
    <mergeCell ref="I752:I753"/>
    <mergeCell ref="J752:J753"/>
    <mergeCell ref="C750:C759"/>
    <mergeCell ref="D750:D751"/>
    <mergeCell ref="F750:F751"/>
    <mergeCell ref="G750:G751"/>
    <mergeCell ref="H750:H751"/>
    <mergeCell ref="I750:I751"/>
    <mergeCell ref="D754:D755"/>
    <mergeCell ref="F754:F755"/>
    <mergeCell ref="G754:G755"/>
    <mergeCell ref="H754:H755"/>
    <mergeCell ref="D748:D749"/>
    <mergeCell ref="F748:F749"/>
    <mergeCell ref="G748:G749"/>
    <mergeCell ref="H748:H749"/>
    <mergeCell ref="I748:I749"/>
    <mergeCell ref="J748:J749"/>
    <mergeCell ref="I744:I745"/>
    <mergeCell ref="J744:J745"/>
    <mergeCell ref="D746:D747"/>
    <mergeCell ref="F746:F747"/>
    <mergeCell ref="G746:G747"/>
    <mergeCell ref="H746:H747"/>
    <mergeCell ref="I746:I747"/>
    <mergeCell ref="J746:J747"/>
    <mergeCell ref="J740:J741"/>
    <mergeCell ref="D742:D743"/>
    <mergeCell ref="F742:F743"/>
    <mergeCell ref="G742:G743"/>
    <mergeCell ref="H742:H743"/>
    <mergeCell ref="I742:I743"/>
    <mergeCell ref="J742:J743"/>
    <mergeCell ref="C740:C749"/>
    <mergeCell ref="D740:D741"/>
    <mergeCell ref="F740:F741"/>
    <mergeCell ref="G740:G741"/>
    <mergeCell ref="H740:H741"/>
    <mergeCell ref="I740:I741"/>
    <mergeCell ref="D744:D745"/>
    <mergeCell ref="F744:F745"/>
    <mergeCell ref="G744:G745"/>
    <mergeCell ref="H744:H745"/>
    <mergeCell ref="D738:D739"/>
    <mergeCell ref="F738:F739"/>
    <mergeCell ref="G738:G739"/>
    <mergeCell ref="H738:H739"/>
    <mergeCell ref="I738:I739"/>
    <mergeCell ref="J738:J739"/>
    <mergeCell ref="I734:I735"/>
    <mergeCell ref="J734:J735"/>
    <mergeCell ref="D736:D737"/>
    <mergeCell ref="F736:F737"/>
    <mergeCell ref="G736:G737"/>
    <mergeCell ref="H736:H737"/>
    <mergeCell ref="I736:I737"/>
    <mergeCell ref="J736:J737"/>
    <mergeCell ref="J730:J731"/>
    <mergeCell ref="D732:D733"/>
    <mergeCell ref="F732:F733"/>
    <mergeCell ref="G732:G733"/>
    <mergeCell ref="H732:H733"/>
    <mergeCell ref="I732:I733"/>
    <mergeCell ref="J732:J733"/>
    <mergeCell ref="C730:C739"/>
    <mergeCell ref="D730:D731"/>
    <mergeCell ref="F730:F731"/>
    <mergeCell ref="G730:G731"/>
    <mergeCell ref="H730:H731"/>
    <mergeCell ref="I730:I731"/>
    <mergeCell ref="D734:D735"/>
    <mergeCell ref="F734:F735"/>
    <mergeCell ref="G734:G735"/>
    <mergeCell ref="H734:H735"/>
    <mergeCell ref="D728:D729"/>
    <mergeCell ref="F728:F729"/>
    <mergeCell ref="G728:G729"/>
    <mergeCell ref="H728:H729"/>
    <mergeCell ref="I728:I729"/>
    <mergeCell ref="J728:J729"/>
    <mergeCell ref="I724:I725"/>
    <mergeCell ref="J724:J725"/>
    <mergeCell ref="D726:D727"/>
    <mergeCell ref="F726:F727"/>
    <mergeCell ref="G726:G727"/>
    <mergeCell ref="H726:H727"/>
    <mergeCell ref="I726:I727"/>
    <mergeCell ref="J726:J727"/>
    <mergeCell ref="J720:J721"/>
    <mergeCell ref="D722:D723"/>
    <mergeCell ref="F722:F723"/>
    <mergeCell ref="G722:G723"/>
    <mergeCell ref="H722:H723"/>
    <mergeCell ref="I722:I723"/>
    <mergeCell ref="J722:J723"/>
    <mergeCell ref="C720:C729"/>
    <mergeCell ref="D720:D721"/>
    <mergeCell ref="F720:F721"/>
    <mergeCell ref="G720:G721"/>
    <mergeCell ref="H720:H721"/>
    <mergeCell ref="I720:I721"/>
    <mergeCell ref="D724:D725"/>
    <mergeCell ref="F724:F725"/>
    <mergeCell ref="G724:G725"/>
    <mergeCell ref="H724:H725"/>
    <mergeCell ref="D718:D719"/>
    <mergeCell ref="F718:F719"/>
    <mergeCell ref="G718:G719"/>
    <mergeCell ref="H718:H719"/>
    <mergeCell ref="I718:I719"/>
    <mergeCell ref="J718:J719"/>
    <mergeCell ref="I714:I715"/>
    <mergeCell ref="J714:J715"/>
    <mergeCell ref="D716:D717"/>
    <mergeCell ref="F716:F717"/>
    <mergeCell ref="G716:G717"/>
    <mergeCell ref="H716:H717"/>
    <mergeCell ref="I716:I717"/>
    <mergeCell ref="J716:J717"/>
    <mergeCell ref="J710:J711"/>
    <mergeCell ref="D712:D713"/>
    <mergeCell ref="F712:F713"/>
    <mergeCell ref="G712:G713"/>
    <mergeCell ref="H712:H713"/>
    <mergeCell ref="I712:I713"/>
    <mergeCell ref="J712:J713"/>
    <mergeCell ref="C710:C719"/>
    <mergeCell ref="D710:D711"/>
    <mergeCell ref="F710:F711"/>
    <mergeCell ref="G710:G711"/>
    <mergeCell ref="H710:H711"/>
    <mergeCell ref="I710:I711"/>
    <mergeCell ref="D714:D715"/>
    <mergeCell ref="F714:F715"/>
    <mergeCell ref="G714:G715"/>
    <mergeCell ref="H714:H715"/>
    <mergeCell ref="D708:D709"/>
    <mergeCell ref="F708:F709"/>
    <mergeCell ref="G708:G709"/>
    <mergeCell ref="H708:H709"/>
    <mergeCell ref="I708:I709"/>
    <mergeCell ref="J708:J709"/>
    <mergeCell ref="I704:I705"/>
    <mergeCell ref="J704:J705"/>
    <mergeCell ref="D706:D707"/>
    <mergeCell ref="F706:F707"/>
    <mergeCell ref="G706:G707"/>
    <mergeCell ref="H706:H707"/>
    <mergeCell ref="I706:I707"/>
    <mergeCell ref="J706:J707"/>
    <mergeCell ref="I700:I701"/>
    <mergeCell ref="J700:J701"/>
    <mergeCell ref="D702:D703"/>
    <mergeCell ref="F702:F703"/>
    <mergeCell ref="G702:G703"/>
    <mergeCell ref="H702:H703"/>
    <mergeCell ref="I702:I703"/>
    <mergeCell ref="J702:J703"/>
    <mergeCell ref="B700:B829"/>
    <mergeCell ref="C700:C709"/>
    <mergeCell ref="D700:D701"/>
    <mergeCell ref="F700:F701"/>
    <mergeCell ref="G700:G701"/>
    <mergeCell ref="H700:H701"/>
    <mergeCell ref="D704:D705"/>
    <mergeCell ref="F704:F705"/>
    <mergeCell ref="G704:G705"/>
    <mergeCell ref="H704:H705"/>
    <mergeCell ref="D698:D699"/>
    <mergeCell ref="F698:F699"/>
    <mergeCell ref="G698:G699"/>
    <mergeCell ref="H698:H699"/>
    <mergeCell ref="I698:I699"/>
    <mergeCell ref="J698:J699"/>
    <mergeCell ref="I694:I695"/>
    <mergeCell ref="J694:J695"/>
    <mergeCell ref="D696:D697"/>
    <mergeCell ref="F696:F697"/>
    <mergeCell ref="G696:G697"/>
    <mergeCell ref="H696:H697"/>
    <mergeCell ref="I696:I697"/>
    <mergeCell ref="J696:J697"/>
    <mergeCell ref="J690:J691"/>
    <mergeCell ref="D692:D693"/>
    <mergeCell ref="F692:F693"/>
    <mergeCell ref="G692:G693"/>
    <mergeCell ref="H692:H693"/>
    <mergeCell ref="I692:I693"/>
    <mergeCell ref="J692:J693"/>
    <mergeCell ref="C690:C699"/>
    <mergeCell ref="D690:D691"/>
    <mergeCell ref="F690:F691"/>
    <mergeCell ref="G690:G691"/>
    <mergeCell ref="H690:H691"/>
    <mergeCell ref="I690:I691"/>
    <mergeCell ref="D694:D695"/>
    <mergeCell ref="F694:F695"/>
    <mergeCell ref="G694:G695"/>
    <mergeCell ref="H694:H695"/>
    <mergeCell ref="D688:D689"/>
    <mergeCell ref="F688:F689"/>
    <mergeCell ref="G688:G689"/>
    <mergeCell ref="H688:H689"/>
    <mergeCell ref="I688:I689"/>
    <mergeCell ref="J688:J689"/>
    <mergeCell ref="I684:I685"/>
    <mergeCell ref="J684:J685"/>
    <mergeCell ref="D686:D687"/>
    <mergeCell ref="F686:F687"/>
    <mergeCell ref="G686:G687"/>
    <mergeCell ref="H686:H687"/>
    <mergeCell ref="I686:I687"/>
    <mergeCell ref="J686:J687"/>
    <mergeCell ref="J680:J681"/>
    <mergeCell ref="D682:D683"/>
    <mergeCell ref="F682:F683"/>
    <mergeCell ref="G682:G683"/>
    <mergeCell ref="H682:H683"/>
    <mergeCell ref="I682:I683"/>
    <mergeCell ref="J682:J683"/>
    <mergeCell ref="C680:C689"/>
    <mergeCell ref="D680:D681"/>
    <mergeCell ref="F680:F681"/>
    <mergeCell ref="G680:G681"/>
    <mergeCell ref="H680:H681"/>
    <mergeCell ref="I680:I681"/>
    <mergeCell ref="D684:D685"/>
    <mergeCell ref="F684:F685"/>
    <mergeCell ref="G684:G685"/>
    <mergeCell ref="H684:H685"/>
    <mergeCell ref="D678:D679"/>
    <mergeCell ref="F678:F679"/>
    <mergeCell ref="G678:G679"/>
    <mergeCell ref="H678:H679"/>
    <mergeCell ref="I678:I679"/>
    <mergeCell ref="J678:J679"/>
    <mergeCell ref="I674:I675"/>
    <mergeCell ref="J674:J675"/>
    <mergeCell ref="D676:D677"/>
    <mergeCell ref="F676:F677"/>
    <mergeCell ref="G676:G677"/>
    <mergeCell ref="H676:H677"/>
    <mergeCell ref="I676:I677"/>
    <mergeCell ref="J676:J677"/>
    <mergeCell ref="J670:J671"/>
    <mergeCell ref="D672:D673"/>
    <mergeCell ref="F672:F673"/>
    <mergeCell ref="G672:G673"/>
    <mergeCell ref="H672:H673"/>
    <mergeCell ref="I672:I673"/>
    <mergeCell ref="J672:J673"/>
    <mergeCell ref="C670:C679"/>
    <mergeCell ref="D670:D671"/>
    <mergeCell ref="F670:F671"/>
    <mergeCell ref="G670:G671"/>
    <mergeCell ref="H670:H671"/>
    <mergeCell ref="I670:I671"/>
    <mergeCell ref="D674:D675"/>
    <mergeCell ref="F674:F675"/>
    <mergeCell ref="G674:G675"/>
    <mergeCell ref="H674:H675"/>
    <mergeCell ref="D668:D669"/>
    <mergeCell ref="F668:F669"/>
    <mergeCell ref="G668:G669"/>
    <mergeCell ref="H668:H669"/>
    <mergeCell ref="I668:I669"/>
    <mergeCell ref="J668:J669"/>
    <mergeCell ref="I664:I665"/>
    <mergeCell ref="J664:J665"/>
    <mergeCell ref="D666:D667"/>
    <mergeCell ref="F666:F667"/>
    <mergeCell ref="G666:G667"/>
    <mergeCell ref="H666:H667"/>
    <mergeCell ref="I666:I667"/>
    <mergeCell ref="J666:J667"/>
    <mergeCell ref="J660:J661"/>
    <mergeCell ref="D662:D663"/>
    <mergeCell ref="F662:F663"/>
    <mergeCell ref="G662:G663"/>
    <mergeCell ref="H662:H663"/>
    <mergeCell ref="I662:I663"/>
    <mergeCell ref="J662:J663"/>
    <mergeCell ref="C660:C669"/>
    <mergeCell ref="D660:D661"/>
    <mergeCell ref="F660:F661"/>
    <mergeCell ref="G660:G661"/>
    <mergeCell ref="H660:H661"/>
    <mergeCell ref="I660:I661"/>
    <mergeCell ref="D664:D665"/>
    <mergeCell ref="F664:F665"/>
    <mergeCell ref="G664:G665"/>
    <mergeCell ref="H664:H665"/>
    <mergeCell ref="D658:D659"/>
    <mergeCell ref="F658:F659"/>
    <mergeCell ref="G658:G659"/>
    <mergeCell ref="H658:H659"/>
    <mergeCell ref="I658:I659"/>
    <mergeCell ref="J658:J659"/>
    <mergeCell ref="I654:I655"/>
    <mergeCell ref="J654:J655"/>
    <mergeCell ref="D656:D657"/>
    <mergeCell ref="F656:F657"/>
    <mergeCell ref="G656:G657"/>
    <mergeCell ref="H656:H657"/>
    <mergeCell ref="I656:I657"/>
    <mergeCell ref="J656:J657"/>
    <mergeCell ref="J650:J651"/>
    <mergeCell ref="D652:D653"/>
    <mergeCell ref="F652:F653"/>
    <mergeCell ref="G652:G653"/>
    <mergeCell ref="H652:H653"/>
    <mergeCell ref="I652:I653"/>
    <mergeCell ref="J652:J653"/>
    <mergeCell ref="C650:C659"/>
    <mergeCell ref="D650:D651"/>
    <mergeCell ref="F650:F651"/>
    <mergeCell ref="G650:G651"/>
    <mergeCell ref="H650:H651"/>
    <mergeCell ref="I650:I651"/>
    <mergeCell ref="D654:D655"/>
    <mergeCell ref="F654:F655"/>
    <mergeCell ref="G654:G655"/>
    <mergeCell ref="H654:H655"/>
    <mergeCell ref="D648:D649"/>
    <mergeCell ref="F648:F649"/>
    <mergeCell ref="G648:G649"/>
    <mergeCell ref="H648:H649"/>
    <mergeCell ref="I648:I649"/>
    <mergeCell ref="J648:J649"/>
    <mergeCell ref="I644:I645"/>
    <mergeCell ref="J644:J645"/>
    <mergeCell ref="D646:D647"/>
    <mergeCell ref="F646:F647"/>
    <mergeCell ref="G646:G647"/>
    <mergeCell ref="H646:H647"/>
    <mergeCell ref="I646:I647"/>
    <mergeCell ref="J646:J647"/>
    <mergeCell ref="J640:J641"/>
    <mergeCell ref="D642:D643"/>
    <mergeCell ref="F642:F643"/>
    <mergeCell ref="G642:G643"/>
    <mergeCell ref="H642:H643"/>
    <mergeCell ref="I642:I643"/>
    <mergeCell ref="J642:J643"/>
    <mergeCell ref="C640:C649"/>
    <mergeCell ref="D640:D641"/>
    <mergeCell ref="F640:F641"/>
    <mergeCell ref="G640:G641"/>
    <mergeCell ref="H640:H641"/>
    <mergeCell ref="I640:I641"/>
    <mergeCell ref="D644:D645"/>
    <mergeCell ref="F644:F645"/>
    <mergeCell ref="G644:G645"/>
    <mergeCell ref="H644:H645"/>
    <mergeCell ref="D638:D639"/>
    <mergeCell ref="F638:F639"/>
    <mergeCell ref="G638:G639"/>
    <mergeCell ref="H638:H639"/>
    <mergeCell ref="I638:I639"/>
    <mergeCell ref="J638:J639"/>
    <mergeCell ref="I634:I635"/>
    <mergeCell ref="J634:J635"/>
    <mergeCell ref="D636:D637"/>
    <mergeCell ref="F636:F637"/>
    <mergeCell ref="G636:G637"/>
    <mergeCell ref="H636:H637"/>
    <mergeCell ref="I636:I637"/>
    <mergeCell ref="J636:J637"/>
    <mergeCell ref="J630:J631"/>
    <mergeCell ref="D632:D633"/>
    <mergeCell ref="F632:F633"/>
    <mergeCell ref="G632:G633"/>
    <mergeCell ref="H632:H633"/>
    <mergeCell ref="I632:I633"/>
    <mergeCell ref="J632:J633"/>
    <mergeCell ref="C630:C639"/>
    <mergeCell ref="D630:D631"/>
    <mergeCell ref="F630:F631"/>
    <mergeCell ref="G630:G631"/>
    <mergeCell ref="H630:H631"/>
    <mergeCell ref="I630:I631"/>
    <mergeCell ref="D634:D635"/>
    <mergeCell ref="F634:F635"/>
    <mergeCell ref="G634:G635"/>
    <mergeCell ref="H634:H635"/>
    <mergeCell ref="D628:D629"/>
    <mergeCell ref="F628:F629"/>
    <mergeCell ref="G628:G629"/>
    <mergeCell ref="H628:H629"/>
    <mergeCell ref="I628:I629"/>
    <mergeCell ref="J628:J629"/>
    <mergeCell ref="I624:I625"/>
    <mergeCell ref="J624:J625"/>
    <mergeCell ref="D626:D627"/>
    <mergeCell ref="F626:F627"/>
    <mergeCell ref="G626:G627"/>
    <mergeCell ref="H626:H627"/>
    <mergeCell ref="I626:I627"/>
    <mergeCell ref="J626:J627"/>
    <mergeCell ref="J620:J621"/>
    <mergeCell ref="D622:D623"/>
    <mergeCell ref="F622:F623"/>
    <mergeCell ref="G622:G623"/>
    <mergeCell ref="H622:H623"/>
    <mergeCell ref="I622:I623"/>
    <mergeCell ref="J622:J623"/>
    <mergeCell ref="C620:C629"/>
    <mergeCell ref="D620:D621"/>
    <mergeCell ref="F620:F621"/>
    <mergeCell ref="G620:G621"/>
    <mergeCell ref="H620:H621"/>
    <mergeCell ref="I620:I621"/>
    <mergeCell ref="D624:D625"/>
    <mergeCell ref="F624:F625"/>
    <mergeCell ref="G624:G625"/>
    <mergeCell ref="H624:H625"/>
    <mergeCell ref="D618:D619"/>
    <mergeCell ref="F618:F619"/>
    <mergeCell ref="G618:G619"/>
    <mergeCell ref="H618:H619"/>
    <mergeCell ref="I618:I619"/>
    <mergeCell ref="J618:J619"/>
    <mergeCell ref="I614:I615"/>
    <mergeCell ref="J614:J615"/>
    <mergeCell ref="D616:D617"/>
    <mergeCell ref="F616:F617"/>
    <mergeCell ref="G616:G617"/>
    <mergeCell ref="H616:H617"/>
    <mergeCell ref="I616:I617"/>
    <mergeCell ref="J616:J617"/>
    <mergeCell ref="J610:J611"/>
    <mergeCell ref="D612:D613"/>
    <mergeCell ref="F612:F613"/>
    <mergeCell ref="G612:G613"/>
    <mergeCell ref="H612:H613"/>
    <mergeCell ref="I612:I613"/>
    <mergeCell ref="J612:J613"/>
    <mergeCell ref="C610:C619"/>
    <mergeCell ref="D610:D611"/>
    <mergeCell ref="F610:F611"/>
    <mergeCell ref="G610:G611"/>
    <mergeCell ref="H610:H611"/>
    <mergeCell ref="I610:I611"/>
    <mergeCell ref="D614:D615"/>
    <mergeCell ref="F614:F615"/>
    <mergeCell ref="G614:G615"/>
    <mergeCell ref="H614:H615"/>
    <mergeCell ref="D608:D609"/>
    <mergeCell ref="F608:F609"/>
    <mergeCell ref="G608:G609"/>
    <mergeCell ref="H608:H609"/>
    <mergeCell ref="I608:I609"/>
    <mergeCell ref="J608:J609"/>
    <mergeCell ref="I604:I605"/>
    <mergeCell ref="J604:J605"/>
    <mergeCell ref="D606:D607"/>
    <mergeCell ref="F606:F607"/>
    <mergeCell ref="G606:G607"/>
    <mergeCell ref="H606:H607"/>
    <mergeCell ref="I606:I607"/>
    <mergeCell ref="J606:J607"/>
    <mergeCell ref="J600:J601"/>
    <mergeCell ref="D602:D603"/>
    <mergeCell ref="F602:F603"/>
    <mergeCell ref="G602:G603"/>
    <mergeCell ref="H602:H603"/>
    <mergeCell ref="I602:I603"/>
    <mergeCell ref="J602:J603"/>
    <mergeCell ref="C600:C609"/>
    <mergeCell ref="D600:D601"/>
    <mergeCell ref="F600:F601"/>
    <mergeCell ref="G600:G601"/>
    <mergeCell ref="H600:H601"/>
    <mergeCell ref="I600:I601"/>
    <mergeCell ref="D604:D605"/>
    <mergeCell ref="F604:F605"/>
    <mergeCell ref="G604:G605"/>
    <mergeCell ref="H604:H605"/>
    <mergeCell ref="D598:D599"/>
    <mergeCell ref="F598:F599"/>
    <mergeCell ref="G598:G599"/>
    <mergeCell ref="H598:H599"/>
    <mergeCell ref="I598:I599"/>
    <mergeCell ref="J598:J599"/>
    <mergeCell ref="I594:I595"/>
    <mergeCell ref="J594:J595"/>
    <mergeCell ref="D596:D597"/>
    <mergeCell ref="F596:F597"/>
    <mergeCell ref="G596:G597"/>
    <mergeCell ref="H596:H597"/>
    <mergeCell ref="I596:I597"/>
    <mergeCell ref="J596:J597"/>
    <mergeCell ref="J590:J591"/>
    <mergeCell ref="D592:D593"/>
    <mergeCell ref="F592:F593"/>
    <mergeCell ref="G592:G593"/>
    <mergeCell ref="H592:H593"/>
    <mergeCell ref="I592:I593"/>
    <mergeCell ref="J592:J593"/>
    <mergeCell ref="C590:C599"/>
    <mergeCell ref="D590:D591"/>
    <mergeCell ref="F590:F591"/>
    <mergeCell ref="G590:G591"/>
    <mergeCell ref="H590:H591"/>
    <mergeCell ref="I590:I591"/>
    <mergeCell ref="D594:D595"/>
    <mergeCell ref="F594:F595"/>
    <mergeCell ref="G594:G595"/>
    <mergeCell ref="H594:H595"/>
    <mergeCell ref="D588:D589"/>
    <mergeCell ref="F588:F589"/>
    <mergeCell ref="G588:G589"/>
    <mergeCell ref="H588:H589"/>
    <mergeCell ref="I588:I589"/>
    <mergeCell ref="J588:J589"/>
    <mergeCell ref="I584:I585"/>
    <mergeCell ref="J584:J585"/>
    <mergeCell ref="D586:D587"/>
    <mergeCell ref="F586:F587"/>
    <mergeCell ref="G586:G587"/>
    <mergeCell ref="H586:H587"/>
    <mergeCell ref="I586:I587"/>
    <mergeCell ref="J586:J587"/>
    <mergeCell ref="J580:J581"/>
    <mergeCell ref="D582:D583"/>
    <mergeCell ref="F582:F583"/>
    <mergeCell ref="G582:G583"/>
    <mergeCell ref="H582:H583"/>
    <mergeCell ref="I582:I583"/>
    <mergeCell ref="J582:J583"/>
    <mergeCell ref="C580:C589"/>
    <mergeCell ref="D580:D581"/>
    <mergeCell ref="F580:F581"/>
    <mergeCell ref="G580:G581"/>
    <mergeCell ref="H580:H581"/>
    <mergeCell ref="I580:I581"/>
    <mergeCell ref="D584:D585"/>
    <mergeCell ref="F584:F585"/>
    <mergeCell ref="G584:G585"/>
    <mergeCell ref="H584:H585"/>
    <mergeCell ref="D578:D579"/>
    <mergeCell ref="F578:F579"/>
    <mergeCell ref="G578:G579"/>
    <mergeCell ref="H578:H579"/>
    <mergeCell ref="I578:I579"/>
    <mergeCell ref="J578:J579"/>
    <mergeCell ref="I574:I575"/>
    <mergeCell ref="J574:J575"/>
    <mergeCell ref="D576:D577"/>
    <mergeCell ref="F576:F577"/>
    <mergeCell ref="G576:G577"/>
    <mergeCell ref="H576:H577"/>
    <mergeCell ref="I576:I577"/>
    <mergeCell ref="J576:J577"/>
    <mergeCell ref="J570:J571"/>
    <mergeCell ref="D572:D573"/>
    <mergeCell ref="F572:F573"/>
    <mergeCell ref="G572:G573"/>
    <mergeCell ref="H572:H573"/>
    <mergeCell ref="I572:I573"/>
    <mergeCell ref="J572:J573"/>
    <mergeCell ref="C570:C579"/>
    <mergeCell ref="D570:D571"/>
    <mergeCell ref="F570:F571"/>
    <mergeCell ref="G570:G571"/>
    <mergeCell ref="H570:H571"/>
    <mergeCell ref="I570:I571"/>
    <mergeCell ref="D574:D575"/>
    <mergeCell ref="F574:F575"/>
    <mergeCell ref="G574:G575"/>
    <mergeCell ref="H574:H575"/>
    <mergeCell ref="D568:D569"/>
    <mergeCell ref="F568:F569"/>
    <mergeCell ref="G568:G569"/>
    <mergeCell ref="H568:H569"/>
    <mergeCell ref="I568:I569"/>
    <mergeCell ref="J568:J569"/>
    <mergeCell ref="I564:I565"/>
    <mergeCell ref="J564:J565"/>
    <mergeCell ref="D566:D567"/>
    <mergeCell ref="F566:F567"/>
    <mergeCell ref="G566:G567"/>
    <mergeCell ref="H566:H567"/>
    <mergeCell ref="I566:I567"/>
    <mergeCell ref="J566:J567"/>
    <mergeCell ref="J560:J561"/>
    <mergeCell ref="D562:D563"/>
    <mergeCell ref="F562:F563"/>
    <mergeCell ref="G562:G563"/>
    <mergeCell ref="H562:H563"/>
    <mergeCell ref="I562:I563"/>
    <mergeCell ref="J562:J563"/>
    <mergeCell ref="C560:C569"/>
    <mergeCell ref="D560:D561"/>
    <mergeCell ref="F560:F561"/>
    <mergeCell ref="G560:G561"/>
    <mergeCell ref="H560:H561"/>
    <mergeCell ref="I560:I561"/>
    <mergeCell ref="D564:D565"/>
    <mergeCell ref="F564:F565"/>
    <mergeCell ref="G564:G565"/>
    <mergeCell ref="H564:H565"/>
    <mergeCell ref="D558:D559"/>
    <mergeCell ref="F558:F559"/>
    <mergeCell ref="G558:G559"/>
    <mergeCell ref="H558:H559"/>
    <mergeCell ref="I558:I559"/>
    <mergeCell ref="J558:J559"/>
    <mergeCell ref="I554:I555"/>
    <mergeCell ref="J554:J555"/>
    <mergeCell ref="D556:D557"/>
    <mergeCell ref="F556:F557"/>
    <mergeCell ref="G556:G557"/>
    <mergeCell ref="H556:H557"/>
    <mergeCell ref="I556:I557"/>
    <mergeCell ref="J556:J557"/>
    <mergeCell ref="J550:J551"/>
    <mergeCell ref="D552:D553"/>
    <mergeCell ref="F552:F553"/>
    <mergeCell ref="G552:G553"/>
    <mergeCell ref="H552:H553"/>
    <mergeCell ref="I552:I553"/>
    <mergeCell ref="J552:J553"/>
    <mergeCell ref="C550:C559"/>
    <mergeCell ref="D550:D551"/>
    <mergeCell ref="F550:F551"/>
    <mergeCell ref="G550:G551"/>
    <mergeCell ref="H550:H551"/>
    <mergeCell ref="I550:I551"/>
    <mergeCell ref="D554:D555"/>
    <mergeCell ref="F554:F555"/>
    <mergeCell ref="G554:G555"/>
    <mergeCell ref="H554:H555"/>
    <mergeCell ref="D548:D549"/>
    <mergeCell ref="F548:F549"/>
    <mergeCell ref="G548:G549"/>
    <mergeCell ref="H548:H549"/>
    <mergeCell ref="I548:I549"/>
    <mergeCell ref="J548:J549"/>
    <mergeCell ref="I544:I545"/>
    <mergeCell ref="J544:J545"/>
    <mergeCell ref="D546:D547"/>
    <mergeCell ref="F546:F547"/>
    <mergeCell ref="G546:G547"/>
    <mergeCell ref="H546:H547"/>
    <mergeCell ref="I546:I547"/>
    <mergeCell ref="J546:J547"/>
    <mergeCell ref="J540:J541"/>
    <mergeCell ref="D542:D543"/>
    <mergeCell ref="F542:F543"/>
    <mergeCell ref="G542:G543"/>
    <mergeCell ref="H542:H543"/>
    <mergeCell ref="I542:I543"/>
    <mergeCell ref="J542:J543"/>
    <mergeCell ref="C540:C549"/>
    <mergeCell ref="D540:D541"/>
    <mergeCell ref="F540:F541"/>
    <mergeCell ref="G540:G541"/>
    <mergeCell ref="H540:H541"/>
    <mergeCell ref="I540:I541"/>
    <mergeCell ref="D544:D545"/>
    <mergeCell ref="F544:F545"/>
    <mergeCell ref="G544:G545"/>
    <mergeCell ref="H544:H545"/>
    <mergeCell ref="D538:D539"/>
    <mergeCell ref="F538:F539"/>
    <mergeCell ref="G538:G539"/>
    <mergeCell ref="H538:H539"/>
    <mergeCell ref="I538:I539"/>
    <mergeCell ref="J538:J539"/>
    <mergeCell ref="I534:I535"/>
    <mergeCell ref="J534:J535"/>
    <mergeCell ref="D536:D537"/>
    <mergeCell ref="F536:F537"/>
    <mergeCell ref="G536:G537"/>
    <mergeCell ref="H536:H537"/>
    <mergeCell ref="I536:I537"/>
    <mergeCell ref="J536:J537"/>
    <mergeCell ref="J530:J531"/>
    <mergeCell ref="D532:D533"/>
    <mergeCell ref="F532:F533"/>
    <mergeCell ref="G532:G533"/>
    <mergeCell ref="H532:H533"/>
    <mergeCell ref="I532:I533"/>
    <mergeCell ref="J532:J533"/>
    <mergeCell ref="C530:C539"/>
    <mergeCell ref="D530:D531"/>
    <mergeCell ref="F530:F531"/>
    <mergeCell ref="G530:G531"/>
    <mergeCell ref="H530:H531"/>
    <mergeCell ref="I530:I531"/>
    <mergeCell ref="D534:D535"/>
    <mergeCell ref="F534:F535"/>
    <mergeCell ref="G534:G535"/>
    <mergeCell ref="H534:H535"/>
    <mergeCell ref="D528:D529"/>
    <mergeCell ref="F528:F529"/>
    <mergeCell ref="G528:G529"/>
    <mergeCell ref="H528:H529"/>
    <mergeCell ref="I528:I529"/>
    <mergeCell ref="J528:J529"/>
    <mergeCell ref="I524:I525"/>
    <mergeCell ref="J524:J525"/>
    <mergeCell ref="D526:D527"/>
    <mergeCell ref="F526:F527"/>
    <mergeCell ref="G526:G527"/>
    <mergeCell ref="H526:H527"/>
    <mergeCell ref="I526:I527"/>
    <mergeCell ref="J526:J527"/>
    <mergeCell ref="J520:J521"/>
    <mergeCell ref="D522:D523"/>
    <mergeCell ref="F522:F523"/>
    <mergeCell ref="G522:G523"/>
    <mergeCell ref="H522:H523"/>
    <mergeCell ref="I522:I523"/>
    <mergeCell ref="J522:J523"/>
    <mergeCell ref="C520:C529"/>
    <mergeCell ref="D520:D521"/>
    <mergeCell ref="F520:F521"/>
    <mergeCell ref="G520:G521"/>
    <mergeCell ref="H520:H521"/>
    <mergeCell ref="I520:I521"/>
    <mergeCell ref="D524:D525"/>
    <mergeCell ref="F524:F525"/>
    <mergeCell ref="G524:G525"/>
    <mergeCell ref="H524:H525"/>
    <mergeCell ref="D518:D519"/>
    <mergeCell ref="F518:F519"/>
    <mergeCell ref="G518:G519"/>
    <mergeCell ref="H518:H519"/>
    <mergeCell ref="I518:I519"/>
    <mergeCell ref="J518:J519"/>
    <mergeCell ref="I514:I515"/>
    <mergeCell ref="J514:J515"/>
    <mergeCell ref="D516:D517"/>
    <mergeCell ref="F516:F517"/>
    <mergeCell ref="G516:G517"/>
    <mergeCell ref="H516:H517"/>
    <mergeCell ref="I516:I517"/>
    <mergeCell ref="J516:J517"/>
    <mergeCell ref="J510:J511"/>
    <mergeCell ref="D512:D513"/>
    <mergeCell ref="F512:F513"/>
    <mergeCell ref="G512:G513"/>
    <mergeCell ref="H512:H513"/>
    <mergeCell ref="I512:I513"/>
    <mergeCell ref="J512:J513"/>
    <mergeCell ref="C510:C519"/>
    <mergeCell ref="D510:D511"/>
    <mergeCell ref="F510:F511"/>
    <mergeCell ref="G510:G511"/>
    <mergeCell ref="H510:H511"/>
    <mergeCell ref="I510:I511"/>
    <mergeCell ref="D514:D515"/>
    <mergeCell ref="F514:F515"/>
    <mergeCell ref="G514:G515"/>
    <mergeCell ref="H514:H515"/>
    <mergeCell ref="D508:D509"/>
    <mergeCell ref="F508:F509"/>
    <mergeCell ref="G508:G509"/>
    <mergeCell ref="H508:H509"/>
    <mergeCell ref="I508:I509"/>
    <mergeCell ref="J508:J509"/>
    <mergeCell ref="I504:I505"/>
    <mergeCell ref="J504:J505"/>
    <mergeCell ref="D506:D507"/>
    <mergeCell ref="F506:F507"/>
    <mergeCell ref="G506:G507"/>
    <mergeCell ref="H506:H507"/>
    <mergeCell ref="I506:I507"/>
    <mergeCell ref="J506:J507"/>
    <mergeCell ref="J500:J501"/>
    <mergeCell ref="D502:D503"/>
    <mergeCell ref="F502:F503"/>
    <mergeCell ref="G502:G503"/>
    <mergeCell ref="H502:H503"/>
    <mergeCell ref="I502:I503"/>
    <mergeCell ref="J502:J503"/>
    <mergeCell ref="C500:C509"/>
    <mergeCell ref="D500:D501"/>
    <mergeCell ref="F500:F501"/>
    <mergeCell ref="G500:G501"/>
    <mergeCell ref="H500:H501"/>
    <mergeCell ref="I500:I501"/>
    <mergeCell ref="D504:D505"/>
    <mergeCell ref="F504:F505"/>
    <mergeCell ref="G504:G505"/>
    <mergeCell ref="H504:H505"/>
    <mergeCell ref="D498:D499"/>
    <mergeCell ref="F498:F499"/>
    <mergeCell ref="G498:G499"/>
    <mergeCell ref="H498:H499"/>
    <mergeCell ref="I498:I499"/>
    <mergeCell ref="J498:J499"/>
    <mergeCell ref="I494:I495"/>
    <mergeCell ref="J494:J495"/>
    <mergeCell ref="D496:D497"/>
    <mergeCell ref="F496:F497"/>
    <mergeCell ref="G496:G497"/>
    <mergeCell ref="H496:H497"/>
    <mergeCell ref="I496:I497"/>
    <mergeCell ref="J496:J497"/>
    <mergeCell ref="J490:J491"/>
    <mergeCell ref="D492:D493"/>
    <mergeCell ref="F492:F493"/>
    <mergeCell ref="G492:G493"/>
    <mergeCell ref="H492:H493"/>
    <mergeCell ref="I492:I493"/>
    <mergeCell ref="J492:J493"/>
    <mergeCell ref="C490:C499"/>
    <mergeCell ref="D490:D491"/>
    <mergeCell ref="F490:F491"/>
    <mergeCell ref="G490:G491"/>
    <mergeCell ref="H490:H491"/>
    <mergeCell ref="I490:I491"/>
    <mergeCell ref="D494:D495"/>
    <mergeCell ref="F494:F495"/>
    <mergeCell ref="G494:G495"/>
    <mergeCell ref="H494:H495"/>
    <mergeCell ref="D488:D489"/>
    <mergeCell ref="F488:F489"/>
    <mergeCell ref="G488:G489"/>
    <mergeCell ref="H488:H489"/>
    <mergeCell ref="I488:I489"/>
    <mergeCell ref="J488:J489"/>
    <mergeCell ref="I484:I485"/>
    <mergeCell ref="J484:J485"/>
    <mergeCell ref="D486:D487"/>
    <mergeCell ref="F486:F487"/>
    <mergeCell ref="G486:G487"/>
    <mergeCell ref="H486:H487"/>
    <mergeCell ref="I486:I487"/>
    <mergeCell ref="J486:J487"/>
    <mergeCell ref="J480:J481"/>
    <mergeCell ref="D482:D483"/>
    <mergeCell ref="F482:F483"/>
    <mergeCell ref="G482:G483"/>
    <mergeCell ref="H482:H483"/>
    <mergeCell ref="I482:I483"/>
    <mergeCell ref="J482:J483"/>
    <mergeCell ref="C480:C489"/>
    <mergeCell ref="D480:D481"/>
    <mergeCell ref="F480:F481"/>
    <mergeCell ref="G480:G481"/>
    <mergeCell ref="H480:H481"/>
    <mergeCell ref="I480:I481"/>
    <mergeCell ref="D484:D485"/>
    <mergeCell ref="F484:F485"/>
    <mergeCell ref="G484:G485"/>
    <mergeCell ref="H484:H485"/>
    <mergeCell ref="D478:D479"/>
    <mergeCell ref="F478:F479"/>
    <mergeCell ref="G478:G479"/>
    <mergeCell ref="H478:H479"/>
    <mergeCell ref="I478:I479"/>
    <mergeCell ref="J478:J479"/>
    <mergeCell ref="I474:I475"/>
    <mergeCell ref="J474:J475"/>
    <mergeCell ref="D476:D477"/>
    <mergeCell ref="F476:F477"/>
    <mergeCell ref="G476:G477"/>
    <mergeCell ref="H476:H477"/>
    <mergeCell ref="I476:I477"/>
    <mergeCell ref="J476:J477"/>
    <mergeCell ref="J470:J471"/>
    <mergeCell ref="D472:D473"/>
    <mergeCell ref="F472:F473"/>
    <mergeCell ref="G472:G473"/>
    <mergeCell ref="H472:H473"/>
    <mergeCell ref="I472:I473"/>
    <mergeCell ref="J472:J473"/>
    <mergeCell ref="C470:C479"/>
    <mergeCell ref="D470:D471"/>
    <mergeCell ref="F470:F471"/>
    <mergeCell ref="G470:G471"/>
    <mergeCell ref="H470:H471"/>
    <mergeCell ref="I470:I471"/>
    <mergeCell ref="D474:D475"/>
    <mergeCell ref="F474:F475"/>
    <mergeCell ref="G474:G475"/>
    <mergeCell ref="H474:H475"/>
    <mergeCell ref="D468:D469"/>
    <mergeCell ref="F468:F469"/>
    <mergeCell ref="G468:G469"/>
    <mergeCell ref="H468:H469"/>
    <mergeCell ref="I468:I469"/>
    <mergeCell ref="J468:J469"/>
    <mergeCell ref="I464:I465"/>
    <mergeCell ref="J464:J465"/>
    <mergeCell ref="D466:D467"/>
    <mergeCell ref="F466:F467"/>
    <mergeCell ref="G466:G467"/>
    <mergeCell ref="H466:H467"/>
    <mergeCell ref="I466:I467"/>
    <mergeCell ref="J466:J467"/>
    <mergeCell ref="J460:J461"/>
    <mergeCell ref="D462:D463"/>
    <mergeCell ref="F462:F463"/>
    <mergeCell ref="G462:G463"/>
    <mergeCell ref="H462:H463"/>
    <mergeCell ref="I462:I463"/>
    <mergeCell ref="J462:J463"/>
    <mergeCell ref="C460:C469"/>
    <mergeCell ref="D460:D461"/>
    <mergeCell ref="F460:F461"/>
    <mergeCell ref="G460:G461"/>
    <mergeCell ref="H460:H461"/>
    <mergeCell ref="I460:I461"/>
    <mergeCell ref="D464:D465"/>
    <mergeCell ref="F464:F465"/>
    <mergeCell ref="G464:G465"/>
    <mergeCell ref="H464:H465"/>
    <mergeCell ref="D458:D459"/>
    <mergeCell ref="F458:F459"/>
    <mergeCell ref="G458:G459"/>
    <mergeCell ref="H458:H459"/>
    <mergeCell ref="I458:I459"/>
    <mergeCell ref="J458:J459"/>
    <mergeCell ref="I454:I455"/>
    <mergeCell ref="J454:J455"/>
    <mergeCell ref="D456:D457"/>
    <mergeCell ref="F456:F457"/>
    <mergeCell ref="G456:G457"/>
    <mergeCell ref="H456:H457"/>
    <mergeCell ref="I456:I457"/>
    <mergeCell ref="J456:J457"/>
    <mergeCell ref="J450:J451"/>
    <mergeCell ref="D452:D453"/>
    <mergeCell ref="F452:F453"/>
    <mergeCell ref="G452:G453"/>
    <mergeCell ref="H452:H453"/>
    <mergeCell ref="I452:I453"/>
    <mergeCell ref="J452:J453"/>
    <mergeCell ref="C450:C459"/>
    <mergeCell ref="D450:D451"/>
    <mergeCell ref="F450:F451"/>
    <mergeCell ref="G450:G451"/>
    <mergeCell ref="H450:H451"/>
    <mergeCell ref="I450:I451"/>
    <mergeCell ref="D454:D455"/>
    <mergeCell ref="F454:F455"/>
    <mergeCell ref="G454:G455"/>
    <mergeCell ref="H454:H455"/>
    <mergeCell ref="D448:D449"/>
    <mergeCell ref="F448:F449"/>
    <mergeCell ref="G448:G449"/>
    <mergeCell ref="H448:H449"/>
    <mergeCell ref="I448:I449"/>
    <mergeCell ref="J448:J449"/>
    <mergeCell ref="I444:I445"/>
    <mergeCell ref="J444:J445"/>
    <mergeCell ref="D446:D447"/>
    <mergeCell ref="F446:F447"/>
    <mergeCell ref="G446:G447"/>
    <mergeCell ref="H446:H447"/>
    <mergeCell ref="I446:I447"/>
    <mergeCell ref="J446:J447"/>
    <mergeCell ref="J440:J441"/>
    <mergeCell ref="D442:D443"/>
    <mergeCell ref="F442:F443"/>
    <mergeCell ref="G442:G443"/>
    <mergeCell ref="H442:H443"/>
    <mergeCell ref="I442:I443"/>
    <mergeCell ref="J442:J443"/>
    <mergeCell ref="C440:C449"/>
    <mergeCell ref="D440:D441"/>
    <mergeCell ref="F440:F441"/>
    <mergeCell ref="G440:G441"/>
    <mergeCell ref="H440:H441"/>
    <mergeCell ref="I440:I441"/>
    <mergeCell ref="D444:D445"/>
    <mergeCell ref="F444:F445"/>
    <mergeCell ref="G444:G445"/>
    <mergeCell ref="H444:H445"/>
    <mergeCell ref="D438:D439"/>
    <mergeCell ref="F438:F439"/>
    <mergeCell ref="G438:G439"/>
    <mergeCell ref="H438:H439"/>
    <mergeCell ref="I438:I439"/>
    <mergeCell ref="J438:J439"/>
    <mergeCell ref="I434:I435"/>
    <mergeCell ref="J434:J435"/>
    <mergeCell ref="D436:D437"/>
    <mergeCell ref="F436:F437"/>
    <mergeCell ref="G436:G437"/>
    <mergeCell ref="H436:H437"/>
    <mergeCell ref="I436:I437"/>
    <mergeCell ref="J436:J437"/>
    <mergeCell ref="J430:J431"/>
    <mergeCell ref="D432:D433"/>
    <mergeCell ref="F432:F433"/>
    <mergeCell ref="G432:G433"/>
    <mergeCell ref="H432:H433"/>
    <mergeCell ref="I432:I433"/>
    <mergeCell ref="J432:J433"/>
    <mergeCell ref="C430:C439"/>
    <mergeCell ref="D430:D431"/>
    <mergeCell ref="F430:F431"/>
    <mergeCell ref="G430:G431"/>
    <mergeCell ref="H430:H431"/>
    <mergeCell ref="I430:I431"/>
    <mergeCell ref="D434:D435"/>
    <mergeCell ref="F434:F435"/>
    <mergeCell ref="G434:G435"/>
    <mergeCell ref="H434:H435"/>
    <mergeCell ref="D428:D429"/>
    <mergeCell ref="F428:F429"/>
    <mergeCell ref="G428:G429"/>
    <mergeCell ref="H428:H429"/>
    <mergeCell ref="I428:I429"/>
    <mergeCell ref="J428:J429"/>
    <mergeCell ref="I424:I425"/>
    <mergeCell ref="J424:J425"/>
    <mergeCell ref="D426:D427"/>
    <mergeCell ref="F426:F427"/>
    <mergeCell ref="G426:G427"/>
    <mergeCell ref="H426:H427"/>
    <mergeCell ref="I426:I427"/>
    <mergeCell ref="J426:J427"/>
    <mergeCell ref="J420:J421"/>
    <mergeCell ref="D422:D423"/>
    <mergeCell ref="F422:F423"/>
    <mergeCell ref="G422:G423"/>
    <mergeCell ref="H422:H423"/>
    <mergeCell ref="I422:I423"/>
    <mergeCell ref="J422:J423"/>
    <mergeCell ref="C420:C429"/>
    <mergeCell ref="D420:D421"/>
    <mergeCell ref="F420:F421"/>
    <mergeCell ref="G420:G421"/>
    <mergeCell ref="H420:H421"/>
    <mergeCell ref="I420:I421"/>
    <mergeCell ref="D424:D425"/>
    <mergeCell ref="F424:F425"/>
    <mergeCell ref="G424:G425"/>
    <mergeCell ref="H424:H425"/>
    <mergeCell ref="D418:D419"/>
    <mergeCell ref="F418:F419"/>
    <mergeCell ref="G418:G419"/>
    <mergeCell ref="H418:H419"/>
    <mergeCell ref="I418:I419"/>
    <mergeCell ref="J418:J419"/>
    <mergeCell ref="I414:I415"/>
    <mergeCell ref="J414:J415"/>
    <mergeCell ref="D416:D417"/>
    <mergeCell ref="F416:F417"/>
    <mergeCell ref="G416:G417"/>
    <mergeCell ref="H416:H417"/>
    <mergeCell ref="I416:I417"/>
    <mergeCell ref="J416:J417"/>
    <mergeCell ref="J410:J411"/>
    <mergeCell ref="D412:D413"/>
    <mergeCell ref="F412:F413"/>
    <mergeCell ref="G412:G413"/>
    <mergeCell ref="H412:H413"/>
    <mergeCell ref="I412:I413"/>
    <mergeCell ref="J412:J413"/>
    <mergeCell ref="C410:C419"/>
    <mergeCell ref="D410:D411"/>
    <mergeCell ref="F410:F411"/>
    <mergeCell ref="G410:G411"/>
    <mergeCell ref="H410:H411"/>
    <mergeCell ref="I410:I411"/>
    <mergeCell ref="D414:D415"/>
    <mergeCell ref="F414:F415"/>
    <mergeCell ref="G414:G415"/>
    <mergeCell ref="H414:H415"/>
    <mergeCell ref="D408:D409"/>
    <mergeCell ref="F408:F409"/>
    <mergeCell ref="G408:G409"/>
    <mergeCell ref="H408:H409"/>
    <mergeCell ref="I408:I409"/>
    <mergeCell ref="J408:J409"/>
    <mergeCell ref="I404:I405"/>
    <mergeCell ref="J404:J405"/>
    <mergeCell ref="D406:D407"/>
    <mergeCell ref="F406:F407"/>
    <mergeCell ref="G406:G407"/>
    <mergeCell ref="H406:H407"/>
    <mergeCell ref="I406:I407"/>
    <mergeCell ref="J406:J407"/>
    <mergeCell ref="J400:J401"/>
    <mergeCell ref="D402:D403"/>
    <mergeCell ref="F402:F403"/>
    <mergeCell ref="G402:G403"/>
    <mergeCell ref="H402:H403"/>
    <mergeCell ref="I402:I403"/>
    <mergeCell ref="J402:J403"/>
    <mergeCell ref="C400:C409"/>
    <mergeCell ref="D400:D401"/>
    <mergeCell ref="F400:F401"/>
    <mergeCell ref="G400:G401"/>
    <mergeCell ref="H400:H401"/>
    <mergeCell ref="I400:I401"/>
    <mergeCell ref="D404:D405"/>
    <mergeCell ref="F404:F405"/>
    <mergeCell ref="G404:G405"/>
    <mergeCell ref="H404:H405"/>
    <mergeCell ref="D398:D399"/>
    <mergeCell ref="F398:F399"/>
    <mergeCell ref="G398:G399"/>
    <mergeCell ref="H398:H399"/>
    <mergeCell ref="I398:I399"/>
    <mergeCell ref="J398:J399"/>
    <mergeCell ref="I394:I395"/>
    <mergeCell ref="J394:J395"/>
    <mergeCell ref="D396:D397"/>
    <mergeCell ref="F396:F397"/>
    <mergeCell ref="G396:G397"/>
    <mergeCell ref="H396:H397"/>
    <mergeCell ref="I396:I397"/>
    <mergeCell ref="J396:J397"/>
    <mergeCell ref="J390:J391"/>
    <mergeCell ref="D392:D393"/>
    <mergeCell ref="F392:F393"/>
    <mergeCell ref="G392:G393"/>
    <mergeCell ref="H392:H393"/>
    <mergeCell ref="I392:I393"/>
    <mergeCell ref="J392:J393"/>
    <mergeCell ref="C390:C399"/>
    <mergeCell ref="D390:D391"/>
    <mergeCell ref="F390:F391"/>
    <mergeCell ref="G390:G391"/>
    <mergeCell ref="H390:H391"/>
    <mergeCell ref="I390:I391"/>
    <mergeCell ref="D394:D395"/>
    <mergeCell ref="F394:F395"/>
    <mergeCell ref="G394:G395"/>
    <mergeCell ref="H394:H395"/>
    <mergeCell ref="D388:D389"/>
    <mergeCell ref="F388:F389"/>
    <mergeCell ref="G388:G389"/>
    <mergeCell ref="H388:H389"/>
    <mergeCell ref="I388:I389"/>
    <mergeCell ref="J388:J389"/>
    <mergeCell ref="I384:I385"/>
    <mergeCell ref="J384:J385"/>
    <mergeCell ref="D386:D387"/>
    <mergeCell ref="F386:F387"/>
    <mergeCell ref="G386:G387"/>
    <mergeCell ref="H386:H387"/>
    <mergeCell ref="I386:I387"/>
    <mergeCell ref="J386:J387"/>
    <mergeCell ref="J380:J381"/>
    <mergeCell ref="D382:D383"/>
    <mergeCell ref="F382:F383"/>
    <mergeCell ref="G382:G383"/>
    <mergeCell ref="H382:H383"/>
    <mergeCell ref="I382:I383"/>
    <mergeCell ref="J382:J383"/>
    <mergeCell ref="C380:C389"/>
    <mergeCell ref="D380:D381"/>
    <mergeCell ref="F380:F381"/>
    <mergeCell ref="G380:G381"/>
    <mergeCell ref="H380:H381"/>
    <mergeCell ref="I380:I381"/>
    <mergeCell ref="D384:D385"/>
    <mergeCell ref="F384:F385"/>
    <mergeCell ref="G384:G385"/>
    <mergeCell ref="H384:H385"/>
    <mergeCell ref="D378:D379"/>
    <mergeCell ref="F378:F379"/>
    <mergeCell ref="G378:G379"/>
    <mergeCell ref="H378:H379"/>
    <mergeCell ref="I378:I379"/>
    <mergeCell ref="J378:J379"/>
    <mergeCell ref="I374:I375"/>
    <mergeCell ref="J374:J375"/>
    <mergeCell ref="D376:D377"/>
    <mergeCell ref="F376:F377"/>
    <mergeCell ref="G376:G377"/>
    <mergeCell ref="H376:H377"/>
    <mergeCell ref="I376:I377"/>
    <mergeCell ref="J376:J377"/>
    <mergeCell ref="J370:J371"/>
    <mergeCell ref="D372:D373"/>
    <mergeCell ref="F372:F373"/>
    <mergeCell ref="G372:G373"/>
    <mergeCell ref="H372:H373"/>
    <mergeCell ref="I372:I373"/>
    <mergeCell ref="J372:J373"/>
    <mergeCell ref="C370:C379"/>
    <mergeCell ref="D370:D371"/>
    <mergeCell ref="F370:F371"/>
    <mergeCell ref="G370:G371"/>
    <mergeCell ref="H370:H371"/>
    <mergeCell ref="I370:I371"/>
    <mergeCell ref="D374:D375"/>
    <mergeCell ref="F374:F375"/>
    <mergeCell ref="G374:G375"/>
    <mergeCell ref="H374:H375"/>
    <mergeCell ref="D368:D369"/>
    <mergeCell ref="F368:F369"/>
    <mergeCell ref="G368:G369"/>
    <mergeCell ref="H368:H369"/>
    <mergeCell ref="I368:I369"/>
    <mergeCell ref="J368:J369"/>
    <mergeCell ref="I364:I365"/>
    <mergeCell ref="J364:J365"/>
    <mergeCell ref="D366:D367"/>
    <mergeCell ref="F366:F367"/>
    <mergeCell ref="G366:G367"/>
    <mergeCell ref="H366:H367"/>
    <mergeCell ref="I366:I367"/>
    <mergeCell ref="J366:J367"/>
    <mergeCell ref="J360:J361"/>
    <mergeCell ref="D362:D363"/>
    <mergeCell ref="F362:F363"/>
    <mergeCell ref="G362:G363"/>
    <mergeCell ref="H362:H363"/>
    <mergeCell ref="I362:I363"/>
    <mergeCell ref="J362:J363"/>
    <mergeCell ref="C360:C369"/>
    <mergeCell ref="D360:D361"/>
    <mergeCell ref="F360:F361"/>
    <mergeCell ref="G360:G361"/>
    <mergeCell ref="H360:H361"/>
    <mergeCell ref="I360:I361"/>
    <mergeCell ref="D364:D365"/>
    <mergeCell ref="F364:F365"/>
    <mergeCell ref="G364:G365"/>
    <mergeCell ref="H364:H365"/>
    <mergeCell ref="D358:D359"/>
    <mergeCell ref="F358:F359"/>
    <mergeCell ref="G358:G359"/>
    <mergeCell ref="H358:H359"/>
    <mergeCell ref="I358:I359"/>
    <mergeCell ref="J358:J359"/>
    <mergeCell ref="I354:I355"/>
    <mergeCell ref="J354:J355"/>
    <mergeCell ref="D356:D357"/>
    <mergeCell ref="F356:F357"/>
    <mergeCell ref="G356:G357"/>
    <mergeCell ref="H356:H357"/>
    <mergeCell ref="I356:I357"/>
    <mergeCell ref="J356:J357"/>
    <mergeCell ref="J350:J351"/>
    <mergeCell ref="D352:D353"/>
    <mergeCell ref="F352:F353"/>
    <mergeCell ref="G352:G353"/>
    <mergeCell ref="H352:H353"/>
    <mergeCell ref="I352:I353"/>
    <mergeCell ref="J352:J353"/>
    <mergeCell ref="C350:C359"/>
    <mergeCell ref="D350:D351"/>
    <mergeCell ref="F350:F351"/>
    <mergeCell ref="G350:G351"/>
    <mergeCell ref="H350:H351"/>
    <mergeCell ref="I350:I351"/>
    <mergeCell ref="D354:D355"/>
    <mergeCell ref="F354:F355"/>
    <mergeCell ref="G354:G355"/>
    <mergeCell ref="H354:H355"/>
    <mergeCell ref="D348:D349"/>
    <mergeCell ref="F348:F349"/>
    <mergeCell ref="G348:G349"/>
    <mergeCell ref="H348:H349"/>
    <mergeCell ref="I348:I349"/>
    <mergeCell ref="J348:J349"/>
    <mergeCell ref="I344:I345"/>
    <mergeCell ref="J344:J345"/>
    <mergeCell ref="D346:D347"/>
    <mergeCell ref="F346:F347"/>
    <mergeCell ref="G346:G347"/>
    <mergeCell ref="H346:H347"/>
    <mergeCell ref="I346:I347"/>
    <mergeCell ref="J346:J347"/>
    <mergeCell ref="J340:J341"/>
    <mergeCell ref="D342:D343"/>
    <mergeCell ref="F342:F343"/>
    <mergeCell ref="G342:G343"/>
    <mergeCell ref="H342:H343"/>
    <mergeCell ref="I342:I343"/>
    <mergeCell ref="J342:J343"/>
    <mergeCell ref="C340:C349"/>
    <mergeCell ref="D340:D341"/>
    <mergeCell ref="F340:F341"/>
    <mergeCell ref="G340:G341"/>
    <mergeCell ref="H340:H341"/>
    <mergeCell ref="I340:I341"/>
    <mergeCell ref="D344:D345"/>
    <mergeCell ref="F344:F345"/>
    <mergeCell ref="G344:G345"/>
    <mergeCell ref="H344:H345"/>
    <mergeCell ref="D338:D339"/>
    <mergeCell ref="F338:F339"/>
    <mergeCell ref="G338:G339"/>
    <mergeCell ref="H338:H339"/>
    <mergeCell ref="I338:I339"/>
    <mergeCell ref="J338:J339"/>
    <mergeCell ref="I334:I335"/>
    <mergeCell ref="J334:J335"/>
    <mergeCell ref="D336:D337"/>
    <mergeCell ref="F336:F337"/>
    <mergeCell ref="G336:G337"/>
    <mergeCell ref="H336:H337"/>
    <mergeCell ref="I336:I337"/>
    <mergeCell ref="J336:J337"/>
    <mergeCell ref="J330:J331"/>
    <mergeCell ref="D332:D333"/>
    <mergeCell ref="F332:F333"/>
    <mergeCell ref="G332:G333"/>
    <mergeCell ref="H332:H333"/>
    <mergeCell ref="I332:I333"/>
    <mergeCell ref="J332:J333"/>
    <mergeCell ref="C330:C339"/>
    <mergeCell ref="D330:D331"/>
    <mergeCell ref="F330:F331"/>
    <mergeCell ref="G330:G331"/>
    <mergeCell ref="H330:H331"/>
    <mergeCell ref="I330:I331"/>
    <mergeCell ref="D334:D335"/>
    <mergeCell ref="F334:F335"/>
    <mergeCell ref="G334:G335"/>
    <mergeCell ref="H334:H335"/>
    <mergeCell ref="D328:D329"/>
    <mergeCell ref="F328:F329"/>
    <mergeCell ref="G328:G329"/>
    <mergeCell ref="H328:H329"/>
    <mergeCell ref="I328:I329"/>
    <mergeCell ref="J328:J329"/>
    <mergeCell ref="I324:I325"/>
    <mergeCell ref="J324:J325"/>
    <mergeCell ref="D326:D327"/>
    <mergeCell ref="F326:F327"/>
    <mergeCell ref="G326:G327"/>
    <mergeCell ref="H326:H327"/>
    <mergeCell ref="I326:I327"/>
    <mergeCell ref="J326:J327"/>
    <mergeCell ref="J320:J321"/>
    <mergeCell ref="D322:D323"/>
    <mergeCell ref="F322:F323"/>
    <mergeCell ref="G322:G323"/>
    <mergeCell ref="H322:H323"/>
    <mergeCell ref="I322:I323"/>
    <mergeCell ref="J322:J323"/>
    <mergeCell ref="C320:C329"/>
    <mergeCell ref="D320:D321"/>
    <mergeCell ref="F320:F321"/>
    <mergeCell ref="G320:G321"/>
    <mergeCell ref="H320:H321"/>
    <mergeCell ref="I320:I321"/>
    <mergeCell ref="D324:D325"/>
    <mergeCell ref="F324:F325"/>
    <mergeCell ref="G324:G325"/>
    <mergeCell ref="H324:H325"/>
    <mergeCell ref="D318:D319"/>
    <mergeCell ref="F318:F319"/>
    <mergeCell ref="G318:G319"/>
    <mergeCell ref="H318:H319"/>
    <mergeCell ref="I318:I319"/>
    <mergeCell ref="J318:J319"/>
    <mergeCell ref="I314:I315"/>
    <mergeCell ref="J314:J315"/>
    <mergeCell ref="D316:D317"/>
    <mergeCell ref="F316:F317"/>
    <mergeCell ref="G316:G317"/>
    <mergeCell ref="H316:H317"/>
    <mergeCell ref="I316:I317"/>
    <mergeCell ref="J316:J317"/>
    <mergeCell ref="J310:J311"/>
    <mergeCell ref="D312:D313"/>
    <mergeCell ref="F312:F313"/>
    <mergeCell ref="G312:G313"/>
    <mergeCell ref="H312:H313"/>
    <mergeCell ref="I312:I313"/>
    <mergeCell ref="J312:J313"/>
    <mergeCell ref="C310:C319"/>
    <mergeCell ref="D310:D311"/>
    <mergeCell ref="F310:F311"/>
    <mergeCell ref="G310:G311"/>
    <mergeCell ref="H310:H311"/>
    <mergeCell ref="I310:I311"/>
    <mergeCell ref="D314:D315"/>
    <mergeCell ref="F314:F315"/>
    <mergeCell ref="G314:G315"/>
    <mergeCell ref="H314:H315"/>
    <mergeCell ref="D308:D309"/>
    <mergeCell ref="F308:F309"/>
    <mergeCell ref="G308:G309"/>
    <mergeCell ref="H308:H309"/>
    <mergeCell ref="I308:I309"/>
    <mergeCell ref="J308:J309"/>
    <mergeCell ref="I304:I305"/>
    <mergeCell ref="J304:J305"/>
    <mergeCell ref="D306:D307"/>
    <mergeCell ref="F306:F307"/>
    <mergeCell ref="G306:G307"/>
    <mergeCell ref="H306:H307"/>
    <mergeCell ref="I306:I307"/>
    <mergeCell ref="J306:J307"/>
    <mergeCell ref="J300:J301"/>
    <mergeCell ref="D302:D303"/>
    <mergeCell ref="F302:F303"/>
    <mergeCell ref="G302:G303"/>
    <mergeCell ref="H302:H303"/>
    <mergeCell ref="I302:I303"/>
    <mergeCell ref="J302:J303"/>
    <mergeCell ref="C300:C309"/>
    <mergeCell ref="D300:D301"/>
    <mergeCell ref="F300:F301"/>
    <mergeCell ref="G300:G301"/>
    <mergeCell ref="H300:H301"/>
    <mergeCell ref="I300:I301"/>
    <mergeCell ref="D304:D305"/>
    <mergeCell ref="F304:F305"/>
    <mergeCell ref="G304:G305"/>
    <mergeCell ref="H304:H305"/>
    <mergeCell ref="D298:D299"/>
    <mergeCell ref="F298:F299"/>
    <mergeCell ref="G298:G299"/>
    <mergeCell ref="H298:H299"/>
    <mergeCell ref="I298:I299"/>
    <mergeCell ref="J298:J299"/>
    <mergeCell ref="I294:I295"/>
    <mergeCell ref="J294:J295"/>
    <mergeCell ref="D296:D297"/>
    <mergeCell ref="F296:F297"/>
    <mergeCell ref="G296:G297"/>
    <mergeCell ref="H296:H297"/>
    <mergeCell ref="I296:I297"/>
    <mergeCell ref="J296:J297"/>
    <mergeCell ref="J290:J291"/>
    <mergeCell ref="D292:D293"/>
    <mergeCell ref="F292:F293"/>
    <mergeCell ref="G292:G293"/>
    <mergeCell ref="H292:H293"/>
    <mergeCell ref="I292:I293"/>
    <mergeCell ref="J292:J293"/>
    <mergeCell ref="C290:C299"/>
    <mergeCell ref="D290:D291"/>
    <mergeCell ref="F290:F291"/>
    <mergeCell ref="G290:G291"/>
    <mergeCell ref="H290:H291"/>
    <mergeCell ref="I290:I291"/>
    <mergeCell ref="D294:D295"/>
    <mergeCell ref="F294:F295"/>
    <mergeCell ref="G294:G295"/>
    <mergeCell ref="H294:H295"/>
    <mergeCell ref="D288:D289"/>
    <mergeCell ref="F288:F289"/>
    <mergeCell ref="G288:G289"/>
    <mergeCell ref="H288:H289"/>
    <mergeCell ref="I288:I289"/>
    <mergeCell ref="J288:J289"/>
    <mergeCell ref="I284:I285"/>
    <mergeCell ref="J284:J285"/>
    <mergeCell ref="D286:D287"/>
    <mergeCell ref="F286:F287"/>
    <mergeCell ref="G286:G287"/>
    <mergeCell ref="H286:H287"/>
    <mergeCell ref="I286:I287"/>
    <mergeCell ref="J286:J287"/>
    <mergeCell ref="J280:J281"/>
    <mergeCell ref="D282:D283"/>
    <mergeCell ref="F282:F283"/>
    <mergeCell ref="G282:G283"/>
    <mergeCell ref="H282:H283"/>
    <mergeCell ref="I282:I283"/>
    <mergeCell ref="J282:J283"/>
    <mergeCell ref="C280:C289"/>
    <mergeCell ref="D280:D281"/>
    <mergeCell ref="F280:F281"/>
    <mergeCell ref="G280:G281"/>
    <mergeCell ref="H280:H281"/>
    <mergeCell ref="I280:I281"/>
    <mergeCell ref="D284:D285"/>
    <mergeCell ref="F284:F285"/>
    <mergeCell ref="G284:G285"/>
    <mergeCell ref="H284:H285"/>
    <mergeCell ref="D278:D279"/>
    <mergeCell ref="F278:F279"/>
    <mergeCell ref="G278:G279"/>
    <mergeCell ref="H278:H279"/>
    <mergeCell ref="I278:I279"/>
    <mergeCell ref="J278:J279"/>
    <mergeCell ref="I274:I275"/>
    <mergeCell ref="J274:J275"/>
    <mergeCell ref="D276:D277"/>
    <mergeCell ref="F276:F277"/>
    <mergeCell ref="G276:G277"/>
    <mergeCell ref="H276:H277"/>
    <mergeCell ref="I276:I277"/>
    <mergeCell ref="J276:J277"/>
    <mergeCell ref="J270:J271"/>
    <mergeCell ref="D272:D273"/>
    <mergeCell ref="F272:F273"/>
    <mergeCell ref="G272:G273"/>
    <mergeCell ref="H272:H273"/>
    <mergeCell ref="I272:I273"/>
    <mergeCell ref="J272:J273"/>
    <mergeCell ref="C270:C279"/>
    <mergeCell ref="D270:D271"/>
    <mergeCell ref="F270:F271"/>
    <mergeCell ref="G270:G271"/>
    <mergeCell ref="H270:H271"/>
    <mergeCell ref="I270:I271"/>
    <mergeCell ref="D274:D275"/>
    <mergeCell ref="F274:F275"/>
    <mergeCell ref="G274:G275"/>
    <mergeCell ref="H274:H275"/>
    <mergeCell ref="D268:D269"/>
    <mergeCell ref="F268:F269"/>
    <mergeCell ref="G268:G269"/>
    <mergeCell ref="H268:H269"/>
    <mergeCell ref="I268:I269"/>
    <mergeCell ref="J268:J269"/>
    <mergeCell ref="I264:I265"/>
    <mergeCell ref="J264:J265"/>
    <mergeCell ref="D266:D267"/>
    <mergeCell ref="F266:F267"/>
    <mergeCell ref="G266:G267"/>
    <mergeCell ref="H266:H267"/>
    <mergeCell ref="I266:I267"/>
    <mergeCell ref="J266:J267"/>
    <mergeCell ref="J260:J261"/>
    <mergeCell ref="D262:D263"/>
    <mergeCell ref="F262:F263"/>
    <mergeCell ref="G262:G263"/>
    <mergeCell ref="H262:H263"/>
    <mergeCell ref="I262:I263"/>
    <mergeCell ref="J262:J263"/>
    <mergeCell ref="C260:C269"/>
    <mergeCell ref="D260:D261"/>
    <mergeCell ref="F260:F261"/>
    <mergeCell ref="G260:G261"/>
    <mergeCell ref="H260:H261"/>
    <mergeCell ref="I260:I261"/>
    <mergeCell ref="D264:D265"/>
    <mergeCell ref="F264:F265"/>
    <mergeCell ref="G264:G265"/>
    <mergeCell ref="H264:H265"/>
    <mergeCell ref="D258:D259"/>
    <mergeCell ref="F258:F259"/>
    <mergeCell ref="G258:G259"/>
    <mergeCell ref="H258:H259"/>
    <mergeCell ref="I258:I259"/>
    <mergeCell ref="J258:J259"/>
    <mergeCell ref="I254:I255"/>
    <mergeCell ref="J254:J255"/>
    <mergeCell ref="D256:D257"/>
    <mergeCell ref="F256:F257"/>
    <mergeCell ref="G256:G257"/>
    <mergeCell ref="H256:H257"/>
    <mergeCell ref="I256:I257"/>
    <mergeCell ref="J256:J257"/>
    <mergeCell ref="J250:J251"/>
    <mergeCell ref="D252:D253"/>
    <mergeCell ref="F252:F253"/>
    <mergeCell ref="G252:G253"/>
    <mergeCell ref="H252:H253"/>
    <mergeCell ref="I252:I253"/>
    <mergeCell ref="J252:J253"/>
    <mergeCell ref="C250:C259"/>
    <mergeCell ref="D250:D251"/>
    <mergeCell ref="F250:F251"/>
    <mergeCell ref="G250:G251"/>
    <mergeCell ref="H250:H251"/>
    <mergeCell ref="I250:I251"/>
    <mergeCell ref="D254:D255"/>
    <mergeCell ref="F254:F255"/>
    <mergeCell ref="G254:G255"/>
    <mergeCell ref="H254:H255"/>
    <mergeCell ref="D248:D249"/>
    <mergeCell ref="F248:F249"/>
    <mergeCell ref="G248:G249"/>
    <mergeCell ref="H248:H249"/>
    <mergeCell ref="I248:I249"/>
    <mergeCell ref="J248:J249"/>
    <mergeCell ref="I244:I245"/>
    <mergeCell ref="J244:J245"/>
    <mergeCell ref="D246:D247"/>
    <mergeCell ref="F246:F247"/>
    <mergeCell ref="G246:G247"/>
    <mergeCell ref="H246:H247"/>
    <mergeCell ref="I246:I247"/>
    <mergeCell ref="J246:J247"/>
    <mergeCell ref="J240:J241"/>
    <mergeCell ref="D242:D243"/>
    <mergeCell ref="F242:F243"/>
    <mergeCell ref="G242:G243"/>
    <mergeCell ref="H242:H243"/>
    <mergeCell ref="I242:I243"/>
    <mergeCell ref="J242:J243"/>
    <mergeCell ref="C240:C249"/>
    <mergeCell ref="D240:D241"/>
    <mergeCell ref="F240:F241"/>
    <mergeCell ref="G240:G241"/>
    <mergeCell ref="H240:H241"/>
    <mergeCell ref="I240:I241"/>
    <mergeCell ref="D244:D245"/>
    <mergeCell ref="F244:F245"/>
    <mergeCell ref="G244:G245"/>
    <mergeCell ref="H244:H245"/>
    <mergeCell ref="D238:D239"/>
    <mergeCell ref="F238:F239"/>
    <mergeCell ref="G238:G239"/>
    <mergeCell ref="H238:H239"/>
    <mergeCell ref="I238:I239"/>
    <mergeCell ref="J238:J239"/>
    <mergeCell ref="I234:I235"/>
    <mergeCell ref="J234:J235"/>
    <mergeCell ref="D236:D237"/>
    <mergeCell ref="F236:F237"/>
    <mergeCell ref="G236:G237"/>
    <mergeCell ref="H236:H237"/>
    <mergeCell ref="I236:I237"/>
    <mergeCell ref="J236:J237"/>
    <mergeCell ref="J230:J231"/>
    <mergeCell ref="D232:D233"/>
    <mergeCell ref="F232:F233"/>
    <mergeCell ref="G232:G233"/>
    <mergeCell ref="H232:H233"/>
    <mergeCell ref="I232:I233"/>
    <mergeCell ref="J232:J233"/>
    <mergeCell ref="C230:C239"/>
    <mergeCell ref="D230:D231"/>
    <mergeCell ref="F230:F231"/>
    <mergeCell ref="G230:G231"/>
    <mergeCell ref="H230:H231"/>
    <mergeCell ref="I230:I231"/>
    <mergeCell ref="D234:D235"/>
    <mergeCell ref="F234:F235"/>
    <mergeCell ref="G234:G235"/>
    <mergeCell ref="H234:H235"/>
    <mergeCell ref="D228:D229"/>
    <mergeCell ref="F228:F229"/>
    <mergeCell ref="G228:G229"/>
    <mergeCell ref="H228:H229"/>
    <mergeCell ref="I228:I229"/>
    <mergeCell ref="J228:J229"/>
    <mergeCell ref="I224:I225"/>
    <mergeCell ref="J224:J225"/>
    <mergeCell ref="D226:D227"/>
    <mergeCell ref="F226:F227"/>
    <mergeCell ref="G226:G227"/>
    <mergeCell ref="H226:H227"/>
    <mergeCell ref="I226:I227"/>
    <mergeCell ref="J226:J227"/>
    <mergeCell ref="J220:J221"/>
    <mergeCell ref="D222:D223"/>
    <mergeCell ref="F222:F223"/>
    <mergeCell ref="G222:G223"/>
    <mergeCell ref="H222:H223"/>
    <mergeCell ref="I222:I223"/>
    <mergeCell ref="J222:J223"/>
    <mergeCell ref="C220:C229"/>
    <mergeCell ref="D220:D221"/>
    <mergeCell ref="F220:F221"/>
    <mergeCell ref="G220:G221"/>
    <mergeCell ref="H220:H221"/>
    <mergeCell ref="I220:I221"/>
    <mergeCell ref="D224:D225"/>
    <mergeCell ref="F224:F225"/>
    <mergeCell ref="G224:G225"/>
    <mergeCell ref="H224:H225"/>
    <mergeCell ref="D218:D219"/>
    <mergeCell ref="F218:F219"/>
    <mergeCell ref="G218:G219"/>
    <mergeCell ref="H218:H219"/>
    <mergeCell ref="I218:I219"/>
    <mergeCell ref="J218:J219"/>
    <mergeCell ref="I214:I215"/>
    <mergeCell ref="J214:J215"/>
    <mergeCell ref="D216:D217"/>
    <mergeCell ref="F216:F217"/>
    <mergeCell ref="G216:G217"/>
    <mergeCell ref="H216:H217"/>
    <mergeCell ref="I216:I217"/>
    <mergeCell ref="J216:J217"/>
    <mergeCell ref="J210:J211"/>
    <mergeCell ref="D212:D213"/>
    <mergeCell ref="F212:F213"/>
    <mergeCell ref="G212:G213"/>
    <mergeCell ref="H212:H213"/>
    <mergeCell ref="I212:I213"/>
    <mergeCell ref="J212:J213"/>
    <mergeCell ref="C210:C219"/>
    <mergeCell ref="D210:D211"/>
    <mergeCell ref="F210:F211"/>
    <mergeCell ref="G210:G211"/>
    <mergeCell ref="H210:H211"/>
    <mergeCell ref="I210:I211"/>
    <mergeCell ref="D214:D215"/>
    <mergeCell ref="F214:F215"/>
    <mergeCell ref="G214:G215"/>
    <mergeCell ref="H214:H215"/>
    <mergeCell ref="D208:D209"/>
    <mergeCell ref="F208:F209"/>
    <mergeCell ref="G208:G209"/>
    <mergeCell ref="H208:H209"/>
    <mergeCell ref="I208:I209"/>
    <mergeCell ref="J208:J209"/>
    <mergeCell ref="I204:I205"/>
    <mergeCell ref="J204:J205"/>
    <mergeCell ref="D206:D207"/>
    <mergeCell ref="F206:F207"/>
    <mergeCell ref="G206:G207"/>
    <mergeCell ref="H206:H207"/>
    <mergeCell ref="I206:I207"/>
    <mergeCell ref="J206:J207"/>
    <mergeCell ref="J200:J201"/>
    <mergeCell ref="D202:D203"/>
    <mergeCell ref="F202:F203"/>
    <mergeCell ref="G202:G203"/>
    <mergeCell ref="H202:H203"/>
    <mergeCell ref="I202:I203"/>
    <mergeCell ref="J202:J203"/>
    <mergeCell ref="C200:C209"/>
    <mergeCell ref="D200:D201"/>
    <mergeCell ref="F200:F201"/>
    <mergeCell ref="G200:G201"/>
    <mergeCell ref="H200:H201"/>
    <mergeCell ref="I200:I201"/>
    <mergeCell ref="D204:D205"/>
    <mergeCell ref="F204:F205"/>
    <mergeCell ref="G204:G205"/>
    <mergeCell ref="H204:H205"/>
    <mergeCell ref="D198:D199"/>
    <mergeCell ref="F198:F199"/>
    <mergeCell ref="G198:G199"/>
    <mergeCell ref="H198:H199"/>
    <mergeCell ref="I198:I199"/>
    <mergeCell ref="J198:J199"/>
    <mergeCell ref="I194:I195"/>
    <mergeCell ref="J194:J195"/>
    <mergeCell ref="D196:D197"/>
    <mergeCell ref="F196:F197"/>
    <mergeCell ref="G196:G197"/>
    <mergeCell ref="H196:H197"/>
    <mergeCell ref="I196:I197"/>
    <mergeCell ref="J196:J197"/>
    <mergeCell ref="J190:J191"/>
    <mergeCell ref="D192:D193"/>
    <mergeCell ref="F192:F193"/>
    <mergeCell ref="G192:G193"/>
    <mergeCell ref="H192:H193"/>
    <mergeCell ref="I192:I193"/>
    <mergeCell ref="J192:J193"/>
    <mergeCell ref="C190:C199"/>
    <mergeCell ref="D190:D191"/>
    <mergeCell ref="F190:F191"/>
    <mergeCell ref="G190:G191"/>
    <mergeCell ref="H190:H191"/>
    <mergeCell ref="I190:I191"/>
    <mergeCell ref="D194:D195"/>
    <mergeCell ref="F194:F195"/>
    <mergeCell ref="G194:G195"/>
    <mergeCell ref="H194:H195"/>
    <mergeCell ref="D188:D189"/>
    <mergeCell ref="F188:F189"/>
    <mergeCell ref="G188:G189"/>
    <mergeCell ref="H188:H189"/>
    <mergeCell ref="I188:I189"/>
    <mergeCell ref="J188:J189"/>
    <mergeCell ref="I184:I185"/>
    <mergeCell ref="J184:J185"/>
    <mergeCell ref="D186:D187"/>
    <mergeCell ref="F186:F187"/>
    <mergeCell ref="G186:G187"/>
    <mergeCell ref="H186:H187"/>
    <mergeCell ref="I186:I187"/>
    <mergeCell ref="J186:J187"/>
    <mergeCell ref="J180:J181"/>
    <mergeCell ref="D182:D183"/>
    <mergeCell ref="F182:F183"/>
    <mergeCell ref="G182:G183"/>
    <mergeCell ref="H182:H183"/>
    <mergeCell ref="I182:I183"/>
    <mergeCell ref="J182:J183"/>
    <mergeCell ref="C180:C189"/>
    <mergeCell ref="D180:D181"/>
    <mergeCell ref="F180:F181"/>
    <mergeCell ref="G180:G181"/>
    <mergeCell ref="H180:H181"/>
    <mergeCell ref="I180:I181"/>
    <mergeCell ref="D184:D185"/>
    <mergeCell ref="F184:F185"/>
    <mergeCell ref="G184:G185"/>
    <mergeCell ref="H184:H185"/>
    <mergeCell ref="D178:D179"/>
    <mergeCell ref="F178:F179"/>
    <mergeCell ref="G178:G179"/>
    <mergeCell ref="H178:H179"/>
    <mergeCell ref="I178:I179"/>
    <mergeCell ref="J178:J179"/>
    <mergeCell ref="I174:I175"/>
    <mergeCell ref="J174:J175"/>
    <mergeCell ref="D176:D177"/>
    <mergeCell ref="F176:F177"/>
    <mergeCell ref="G176:G177"/>
    <mergeCell ref="H176:H177"/>
    <mergeCell ref="I176:I177"/>
    <mergeCell ref="J176:J177"/>
    <mergeCell ref="J170:J171"/>
    <mergeCell ref="D172:D173"/>
    <mergeCell ref="F172:F173"/>
    <mergeCell ref="G172:G173"/>
    <mergeCell ref="H172:H173"/>
    <mergeCell ref="I172:I173"/>
    <mergeCell ref="J172:J173"/>
    <mergeCell ref="C170:C179"/>
    <mergeCell ref="D170:D171"/>
    <mergeCell ref="F170:F171"/>
    <mergeCell ref="G170:G171"/>
    <mergeCell ref="H170:H171"/>
    <mergeCell ref="I170:I171"/>
    <mergeCell ref="D174:D175"/>
    <mergeCell ref="F174:F175"/>
    <mergeCell ref="G174:G175"/>
    <mergeCell ref="H174:H175"/>
    <mergeCell ref="D168:D169"/>
    <mergeCell ref="F168:F169"/>
    <mergeCell ref="G168:G169"/>
    <mergeCell ref="H168:H169"/>
    <mergeCell ref="I168:I169"/>
    <mergeCell ref="J168:J169"/>
    <mergeCell ref="I164:I165"/>
    <mergeCell ref="J164:J165"/>
    <mergeCell ref="D166:D167"/>
    <mergeCell ref="F166:F167"/>
    <mergeCell ref="G166:G167"/>
    <mergeCell ref="H166:H167"/>
    <mergeCell ref="I166:I167"/>
    <mergeCell ref="J166:J167"/>
    <mergeCell ref="J160:J161"/>
    <mergeCell ref="D162:D163"/>
    <mergeCell ref="F162:F163"/>
    <mergeCell ref="G162:G163"/>
    <mergeCell ref="H162:H163"/>
    <mergeCell ref="I162:I163"/>
    <mergeCell ref="J162:J163"/>
    <mergeCell ref="C160:C169"/>
    <mergeCell ref="D160:D161"/>
    <mergeCell ref="F160:F161"/>
    <mergeCell ref="G160:G161"/>
    <mergeCell ref="H160:H161"/>
    <mergeCell ref="I160:I161"/>
    <mergeCell ref="D164:D165"/>
    <mergeCell ref="F164:F165"/>
    <mergeCell ref="G164:G165"/>
    <mergeCell ref="H164:H165"/>
    <mergeCell ref="D158:D159"/>
    <mergeCell ref="F158:F159"/>
    <mergeCell ref="G158:G159"/>
    <mergeCell ref="H158:H159"/>
    <mergeCell ref="I158:I159"/>
    <mergeCell ref="J158:J159"/>
    <mergeCell ref="I154:I155"/>
    <mergeCell ref="J154:J155"/>
    <mergeCell ref="D156:D157"/>
    <mergeCell ref="F156:F157"/>
    <mergeCell ref="G156:G157"/>
    <mergeCell ref="H156:H157"/>
    <mergeCell ref="I156:I157"/>
    <mergeCell ref="J156:J157"/>
    <mergeCell ref="J150:J151"/>
    <mergeCell ref="D152:D153"/>
    <mergeCell ref="F152:F153"/>
    <mergeCell ref="G152:G153"/>
    <mergeCell ref="H152:H153"/>
    <mergeCell ref="I152:I153"/>
    <mergeCell ref="J152:J153"/>
    <mergeCell ref="C150:C159"/>
    <mergeCell ref="D150:D151"/>
    <mergeCell ref="F150:F151"/>
    <mergeCell ref="G150:G151"/>
    <mergeCell ref="H150:H151"/>
    <mergeCell ref="I150:I151"/>
    <mergeCell ref="D154:D155"/>
    <mergeCell ref="F154:F155"/>
    <mergeCell ref="G154:G155"/>
    <mergeCell ref="H154:H155"/>
    <mergeCell ref="D148:D149"/>
    <mergeCell ref="F148:F149"/>
    <mergeCell ref="G148:G149"/>
    <mergeCell ref="H148:H149"/>
    <mergeCell ref="I148:I149"/>
    <mergeCell ref="J148:J149"/>
    <mergeCell ref="I144:I145"/>
    <mergeCell ref="J144:J145"/>
    <mergeCell ref="D146:D147"/>
    <mergeCell ref="F146:F147"/>
    <mergeCell ref="G146:G147"/>
    <mergeCell ref="H146:H147"/>
    <mergeCell ref="I146:I147"/>
    <mergeCell ref="J146:J147"/>
    <mergeCell ref="J140:J141"/>
    <mergeCell ref="D142:D143"/>
    <mergeCell ref="F142:F143"/>
    <mergeCell ref="G142:G143"/>
    <mergeCell ref="H142:H143"/>
    <mergeCell ref="I142:I143"/>
    <mergeCell ref="J142:J143"/>
    <mergeCell ref="C140:C149"/>
    <mergeCell ref="D140:D141"/>
    <mergeCell ref="F140:F141"/>
    <mergeCell ref="G140:G141"/>
    <mergeCell ref="H140:H141"/>
    <mergeCell ref="I140:I141"/>
    <mergeCell ref="D144:D145"/>
    <mergeCell ref="F144:F145"/>
    <mergeCell ref="G144:G145"/>
    <mergeCell ref="H144:H145"/>
    <mergeCell ref="D138:D139"/>
    <mergeCell ref="F138:F139"/>
    <mergeCell ref="G138:G139"/>
    <mergeCell ref="H138:H139"/>
    <mergeCell ref="I138:I139"/>
    <mergeCell ref="J138:J139"/>
    <mergeCell ref="I134:I135"/>
    <mergeCell ref="J134:J135"/>
    <mergeCell ref="D136:D137"/>
    <mergeCell ref="F136:F137"/>
    <mergeCell ref="G136:G137"/>
    <mergeCell ref="H136:H137"/>
    <mergeCell ref="I136:I137"/>
    <mergeCell ref="J136:J137"/>
    <mergeCell ref="J130:J131"/>
    <mergeCell ref="D132:D133"/>
    <mergeCell ref="F132:F133"/>
    <mergeCell ref="G132:G133"/>
    <mergeCell ref="H132:H133"/>
    <mergeCell ref="I132:I133"/>
    <mergeCell ref="J132:J133"/>
    <mergeCell ref="C130:C139"/>
    <mergeCell ref="D130:D131"/>
    <mergeCell ref="F130:F131"/>
    <mergeCell ref="G130:G131"/>
    <mergeCell ref="H130:H131"/>
    <mergeCell ref="I130:I131"/>
    <mergeCell ref="D134:D135"/>
    <mergeCell ref="F134:F135"/>
    <mergeCell ref="G134:G135"/>
    <mergeCell ref="H134:H135"/>
    <mergeCell ref="D128:D129"/>
    <mergeCell ref="F128:F129"/>
    <mergeCell ref="G128:G129"/>
    <mergeCell ref="H128:H129"/>
    <mergeCell ref="I128:I129"/>
    <mergeCell ref="J128:J129"/>
    <mergeCell ref="I124:I125"/>
    <mergeCell ref="J124:J125"/>
    <mergeCell ref="D126:D127"/>
    <mergeCell ref="F126:F127"/>
    <mergeCell ref="G126:G127"/>
    <mergeCell ref="H126:H127"/>
    <mergeCell ref="I126:I127"/>
    <mergeCell ref="J126:J127"/>
    <mergeCell ref="J120:J121"/>
    <mergeCell ref="D122:D123"/>
    <mergeCell ref="F122:F123"/>
    <mergeCell ref="G122:G123"/>
    <mergeCell ref="H122:H123"/>
    <mergeCell ref="I122:I123"/>
    <mergeCell ref="J122:J123"/>
    <mergeCell ref="C120:C129"/>
    <mergeCell ref="D120:D121"/>
    <mergeCell ref="F120:F121"/>
    <mergeCell ref="G120:G121"/>
    <mergeCell ref="H120:H121"/>
    <mergeCell ref="I120:I121"/>
    <mergeCell ref="D124:D125"/>
    <mergeCell ref="F124:F125"/>
    <mergeCell ref="G124:G125"/>
    <mergeCell ref="H124:H125"/>
    <mergeCell ref="D118:D119"/>
    <mergeCell ref="F118:F119"/>
    <mergeCell ref="G118:G119"/>
    <mergeCell ref="H118:H119"/>
    <mergeCell ref="I118:I119"/>
    <mergeCell ref="J118:J119"/>
    <mergeCell ref="I114:I115"/>
    <mergeCell ref="J114:J115"/>
    <mergeCell ref="D116:D117"/>
    <mergeCell ref="F116:F117"/>
    <mergeCell ref="G116:G117"/>
    <mergeCell ref="H116:H117"/>
    <mergeCell ref="I116:I117"/>
    <mergeCell ref="J116:J117"/>
    <mergeCell ref="J110:J111"/>
    <mergeCell ref="D112:D113"/>
    <mergeCell ref="F112:F113"/>
    <mergeCell ref="G112:G113"/>
    <mergeCell ref="H112:H113"/>
    <mergeCell ref="I112:I113"/>
    <mergeCell ref="J112:J113"/>
    <mergeCell ref="C110:C119"/>
    <mergeCell ref="D110:D111"/>
    <mergeCell ref="F110:F111"/>
    <mergeCell ref="G110:G111"/>
    <mergeCell ref="H110:H111"/>
    <mergeCell ref="I110:I111"/>
    <mergeCell ref="D114:D115"/>
    <mergeCell ref="F114:F115"/>
    <mergeCell ref="G114:G115"/>
    <mergeCell ref="H114:H115"/>
    <mergeCell ref="D108:D109"/>
    <mergeCell ref="F108:F109"/>
    <mergeCell ref="G108:G109"/>
    <mergeCell ref="H108:H109"/>
    <mergeCell ref="I108:I109"/>
    <mergeCell ref="J108:J109"/>
    <mergeCell ref="D106:D107"/>
    <mergeCell ref="F106:F107"/>
    <mergeCell ref="G106:G107"/>
    <mergeCell ref="H106:H107"/>
    <mergeCell ref="I106:I107"/>
    <mergeCell ref="J106:J107"/>
    <mergeCell ref="I102:I103"/>
    <mergeCell ref="J102:J103"/>
    <mergeCell ref="D104:D105"/>
    <mergeCell ref="F104:F105"/>
    <mergeCell ref="G104:G105"/>
    <mergeCell ref="H104:H105"/>
    <mergeCell ref="I104:I105"/>
    <mergeCell ref="J104:J105"/>
    <mergeCell ref="J98:J99"/>
    <mergeCell ref="D100:D101"/>
    <mergeCell ref="F100:F101"/>
    <mergeCell ref="G100:G101"/>
    <mergeCell ref="H100:H101"/>
    <mergeCell ref="I100:I101"/>
    <mergeCell ref="J100:J101"/>
    <mergeCell ref="C98:C109"/>
    <mergeCell ref="D98:D99"/>
    <mergeCell ref="F98:F99"/>
    <mergeCell ref="G98:G99"/>
    <mergeCell ref="H98:H99"/>
    <mergeCell ref="I98:I99"/>
    <mergeCell ref="D102:D103"/>
    <mergeCell ref="F102:F103"/>
    <mergeCell ref="G102:G103"/>
    <mergeCell ref="H102:H103"/>
    <mergeCell ref="D96:D97"/>
    <mergeCell ref="F96:F97"/>
    <mergeCell ref="G96:G97"/>
    <mergeCell ref="H96:H97"/>
    <mergeCell ref="I96:I97"/>
    <mergeCell ref="J96:J97"/>
    <mergeCell ref="I92:I93"/>
    <mergeCell ref="J92:J93"/>
    <mergeCell ref="D94:D95"/>
    <mergeCell ref="F94:F95"/>
    <mergeCell ref="G94:G95"/>
    <mergeCell ref="H94:H95"/>
    <mergeCell ref="I94:I95"/>
    <mergeCell ref="J94:J95"/>
    <mergeCell ref="J88:J89"/>
    <mergeCell ref="D90:D91"/>
    <mergeCell ref="F90:F91"/>
    <mergeCell ref="G90:G91"/>
    <mergeCell ref="H90:H91"/>
    <mergeCell ref="I90:I91"/>
    <mergeCell ref="J90:J91"/>
    <mergeCell ref="C88:C97"/>
    <mergeCell ref="D88:D89"/>
    <mergeCell ref="F88:F89"/>
    <mergeCell ref="G88:G89"/>
    <mergeCell ref="H88:H89"/>
    <mergeCell ref="I88:I89"/>
    <mergeCell ref="D92:D93"/>
    <mergeCell ref="F92:F93"/>
    <mergeCell ref="G92:G93"/>
    <mergeCell ref="H92:H93"/>
    <mergeCell ref="D86:D87"/>
    <mergeCell ref="F86:F87"/>
    <mergeCell ref="G86:G87"/>
    <mergeCell ref="H86:H87"/>
    <mergeCell ref="I86:I87"/>
    <mergeCell ref="J86:J87"/>
    <mergeCell ref="I82:I83"/>
    <mergeCell ref="J82:J83"/>
    <mergeCell ref="D84:D85"/>
    <mergeCell ref="F84:F85"/>
    <mergeCell ref="G84:G85"/>
    <mergeCell ref="H84:H85"/>
    <mergeCell ref="I84:I85"/>
    <mergeCell ref="J84:J85"/>
    <mergeCell ref="J78:J79"/>
    <mergeCell ref="D80:D81"/>
    <mergeCell ref="F80:F81"/>
    <mergeCell ref="G80:G81"/>
    <mergeCell ref="H80:H81"/>
    <mergeCell ref="I80:I81"/>
    <mergeCell ref="J80:J81"/>
    <mergeCell ref="C78:C87"/>
    <mergeCell ref="D78:D79"/>
    <mergeCell ref="F78:F79"/>
    <mergeCell ref="G78:G79"/>
    <mergeCell ref="H78:H79"/>
    <mergeCell ref="I78:I79"/>
    <mergeCell ref="D82:D83"/>
    <mergeCell ref="F82:F83"/>
    <mergeCell ref="G82:G83"/>
    <mergeCell ref="H82:H83"/>
    <mergeCell ref="D76:D77"/>
    <mergeCell ref="F76:F77"/>
    <mergeCell ref="G76:G77"/>
    <mergeCell ref="H76:H77"/>
    <mergeCell ref="I76:I77"/>
    <mergeCell ref="J76:J77"/>
    <mergeCell ref="D74:D75"/>
    <mergeCell ref="F74:F75"/>
    <mergeCell ref="G74:G75"/>
    <mergeCell ref="H74:H75"/>
    <mergeCell ref="I74:I75"/>
    <mergeCell ref="J74:J75"/>
    <mergeCell ref="I70:I71"/>
    <mergeCell ref="J70:J71"/>
    <mergeCell ref="D72:D73"/>
    <mergeCell ref="F72:F73"/>
    <mergeCell ref="G72:G73"/>
    <mergeCell ref="H72:H73"/>
    <mergeCell ref="I72:I73"/>
    <mergeCell ref="J72:J73"/>
    <mergeCell ref="J66:J67"/>
    <mergeCell ref="D68:D69"/>
    <mergeCell ref="F68:F69"/>
    <mergeCell ref="G68:G69"/>
    <mergeCell ref="H68:H69"/>
    <mergeCell ref="I68:I69"/>
    <mergeCell ref="J68:J69"/>
    <mergeCell ref="C66:C77"/>
    <mergeCell ref="D66:D67"/>
    <mergeCell ref="F66:F67"/>
    <mergeCell ref="G66:G67"/>
    <mergeCell ref="H66:H67"/>
    <mergeCell ref="I66:I67"/>
    <mergeCell ref="D70:D71"/>
    <mergeCell ref="F70:F71"/>
    <mergeCell ref="G70:G71"/>
    <mergeCell ref="H70:H71"/>
    <mergeCell ref="D64:D65"/>
    <mergeCell ref="F64:F65"/>
    <mergeCell ref="G64:G65"/>
    <mergeCell ref="H64:H65"/>
    <mergeCell ref="I64:I65"/>
    <mergeCell ref="J64:J65"/>
    <mergeCell ref="I60:I61"/>
    <mergeCell ref="J60:J61"/>
    <mergeCell ref="D62:D63"/>
    <mergeCell ref="F62:F63"/>
    <mergeCell ref="G62:G63"/>
    <mergeCell ref="H62:H63"/>
    <mergeCell ref="I62:I63"/>
    <mergeCell ref="J62:J63"/>
    <mergeCell ref="J56:J57"/>
    <mergeCell ref="D58:D59"/>
    <mergeCell ref="F58:F59"/>
    <mergeCell ref="G58:G59"/>
    <mergeCell ref="H58:H59"/>
    <mergeCell ref="I58:I59"/>
    <mergeCell ref="J58:J59"/>
    <mergeCell ref="C56:C65"/>
    <mergeCell ref="D56:D57"/>
    <mergeCell ref="F56:F57"/>
    <mergeCell ref="G56:G57"/>
    <mergeCell ref="H56:H57"/>
    <mergeCell ref="I56:I57"/>
    <mergeCell ref="D60:D61"/>
    <mergeCell ref="F60:F61"/>
    <mergeCell ref="G60:G61"/>
    <mergeCell ref="H60:H61"/>
    <mergeCell ref="D54:D55"/>
    <mergeCell ref="F54:F55"/>
    <mergeCell ref="G54:G55"/>
    <mergeCell ref="H54:H55"/>
    <mergeCell ref="I54:I55"/>
    <mergeCell ref="J54:J55"/>
    <mergeCell ref="I50:I51"/>
    <mergeCell ref="J50:J51"/>
    <mergeCell ref="D52:D53"/>
    <mergeCell ref="F52:F53"/>
    <mergeCell ref="G52:G53"/>
    <mergeCell ref="H52:H53"/>
    <mergeCell ref="I52:I53"/>
    <mergeCell ref="J52:J53"/>
    <mergeCell ref="J46:J47"/>
    <mergeCell ref="D48:D49"/>
    <mergeCell ref="F48:F49"/>
    <mergeCell ref="G48:G49"/>
    <mergeCell ref="H48:H49"/>
    <mergeCell ref="I48:I49"/>
    <mergeCell ref="J48:J49"/>
    <mergeCell ref="C46:C55"/>
    <mergeCell ref="D46:D47"/>
    <mergeCell ref="F46:F47"/>
    <mergeCell ref="G46:G47"/>
    <mergeCell ref="H46:H47"/>
    <mergeCell ref="I46:I47"/>
    <mergeCell ref="D50:D51"/>
    <mergeCell ref="F50:F51"/>
    <mergeCell ref="G50:G51"/>
    <mergeCell ref="H50:H51"/>
    <mergeCell ref="D44:D45"/>
    <mergeCell ref="F44:F45"/>
    <mergeCell ref="G44:G45"/>
    <mergeCell ref="H44:H45"/>
    <mergeCell ref="I44:I45"/>
    <mergeCell ref="J44:J45"/>
    <mergeCell ref="I40:I41"/>
    <mergeCell ref="J40:J41"/>
    <mergeCell ref="D42:D43"/>
    <mergeCell ref="F42:F43"/>
    <mergeCell ref="G42:G43"/>
    <mergeCell ref="H42:H43"/>
    <mergeCell ref="I42:I43"/>
    <mergeCell ref="J42:J43"/>
    <mergeCell ref="J36:J37"/>
    <mergeCell ref="D38:D39"/>
    <mergeCell ref="F38:F39"/>
    <mergeCell ref="G38:G39"/>
    <mergeCell ref="H38:H39"/>
    <mergeCell ref="I38:I39"/>
    <mergeCell ref="J38:J39"/>
    <mergeCell ref="C36:C45"/>
    <mergeCell ref="D36:D37"/>
    <mergeCell ref="F36:F37"/>
    <mergeCell ref="G36:G37"/>
    <mergeCell ref="H36:H37"/>
    <mergeCell ref="I36:I37"/>
    <mergeCell ref="D40:D41"/>
    <mergeCell ref="F40:F41"/>
    <mergeCell ref="G40:G41"/>
    <mergeCell ref="H40:H41"/>
    <mergeCell ref="D34:D35"/>
    <mergeCell ref="F34:F35"/>
    <mergeCell ref="G34:G35"/>
    <mergeCell ref="H34:H35"/>
    <mergeCell ref="I34:I35"/>
    <mergeCell ref="J34:J35"/>
    <mergeCell ref="I30:I31"/>
    <mergeCell ref="J30:J31"/>
    <mergeCell ref="D32:D33"/>
    <mergeCell ref="F32:F33"/>
    <mergeCell ref="G32:G33"/>
    <mergeCell ref="H32:H33"/>
    <mergeCell ref="I32:I33"/>
    <mergeCell ref="J32:J33"/>
    <mergeCell ref="J26:J27"/>
    <mergeCell ref="D28:D29"/>
    <mergeCell ref="F28:F29"/>
    <mergeCell ref="G28:G29"/>
    <mergeCell ref="H28:H29"/>
    <mergeCell ref="I28:I29"/>
    <mergeCell ref="J28:J29"/>
    <mergeCell ref="C26:C35"/>
    <mergeCell ref="D26:D27"/>
    <mergeCell ref="F26:F27"/>
    <mergeCell ref="G26:G27"/>
    <mergeCell ref="H26:H27"/>
    <mergeCell ref="I26:I27"/>
    <mergeCell ref="D30:D31"/>
    <mergeCell ref="F30:F31"/>
    <mergeCell ref="G30:G31"/>
    <mergeCell ref="H30:H31"/>
    <mergeCell ref="D24:D25"/>
    <mergeCell ref="F24:F25"/>
    <mergeCell ref="G24:G25"/>
    <mergeCell ref="H24:H25"/>
    <mergeCell ref="I24:I25"/>
    <mergeCell ref="J24:J25"/>
    <mergeCell ref="D22:D23"/>
    <mergeCell ref="F22:F23"/>
    <mergeCell ref="G22:G23"/>
    <mergeCell ref="H22:H23"/>
    <mergeCell ref="I22:I23"/>
    <mergeCell ref="J22:J23"/>
    <mergeCell ref="D20:D21"/>
    <mergeCell ref="F20:F21"/>
    <mergeCell ref="G20:G21"/>
    <mergeCell ref="H20:H21"/>
    <mergeCell ref="I20:I21"/>
    <mergeCell ref="J20:J21"/>
    <mergeCell ref="I16:I17"/>
    <mergeCell ref="J16:J17"/>
    <mergeCell ref="D18:D19"/>
    <mergeCell ref="F18:F19"/>
    <mergeCell ref="G18:G19"/>
    <mergeCell ref="H18:H19"/>
    <mergeCell ref="I18:I19"/>
    <mergeCell ref="J18:J19"/>
    <mergeCell ref="J12:J13"/>
    <mergeCell ref="D14:D15"/>
    <mergeCell ref="F14:F15"/>
    <mergeCell ref="G14:G15"/>
    <mergeCell ref="H14:H15"/>
    <mergeCell ref="I14:I15"/>
    <mergeCell ref="J14:J15"/>
    <mergeCell ref="C12:C25"/>
    <mergeCell ref="D12:D13"/>
    <mergeCell ref="F12:F13"/>
    <mergeCell ref="G12:G13"/>
    <mergeCell ref="H12:H13"/>
    <mergeCell ref="I12:I13"/>
    <mergeCell ref="D16:D17"/>
    <mergeCell ref="F16:F17"/>
    <mergeCell ref="G16:G17"/>
    <mergeCell ref="H16:H17"/>
    <mergeCell ref="D10:D11"/>
    <mergeCell ref="F10:F11"/>
    <mergeCell ref="G10:G11"/>
    <mergeCell ref="H10:H11"/>
    <mergeCell ref="I10:I11"/>
    <mergeCell ref="J10:J11"/>
    <mergeCell ref="I6:I7"/>
    <mergeCell ref="J6:J7"/>
    <mergeCell ref="D8:D9"/>
    <mergeCell ref="F8:F9"/>
    <mergeCell ref="G8:G9"/>
    <mergeCell ref="H8:H9"/>
    <mergeCell ref="I8:I9"/>
    <mergeCell ref="J8:J9"/>
    <mergeCell ref="J2:J3"/>
    <mergeCell ref="D4:D5"/>
    <mergeCell ref="F4:F5"/>
    <mergeCell ref="G4:G5"/>
    <mergeCell ref="H4:H5"/>
    <mergeCell ref="I4:I5"/>
    <mergeCell ref="J4:J5"/>
    <mergeCell ref="C2:C11"/>
    <mergeCell ref="D2:D3"/>
    <mergeCell ref="F2:F3"/>
    <mergeCell ref="G2:G3"/>
    <mergeCell ref="H2:H3"/>
    <mergeCell ref="I2:I3"/>
    <mergeCell ref="D6:D7"/>
    <mergeCell ref="F6:F7"/>
    <mergeCell ref="G6:G7"/>
    <mergeCell ref="H6:H7"/>
    <mergeCell ref="A2:A1019"/>
    <mergeCell ref="B2:B109"/>
    <mergeCell ref="B110:B389"/>
    <mergeCell ref="B390:B639"/>
    <mergeCell ref="B640:B69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8DCCA-72C3-40B7-91F9-88E72BC32081}">
  <dimension ref="A1:H210"/>
  <sheetViews>
    <sheetView zoomScale="57" workbookViewId="0">
      <selection sqref="A1:H210"/>
    </sheetView>
  </sheetViews>
  <sheetFormatPr baseColWidth="10" defaultRowHeight="14.5" x14ac:dyDescent="0.35"/>
  <cols>
    <col min="1" max="1" width="67.54296875" customWidth="1"/>
    <col min="2" max="2" width="44.90625" customWidth="1"/>
    <col min="3" max="3" width="47.7265625" customWidth="1"/>
    <col min="4" max="4" width="84.54296875" customWidth="1"/>
    <col min="5" max="5" width="53" customWidth="1"/>
    <col min="6" max="6" width="78.6328125" customWidth="1"/>
    <col min="7" max="7" width="112.90625" customWidth="1"/>
    <col min="8" max="8" width="76.08984375" customWidth="1"/>
  </cols>
  <sheetData>
    <row r="1" spans="1:8" ht="60.5" thickBot="1" x14ac:dyDescent="0.45">
      <c r="A1" s="85" t="s">
        <v>4846</v>
      </c>
      <c r="B1" s="86" t="s">
        <v>12944</v>
      </c>
      <c r="C1" s="4" t="s">
        <v>12945</v>
      </c>
      <c r="D1" s="4" t="s">
        <v>12946</v>
      </c>
      <c r="E1" s="87" t="s">
        <v>12947</v>
      </c>
      <c r="F1" s="87" t="s">
        <v>12948</v>
      </c>
      <c r="G1" s="87" t="s">
        <v>4838</v>
      </c>
      <c r="H1" s="88" t="s">
        <v>4837</v>
      </c>
    </row>
    <row r="2" spans="1:8" x14ac:dyDescent="0.35">
      <c r="A2" s="89" t="s">
        <v>12949</v>
      </c>
      <c r="B2" s="90" t="s">
        <v>12950</v>
      </c>
      <c r="C2" t="s">
        <v>12951</v>
      </c>
      <c r="D2" t="s">
        <v>12952</v>
      </c>
      <c r="E2" t="s">
        <v>12953</v>
      </c>
      <c r="F2" t="s">
        <v>12954</v>
      </c>
      <c r="G2" s="91" t="s">
        <v>12955</v>
      </c>
      <c r="H2" s="91" t="s">
        <v>12956</v>
      </c>
    </row>
    <row r="3" spans="1:8" x14ac:dyDescent="0.35">
      <c r="A3" s="92"/>
      <c r="B3" s="93"/>
      <c r="C3" t="s">
        <v>12957</v>
      </c>
      <c r="D3" t="s">
        <v>12958</v>
      </c>
      <c r="E3" t="s">
        <v>12959</v>
      </c>
      <c r="F3" t="s">
        <v>12960</v>
      </c>
      <c r="G3" s="91" t="s">
        <v>12961</v>
      </c>
      <c r="H3" s="91" t="s">
        <v>12962</v>
      </c>
    </row>
    <row r="4" spans="1:8" x14ac:dyDescent="0.35">
      <c r="A4" s="92"/>
      <c r="B4" s="93"/>
      <c r="C4" t="s">
        <v>12963</v>
      </c>
      <c r="D4" t="s">
        <v>12964</v>
      </c>
      <c r="E4" t="s">
        <v>12965</v>
      </c>
      <c r="F4" t="s">
        <v>12966</v>
      </c>
      <c r="G4" s="91" t="s">
        <v>12967</v>
      </c>
      <c r="H4" s="91" t="s">
        <v>12968</v>
      </c>
    </row>
    <row r="5" spans="1:8" x14ac:dyDescent="0.35">
      <c r="A5" s="92"/>
      <c r="B5" s="93"/>
      <c r="C5" t="s">
        <v>12969</v>
      </c>
      <c r="D5" t="s">
        <v>12970</v>
      </c>
      <c r="E5" t="s">
        <v>12971</v>
      </c>
      <c r="F5" t="s">
        <v>12972</v>
      </c>
      <c r="G5" s="91" t="s">
        <v>12973</v>
      </c>
      <c r="H5" s="91" t="s">
        <v>12974</v>
      </c>
    </row>
    <row r="6" spans="1:8" x14ac:dyDescent="0.35">
      <c r="A6" s="92"/>
      <c r="B6" s="93"/>
      <c r="C6" t="s">
        <v>12975</v>
      </c>
      <c r="D6" t="s">
        <v>12976</v>
      </c>
      <c r="E6" t="s">
        <v>12977</v>
      </c>
      <c r="F6" t="s">
        <v>12978</v>
      </c>
      <c r="G6" s="91" t="s">
        <v>12979</v>
      </c>
      <c r="H6" s="91" t="s">
        <v>12980</v>
      </c>
    </row>
    <row r="7" spans="1:8" x14ac:dyDescent="0.35">
      <c r="A7" s="92"/>
      <c r="B7" s="94" t="s">
        <v>12981</v>
      </c>
      <c r="C7" t="s">
        <v>12982</v>
      </c>
      <c r="D7" t="s">
        <v>12983</v>
      </c>
      <c r="E7" t="s">
        <v>12984</v>
      </c>
      <c r="F7" t="s">
        <v>12985</v>
      </c>
      <c r="G7" s="91" t="s">
        <v>12986</v>
      </c>
      <c r="H7" s="91" t="s">
        <v>12987</v>
      </c>
    </row>
    <row r="8" spans="1:8" x14ac:dyDescent="0.35">
      <c r="A8" s="92"/>
      <c r="B8" s="94"/>
      <c r="C8" t="s">
        <v>12988</v>
      </c>
      <c r="D8" t="s">
        <v>12989</v>
      </c>
      <c r="E8" t="s">
        <v>12990</v>
      </c>
      <c r="F8" t="s">
        <v>12991</v>
      </c>
      <c r="G8" s="91" t="s">
        <v>12992</v>
      </c>
      <c r="H8" s="91" t="s">
        <v>12993</v>
      </c>
    </row>
    <row r="9" spans="1:8" x14ac:dyDescent="0.35">
      <c r="A9" s="92"/>
      <c r="B9" s="94"/>
      <c r="C9" t="s">
        <v>12994</v>
      </c>
      <c r="D9" t="s">
        <v>12995</v>
      </c>
      <c r="E9" t="s">
        <v>12996</v>
      </c>
      <c r="F9" t="s">
        <v>12997</v>
      </c>
      <c r="G9" s="91" t="s">
        <v>12998</v>
      </c>
      <c r="H9" s="91" t="s">
        <v>12999</v>
      </c>
    </row>
    <row r="10" spans="1:8" x14ac:dyDescent="0.35">
      <c r="A10" s="92"/>
      <c r="B10" s="94"/>
      <c r="C10" t="s">
        <v>13000</v>
      </c>
      <c r="D10" t="s">
        <v>13001</v>
      </c>
      <c r="E10" t="s">
        <v>13002</v>
      </c>
      <c r="F10" t="s">
        <v>13003</v>
      </c>
      <c r="G10" s="91" t="s">
        <v>13004</v>
      </c>
      <c r="H10" s="91" t="s">
        <v>13005</v>
      </c>
    </row>
    <row r="11" spans="1:8" x14ac:dyDescent="0.35">
      <c r="A11" s="92"/>
      <c r="B11" s="94"/>
      <c r="C11" t="s">
        <v>13006</v>
      </c>
      <c r="D11" t="s">
        <v>13007</v>
      </c>
      <c r="E11" t="s">
        <v>13008</v>
      </c>
      <c r="F11" t="s">
        <v>13009</v>
      </c>
      <c r="G11" s="91" t="s">
        <v>13010</v>
      </c>
      <c r="H11" s="91" t="s">
        <v>13011</v>
      </c>
    </row>
    <row r="12" spans="1:8" x14ac:dyDescent="0.35">
      <c r="A12" s="92"/>
      <c r="B12" s="94" t="s">
        <v>13012</v>
      </c>
      <c r="C12" t="s">
        <v>13013</v>
      </c>
      <c r="D12" t="s">
        <v>13014</v>
      </c>
      <c r="E12" t="s">
        <v>13015</v>
      </c>
      <c r="F12" t="s">
        <v>13016</v>
      </c>
      <c r="G12" s="91" t="s">
        <v>13017</v>
      </c>
      <c r="H12" s="91" t="s">
        <v>13018</v>
      </c>
    </row>
    <row r="13" spans="1:8" x14ac:dyDescent="0.35">
      <c r="A13" s="92"/>
      <c r="B13" s="94"/>
      <c r="C13" t="s">
        <v>13019</v>
      </c>
      <c r="D13" t="s">
        <v>13020</v>
      </c>
      <c r="E13" t="s">
        <v>13021</v>
      </c>
      <c r="F13" t="s">
        <v>13022</v>
      </c>
      <c r="G13" s="91" t="s">
        <v>13023</v>
      </c>
      <c r="H13" s="91" t="s">
        <v>13024</v>
      </c>
    </row>
    <row r="14" spans="1:8" x14ac:dyDescent="0.35">
      <c r="A14" s="92"/>
      <c r="B14" s="94"/>
      <c r="C14" t="s">
        <v>13025</v>
      </c>
      <c r="D14" t="s">
        <v>13026</v>
      </c>
      <c r="E14" t="s">
        <v>13027</v>
      </c>
      <c r="F14" t="s">
        <v>13028</v>
      </c>
      <c r="G14" s="91" t="s">
        <v>13029</v>
      </c>
      <c r="H14" s="91" t="s">
        <v>13030</v>
      </c>
    </row>
    <row r="15" spans="1:8" x14ac:dyDescent="0.35">
      <c r="A15" s="92"/>
      <c r="B15" s="94"/>
      <c r="C15" t="s">
        <v>13031</v>
      </c>
      <c r="D15" t="s">
        <v>13032</v>
      </c>
      <c r="E15" t="s">
        <v>13033</v>
      </c>
      <c r="F15" t="s">
        <v>13034</v>
      </c>
      <c r="G15" s="91" t="s">
        <v>13035</v>
      </c>
      <c r="H15" s="91" t="s">
        <v>13036</v>
      </c>
    </row>
    <row r="16" spans="1:8" x14ac:dyDescent="0.35">
      <c r="A16" s="92"/>
      <c r="B16" s="94"/>
      <c r="C16" t="s">
        <v>13037</v>
      </c>
      <c r="D16" t="s">
        <v>13038</v>
      </c>
      <c r="E16" t="s">
        <v>13039</v>
      </c>
      <c r="F16" t="s">
        <v>13040</v>
      </c>
      <c r="G16" s="91" t="s">
        <v>13041</v>
      </c>
      <c r="H16" s="91" t="s">
        <v>13042</v>
      </c>
    </row>
    <row r="17" spans="1:8" x14ac:dyDescent="0.35">
      <c r="A17" s="92"/>
      <c r="B17" s="94" t="s">
        <v>13043</v>
      </c>
      <c r="C17" t="s">
        <v>13044</v>
      </c>
      <c r="D17" t="s">
        <v>13045</v>
      </c>
      <c r="E17" t="s">
        <v>13046</v>
      </c>
      <c r="F17" t="s">
        <v>13047</v>
      </c>
      <c r="G17" s="91" t="s">
        <v>13048</v>
      </c>
      <c r="H17" s="91" t="s">
        <v>13049</v>
      </c>
    </row>
    <row r="18" spans="1:8" x14ac:dyDescent="0.35">
      <c r="A18" s="92"/>
      <c r="B18" s="94"/>
      <c r="C18" t="s">
        <v>13050</v>
      </c>
      <c r="D18" t="s">
        <v>13051</v>
      </c>
      <c r="E18" t="s">
        <v>13052</v>
      </c>
      <c r="F18" t="s">
        <v>13053</v>
      </c>
      <c r="G18" s="91" t="s">
        <v>13054</v>
      </c>
      <c r="H18" s="91" t="s">
        <v>13055</v>
      </c>
    </row>
    <row r="19" spans="1:8" x14ac:dyDescent="0.35">
      <c r="A19" s="92"/>
      <c r="B19" s="94"/>
      <c r="C19" t="s">
        <v>13056</v>
      </c>
      <c r="D19" t="s">
        <v>13057</v>
      </c>
      <c r="E19" t="s">
        <v>13058</v>
      </c>
      <c r="F19" t="s">
        <v>13059</v>
      </c>
      <c r="G19" s="91" t="s">
        <v>13060</v>
      </c>
      <c r="H19" s="91" t="s">
        <v>13061</v>
      </c>
    </row>
    <row r="20" spans="1:8" x14ac:dyDescent="0.35">
      <c r="A20" s="92"/>
      <c r="B20" s="94"/>
      <c r="C20" t="s">
        <v>13062</v>
      </c>
      <c r="D20" t="s">
        <v>13063</v>
      </c>
      <c r="E20" t="s">
        <v>13064</v>
      </c>
      <c r="F20" t="s">
        <v>13065</v>
      </c>
      <c r="G20" s="91" t="s">
        <v>13066</v>
      </c>
      <c r="H20" s="91" t="s">
        <v>13067</v>
      </c>
    </row>
    <row r="21" spans="1:8" x14ac:dyDescent="0.35">
      <c r="A21" s="92"/>
      <c r="B21" s="94"/>
      <c r="C21" t="s">
        <v>13068</v>
      </c>
      <c r="D21" t="s">
        <v>13069</v>
      </c>
      <c r="E21" t="s">
        <v>13070</v>
      </c>
      <c r="F21" t="s">
        <v>13071</v>
      </c>
      <c r="G21" s="91" t="s">
        <v>13072</v>
      </c>
      <c r="H21" s="91" t="s">
        <v>13073</v>
      </c>
    </row>
    <row r="22" spans="1:8" x14ac:dyDescent="0.35">
      <c r="A22" s="92"/>
      <c r="B22" s="94" t="s">
        <v>13074</v>
      </c>
      <c r="C22" t="s">
        <v>13075</v>
      </c>
      <c r="D22" t="s">
        <v>13076</v>
      </c>
      <c r="E22" t="s">
        <v>13077</v>
      </c>
      <c r="F22" t="s">
        <v>13078</v>
      </c>
      <c r="G22" s="91" t="s">
        <v>13079</v>
      </c>
      <c r="H22" s="91" t="s">
        <v>13080</v>
      </c>
    </row>
    <row r="23" spans="1:8" x14ac:dyDescent="0.35">
      <c r="A23" s="92"/>
      <c r="B23" s="94"/>
      <c r="C23" t="s">
        <v>13081</v>
      </c>
      <c r="D23" t="s">
        <v>13082</v>
      </c>
      <c r="E23" t="s">
        <v>13083</v>
      </c>
      <c r="F23" t="s">
        <v>13084</v>
      </c>
      <c r="G23" s="91" t="s">
        <v>13085</v>
      </c>
      <c r="H23" s="91" t="s">
        <v>13086</v>
      </c>
    </row>
    <row r="24" spans="1:8" x14ac:dyDescent="0.35">
      <c r="A24" s="92"/>
      <c r="B24" s="94"/>
      <c r="C24" t="s">
        <v>13087</v>
      </c>
      <c r="D24" t="s">
        <v>13088</v>
      </c>
      <c r="E24" t="s">
        <v>13089</v>
      </c>
      <c r="F24" t="s">
        <v>13090</v>
      </c>
      <c r="G24" s="91" t="s">
        <v>13091</v>
      </c>
      <c r="H24" s="91" t="s">
        <v>13092</v>
      </c>
    </row>
    <row r="25" spans="1:8" x14ac:dyDescent="0.35">
      <c r="A25" s="92"/>
      <c r="B25" s="94"/>
      <c r="C25" t="s">
        <v>13093</v>
      </c>
      <c r="D25" t="s">
        <v>13094</v>
      </c>
      <c r="E25" t="s">
        <v>13095</v>
      </c>
      <c r="F25" t="s">
        <v>13096</v>
      </c>
      <c r="G25" s="91" t="s">
        <v>13097</v>
      </c>
      <c r="H25" s="91" t="s">
        <v>13098</v>
      </c>
    </row>
    <row r="26" spans="1:8" x14ac:dyDescent="0.35">
      <c r="A26" s="92"/>
      <c r="B26" s="94"/>
      <c r="C26" t="s">
        <v>13099</v>
      </c>
      <c r="D26" t="s">
        <v>13100</v>
      </c>
      <c r="E26" t="s">
        <v>13101</v>
      </c>
      <c r="F26" t="s">
        <v>13102</v>
      </c>
      <c r="G26" s="91" t="s">
        <v>13103</v>
      </c>
      <c r="H26" s="91" t="s">
        <v>13104</v>
      </c>
    </row>
    <row r="27" spans="1:8" x14ac:dyDescent="0.35">
      <c r="A27" s="95"/>
      <c r="B27" s="94" t="s">
        <v>13105</v>
      </c>
      <c r="C27" t="s">
        <v>13106</v>
      </c>
      <c r="D27" t="s">
        <v>13107</v>
      </c>
      <c r="E27" t="s">
        <v>13108</v>
      </c>
      <c r="F27" t="s">
        <v>13109</v>
      </c>
      <c r="G27" s="91" t="s">
        <v>13110</v>
      </c>
      <c r="H27" s="91" t="s">
        <v>13111</v>
      </c>
    </row>
    <row r="28" spans="1:8" x14ac:dyDescent="0.35">
      <c r="A28" s="95"/>
      <c r="B28" s="94"/>
      <c r="C28" t="s">
        <v>13112</v>
      </c>
      <c r="D28" t="s">
        <v>13113</v>
      </c>
      <c r="E28" t="s">
        <v>13114</v>
      </c>
      <c r="F28" t="s">
        <v>13115</v>
      </c>
      <c r="G28" s="91" t="s">
        <v>13116</v>
      </c>
      <c r="H28" s="91" t="s">
        <v>13117</v>
      </c>
    </row>
    <row r="29" spans="1:8" x14ac:dyDescent="0.35">
      <c r="A29" s="95"/>
      <c r="B29" s="94"/>
      <c r="C29" t="s">
        <v>13118</v>
      </c>
      <c r="D29" t="s">
        <v>13119</v>
      </c>
      <c r="E29" t="s">
        <v>13120</v>
      </c>
      <c r="F29" t="s">
        <v>13121</v>
      </c>
      <c r="G29" s="91" t="s">
        <v>13122</v>
      </c>
      <c r="H29" s="91" t="s">
        <v>13123</v>
      </c>
    </row>
    <row r="30" spans="1:8" x14ac:dyDescent="0.35">
      <c r="A30" s="95"/>
      <c r="B30" s="94"/>
      <c r="C30" t="s">
        <v>13124</v>
      </c>
      <c r="D30" t="s">
        <v>13125</v>
      </c>
      <c r="E30" t="s">
        <v>13126</v>
      </c>
      <c r="F30" t="s">
        <v>13127</v>
      </c>
      <c r="G30" s="91" t="s">
        <v>13128</v>
      </c>
      <c r="H30" s="91" t="s">
        <v>75</v>
      </c>
    </row>
    <row r="31" spans="1:8" x14ac:dyDescent="0.35">
      <c r="A31" s="92" t="s">
        <v>13129</v>
      </c>
      <c r="B31" s="94"/>
      <c r="C31" t="s">
        <v>13130</v>
      </c>
      <c r="D31" t="s">
        <v>13131</v>
      </c>
      <c r="E31" t="s">
        <v>13132</v>
      </c>
      <c r="F31" t="s">
        <v>13133</v>
      </c>
      <c r="G31" s="91" t="s">
        <v>13134</v>
      </c>
      <c r="H31" s="91" t="s">
        <v>13135</v>
      </c>
    </row>
    <row r="32" spans="1:8" x14ac:dyDescent="0.35">
      <c r="A32" s="92"/>
      <c r="B32" s="94" t="s">
        <v>13136</v>
      </c>
      <c r="C32" t="s">
        <v>13137</v>
      </c>
      <c r="D32" t="s">
        <v>13138</v>
      </c>
      <c r="E32" t="s">
        <v>13139</v>
      </c>
      <c r="F32" t="s">
        <v>13140</v>
      </c>
      <c r="G32" s="91" t="s">
        <v>13141</v>
      </c>
      <c r="H32" s="91" t="s">
        <v>13142</v>
      </c>
    </row>
    <row r="33" spans="1:8" x14ac:dyDescent="0.35">
      <c r="A33" s="92"/>
      <c r="B33" s="94"/>
      <c r="C33" t="s">
        <v>13143</v>
      </c>
      <c r="D33" t="s">
        <v>13144</v>
      </c>
      <c r="E33" t="s">
        <v>13145</v>
      </c>
      <c r="F33" t="s">
        <v>13146</v>
      </c>
      <c r="G33" s="91" t="s">
        <v>13147</v>
      </c>
      <c r="H33" s="91" t="s">
        <v>13148</v>
      </c>
    </row>
    <row r="34" spans="1:8" x14ac:dyDescent="0.35">
      <c r="A34" s="92"/>
      <c r="B34" s="94"/>
      <c r="C34" t="s">
        <v>13149</v>
      </c>
      <c r="D34" t="s">
        <v>13150</v>
      </c>
      <c r="E34" t="s">
        <v>13151</v>
      </c>
      <c r="F34" t="s">
        <v>13152</v>
      </c>
      <c r="G34" s="91" t="s">
        <v>13153</v>
      </c>
      <c r="H34" s="91" t="s">
        <v>13154</v>
      </c>
    </row>
    <row r="35" spans="1:8" x14ac:dyDescent="0.35">
      <c r="A35" s="92"/>
      <c r="B35" s="94"/>
      <c r="C35" t="s">
        <v>13155</v>
      </c>
      <c r="D35" t="s">
        <v>13156</v>
      </c>
      <c r="E35" t="s">
        <v>13157</v>
      </c>
      <c r="F35" t="s">
        <v>13158</v>
      </c>
      <c r="G35" s="91" t="s">
        <v>13159</v>
      </c>
      <c r="H35" s="91" t="s">
        <v>13160</v>
      </c>
    </row>
    <row r="36" spans="1:8" x14ac:dyDescent="0.35">
      <c r="A36" s="92"/>
      <c r="B36" s="94"/>
      <c r="C36" t="s">
        <v>13161</v>
      </c>
      <c r="D36" t="s">
        <v>13162</v>
      </c>
      <c r="E36" t="s">
        <v>13163</v>
      </c>
      <c r="F36" t="s">
        <v>13164</v>
      </c>
      <c r="G36" s="91" t="s">
        <v>13165</v>
      </c>
      <c r="H36" s="91" t="s">
        <v>13166</v>
      </c>
    </row>
    <row r="37" spans="1:8" x14ac:dyDescent="0.35">
      <c r="A37" s="92"/>
      <c r="B37" s="94" t="s">
        <v>13167</v>
      </c>
      <c r="C37" t="s">
        <v>13168</v>
      </c>
      <c r="D37" t="s">
        <v>13169</v>
      </c>
      <c r="E37" t="s">
        <v>13170</v>
      </c>
      <c r="F37" t="s">
        <v>13171</v>
      </c>
      <c r="G37" s="91" t="s">
        <v>13172</v>
      </c>
      <c r="H37" s="91" t="s">
        <v>13173</v>
      </c>
    </row>
    <row r="38" spans="1:8" x14ac:dyDescent="0.35">
      <c r="A38" s="92"/>
      <c r="B38" s="94"/>
      <c r="C38" t="s">
        <v>13174</v>
      </c>
      <c r="D38" t="s">
        <v>13175</v>
      </c>
      <c r="E38" t="s">
        <v>13176</v>
      </c>
      <c r="F38" t="s">
        <v>13177</v>
      </c>
      <c r="G38" s="91" t="s">
        <v>13178</v>
      </c>
      <c r="H38" s="91" t="s">
        <v>13179</v>
      </c>
    </row>
    <row r="39" spans="1:8" x14ac:dyDescent="0.35">
      <c r="A39" s="92"/>
      <c r="B39" s="94"/>
      <c r="C39" t="s">
        <v>13180</v>
      </c>
      <c r="D39" t="s">
        <v>13181</v>
      </c>
      <c r="E39" t="s">
        <v>13182</v>
      </c>
      <c r="F39" t="s">
        <v>13183</v>
      </c>
      <c r="G39" s="91" t="s">
        <v>13184</v>
      </c>
      <c r="H39" s="91" t="s">
        <v>13185</v>
      </c>
    </row>
    <row r="40" spans="1:8" x14ac:dyDescent="0.35">
      <c r="A40" s="92"/>
      <c r="B40" s="94"/>
      <c r="C40" t="s">
        <v>13186</v>
      </c>
      <c r="D40" t="s">
        <v>13187</v>
      </c>
      <c r="E40" t="s">
        <v>13188</v>
      </c>
      <c r="F40" t="s">
        <v>13189</v>
      </c>
      <c r="G40" s="91" t="s">
        <v>13190</v>
      </c>
      <c r="H40" s="91" t="s">
        <v>13191</v>
      </c>
    </row>
    <row r="41" spans="1:8" x14ac:dyDescent="0.35">
      <c r="A41" s="92"/>
      <c r="B41" s="94"/>
      <c r="C41" t="s">
        <v>13192</v>
      </c>
      <c r="D41" t="s">
        <v>13193</v>
      </c>
      <c r="E41" t="s">
        <v>13194</v>
      </c>
      <c r="F41" t="s">
        <v>13195</v>
      </c>
      <c r="G41" s="91" t="s">
        <v>13196</v>
      </c>
      <c r="H41" s="91" t="s">
        <v>13197</v>
      </c>
    </row>
    <row r="42" spans="1:8" x14ac:dyDescent="0.35">
      <c r="A42" s="92"/>
      <c r="B42" s="94" t="s">
        <v>13198</v>
      </c>
      <c r="C42" t="s">
        <v>13199</v>
      </c>
      <c r="D42" t="s">
        <v>13200</v>
      </c>
      <c r="E42" t="s">
        <v>13201</v>
      </c>
      <c r="F42" t="s">
        <v>13202</v>
      </c>
      <c r="G42" s="91" t="s">
        <v>13203</v>
      </c>
      <c r="H42" s="91" t="s">
        <v>13204</v>
      </c>
    </row>
    <row r="43" spans="1:8" x14ac:dyDescent="0.35">
      <c r="A43" s="92"/>
      <c r="B43" s="94"/>
      <c r="C43" t="s">
        <v>13205</v>
      </c>
      <c r="D43" t="s">
        <v>13206</v>
      </c>
      <c r="E43" t="s">
        <v>13207</v>
      </c>
      <c r="F43" t="s">
        <v>13208</v>
      </c>
      <c r="G43" s="91" t="s">
        <v>13209</v>
      </c>
      <c r="H43" s="91" t="s">
        <v>13210</v>
      </c>
    </row>
    <row r="44" spans="1:8" x14ac:dyDescent="0.35">
      <c r="A44" s="92"/>
      <c r="B44" s="94"/>
      <c r="C44" t="s">
        <v>13211</v>
      </c>
      <c r="D44" t="s">
        <v>13212</v>
      </c>
      <c r="E44" t="s">
        <v>13213</v>
      </c>
      <c r="F44" t="s">
        <v>13214</v>
      </c>
      <c r="G44" s="91" t="s">
        <v>13215</v>
      </c>
      <c r="H44" s="91" t="s">
        <v>13216</v>
      </c>
    </row>
    <row r="45" spans="1:8" x14ac:dyDescent="0.35">
      <c r="A45" s="92"/>
      <c r="B45" s="94"/>
      <c r="C45" t="s">
        <v>13217</v>
      </c>
      <c r="D45" t="s">
        <v>13218</v>
      </c>
      <c r="E45" t="s">
        <v>13219</v>
      </c>
      <c r="F45" t="s">
        <v>13220</v>
      </c>
      <c r="G45" s="91" t="s">
        <v>13221</v>
      </c>
      <c r="H45" s="91" t="s">
        <v>13222</v>
      </c>
    </row>
    <row r="46" spans="1:8" x14ac:dyDescent="0.35">
      <c r="A46" s="92"/>
      <c r="B46" s="94"/>
      <c r="C46" t="s">
        <v>13223</v>
      </c>
      <c r="D46" t="s">
        <v>13224</v>
      </c>
      <c r="E46" t="s">
        <v>13225</v>
      </c>
      <c r="F46" t="s">
        <v>13226</v>
      </c>
      <c r="G46" s="91" t="s">
        <v>13227</v>
      </c>
      <c r="H46" s="91" t="s">
        <v>13228</v>
      </c>
    </row>
    <row r="47" spans="1:8" x14ac:dyDescent="0.35">
      <c r="A47" s="92"/>
      <c r="B47" s="94" t="s">
        <v>13229</v>
      </c>
      <c r="C47" t="s">
        <v>13230</v>
      </c>
      <c r="D47" t="s">
        <v>13231</v>
      </c>
      <c r="E47" t="s">
        <v>13232</v>
      </c>
      <c r="F47" t="s">
        <v>13233</v>
      </c>
      <c r="G47" s="91" t="s">
        <v>13234</v>
      </c>
      <c r="H47" s="91" t="s">
        <v>13235</v>
      </c>
    </row>
    <row r="48" spans="1:8" x14ac:dyDescent="0.35">
      <c r="A48" s="92"/>
      <c r="B48" s="94"/>
      <c r="C48" t="s">
        <v>13236</v>
      </c>
      <c r="D48" t="s">
        <v>13237</v>
      </c>
      <c r="E48" t="s">
        <v>13238</v>
      </c>
      <c r="F48" t="s">
        <v>13239</v>
      </c>
      <c r="G48" s="91" t="s">
        <v>13240</v>
      </c>
      <c r="H48" s="91" t="s">
        <v>13241</v>
      </c>
    </row>
    <row r="49" spans="1:8" x14ac:dyDescent="0.35">
      <c r="A49" s="92"/>
      <c r="B49" s="94"/>
      <c r="C49" t="s">
        <v>13242</v>
      </c>
      <c r="D49" t="s">
        <v>13243</v>
      </c>
      <c r="E49" t="s">
        <v>13244</v>
      </c>
      <c r="F49" t="s">
        <v>13245</v>
      </c>
      <c r="G49" s="91" t="s">
        <v>13246</v>
      </c>
      <c r="H49" s="91" t="s">
        <v>13247</v>
      </c>
    </row>
    <row r="50" spans="1:8" x14ac:dyDescent="0.35">
      <c r="A50" s="92"/>
      <c r="B50" s="94"/>
      <c r="C50" t="s">
        <v>13248</v>
      </c>
      <c r="D50" t="s">
        <v>13249</v>
      </c>
      <c r="E50" t="s">
        <v>13250</v>
      </c>
      <c r="F50" t="s">
        <v>13251</v>
      </c>
      <c r="G50" s="91" t="s">
        <v>13252</v>
      </c>
      <c r="H50" s="91" t="s">
        <v>13253</v>
      </c>
    </row>
    <row r="51" spans="1:8" x14ac:dyDescent="0.35">
      <c r="A51" s="92"/>
      <c r="B51" s="94"/>
      <c r="C51" t="s">
        <v>13254</v>
      </c>
      <c r="D51" t="s">
        <v>13255</v>
      </c>
      <c r="E51" t="s">
        <v>13256</v>
      </c>
      <c r="F51" t="s">
        <v>13257</v>
      </c>
      <c r="G51" s="91" t="s">
        <v>13258</v>
      </c>
      <c r="H51" s="91" t="s">
        <v>13259</v>
      </c>
    </row>
    <row r="52" spans="1:8" x14ac:dyDescent="0.35">
      <c r="A52" s="92"/>
      <c r="B52" s="94" t="s">
        <v>13260</v>
      </c>
      <c r="C52" t="s">
        <v>13261</v>
      </c>
      <c r="D52" t="s">
        <v>13262</v>
      </c>
      <c r="E52" t="s">
        <v>13263</v>
      </c>
      <c r="F52" t="s">
        <v>13264</v>
      </c>
      <c r="G52" s="91" t="s">
        <v>13265</v>
      </c>
      <c r="H52" s="91" t="s">
        <v>13266</v>
      </c>
    </row>
    <row r="53" spans="1:8" x14ac:dyDescent="0.35">
      <c r="A53" s="92"/>
      <c r="B53" s="94"/>
      <c r="C53" t="s">
        <v>13267</v>
      </c>
      <c r="D53" t="s">
        <v>13268</v>
      </c>
      <c r="E53" t="s">
        <v>13269</v>
      </c>
      <c r="F53" t="s">
        <v>13270</v>
      </c>
      <c r="G53" s="91" t="s">
        <v>13271</v>
      </c>
      <c r="H53" s="91" t="s">
        <v>13272</v>
      </c>
    </row>
    <row r="54" spans="1:8" x14ac:dyDescent="0.35">
      <c r="A54" s="92"/>
      <c r="B54" s="94"/>
      <c r="C54" t="s">
        <v>13273</v>
      </c>
      <c r="D54" t="s">
        <v>13274</v>
      </c>
      <c r="E54" t="s">
        <v>13275</v>
      </c>
      <c r="F54" t="s">
        <v>13276</v>
      </c>
      <c r="G54" s="91" t="s">
        <v>13277</v>
      </c>
      <c r="H54" s="91" t="s">
        <v>13278</v>
      </c>
    </row>
    <row r="55" spans="1:8" x14ac:dyDescent="0.35">
      <c r="A55" s="92"/>
      <c r="B55" s="94"/>
      <c r="C55" t="s">
        <v>13279</v>
      </c>
      <c r="D55" t="s">
        <v>13280</v>
      </c>
      <c r="E55" t="s">
        <v>13281</v>
      </c>
      <c r="F55" t="s">
        <v>13282</v>
      </c>
      <c r="G55" s="91" t="s">
        <v>13283</v>
      </c>
      <c r="H55" s="91" t="s">
        <v>13284</v>
      </c>
    </row>
    <row r="56" spans="1:8" x14ac:dyDescent="0.35">
      <c r="A56" s="92"/>
      <c r="B56" s="94"/>
      <c r="C56" t="s">
        <v>13285</v>
      </c>
      <c r="D56" t="s">
        <v>13286</v>
      </c>
      <c r="E56" t="s">
        <v>13287</v>
      </c>
      <c r="F56" t="s">
        <v>13288</v>
      </c>
      <c r="G56" s="91" t="s">
        <v>13289</v>
      </c>
      <c r="H56" s="91" t="s">
        <v>13290</v>
      </c>
    </row>
    <row r="57" spans="1:8" x14ac:dyDescent="0.35">
      <c r="A57" s="95"/>
      <c r="B57" s="94" t="s">
        <v>13291</v>
      </c>
      <c r="C57" t="s">
        <v>13292</v>
      </c>
      <c r="D57" t="s">
        <v>13293</v>
      </c>
      <c r="E57" t="s">
        <v>13294</v>
      </c>
      <c r="F57" t="s">
        <v>13295</v>
      </c>
      <c r="G57" s="91" t="s">
        <v>13296</v>
      </c>
      <c r="H57" s="91" t="s">
        <v>13297</v>
      </c>
    </row>
    <row r="58" spans="1:8" x14ac:dyDescent="0.35">
      <c r="A58" s="95"/>
      <c r="B58" s="94"/>
      <c r="C58" t="s">
        <v>13298</v>
      </c>
      <c r="D58" t="s">
        <v>13299</v>
      </c>
      <c r="E58" t="s">
        <v>13300</v>
      </c>
      <c r="F58" t="s">
        <v>13301</v>
      </c>
      <c r="G58" s="91" t="s">
        <v>13302</v>
      </c>
      <c r="H58" s="91" t="s">
        <v>13303</v>
      </c>
    </row>
    <row r="59" spans="1:8" x14ac:dyDescent="0.35">
      <c r="A59" s="95"/>
      <c r="B59" s="94"/>
      <c r="C59" t="s">
        <v>13304</v>
      </c>
      <c r="D59" t="s">
        <v>13305</v>
      </c>
      <c r="E59" t="s">
        <v>13306</v>
      </c>
      <c r="F59" t="s">
        <v>13307</v>
      </c>
      <c r="G59" s="91" t="s">
        <v>13308</v>
      </c>
      <c r="H59" s="91" t="s">
        <v>13309</v>
      </c>
    </row>
    <row r="60" spans="1:8" x14ac:dyDescent="0.35">
      <c r="A60" s="95"/>
      <c r="B60" s="94"/>
      <c r="C60" t="s">
        <v>13310</v>
      </c>
      <c r="D60" t="s">
        <v>13311</v>
      </c>
      <c r="E60" t="s">
        <v>13312</v>
      </c>
      <c r="F60" t="s">
        <v>13313</v>
      </c>
      <c r="G60" s="91" t="s">
        <v>13314</v>
      </c>
      <c r="H60" s="91" t="s">
        <v>13315</v>
      </c>
    </row>
    <row r="61" spans="1:8" x14ac:dyDescent="0.35">
      <c r="A61" s="92" t="s">
        <v>13316</v>
      </c>
      <c r="B61" s="94"/>
      <c r="C61" t="s">
        <v>13317</v>
      </c>
      <c r="D61" t="s">
        <v>13318</v>
      </c>
      <c r="E61" t="s">
        <v>13319</v>
      </c>
      <c r="F61" t="s">
        <v>13320</v>
      </c>
      <c r="G61" s="91" t="s">
        <v>13321</v>
      </c>
      <c r="H61" s="91" t="s">
        <v>13322</v>
      </c>
    </row>
    <row r="62" spans="1:8" x14ac:dyDescent="0.35">
      <c r="A62" s="92"/>
      <c r="B62" s="94" t="s">
        <v>13323</v>
      </c>
      <c r="C62" t="s">
        <v>13324</v>
      </c>
      <c r="D62" t="s">
        <v>13325</v>
      </c>
      <c r="E62" t="s">
        <v>13326</v>
      </c>
      <c r="F62" t="s">
        <v>13327</v>
      </c>
      <c r="G62" s="91" t="s">
        <v>13328</v>
      </c>
      <c r="H62" s="91" t="s">
        <v>13329</v>
      </c>
    </row>
    <row r="63" spans="1:8" x14ac:dyDescent="0.35">
      <c r="A63" s="92"/>
      <c r="B63" s="94"/>
      <c r="C63" t="s">
        <v>13330</v>
      </c>
      <c r="D63" t="s">
        <v>13331</v>
      </c>
      <c r="E63" t="s">
        <v>13332</v>
      </c>
      <c r="F63" t="s">
        <v>13333</v>
      </c>
      <c r="G63" s="91" t="s">
        <v>13334</v>
      </c>
      <c r="H63" s="91" t="s">
        <v>13335</v>
      </c>
    </row>
    <row r="64" spans="1:8" x14ac:dyDescent="0.35">
      <c r="A64" s="92"/>
      <c r="B64" s="94"/>
      <c r="C64" t="s">
        <v>13336</v>
      </c>
      <c r="D64" t="s">
        <v>13337</v>
      </c>
      <c r="E64" t="s">
        <v>13338</v>
      </c>
      <c r="F64" t="s">
        <v>13339</v>
      </c>
      <c r="G64" s="91" t="s">
        <v>13340</v>
      </c>
      <c r="H64" s="91" t="s">
        <v>13341</v>
      </c>
    </row>
    <row r="65" spans="1:8" x14ac:dyDescent="0.35">
      <c r="A65" s="92"/>
      <c r="B65" s="94"/>
      <c r="C65" t="s">
        <v>13342</v>
      </c>
      <c r="D65" t="s">
        <v>13343</v>
      </c>
      <c r="E65" t="s">
        <v>13344</v>
      </c>
      <c r="F65" t="s">
        <v>13345</v>
      </c>
      <c r="G65" s="91" t="s">
        <v>13346</v>
      </c>
      <c r="H65" s="91" t="s">
        <v>13347</v>
      </c>
    </row>
    <row r="66" spans="1:8" x14ac:dyDescent="0.35">
      <c r="A66" s="92"/>
      <c r="B66" s="94"/>
      <c r="C66" t="s">
        <v>13348</v>
      </c>
      <c r="D66" t="s">
        <v>13349</v>
      </c>
      <c r="E66" t="s">
        <v>13350</v>
      </c>
      <c r="F66" t="s">
        <v>13351</v>
      </c>
      <c r="G66" s="91" t="s">
        <v>13352</v>
      </c>
      <c r="H66" s="91" t="s">
        <v>13353</v>
      </c>
    </row>
    <row r="67" spans="1:8" x14ac:dyDescent="0.35">
      <c r="A67" s="95"/>
      <c r="B67" s="94" t="s">
        <v>13354</v>
      </c>
      <c r="C67" t="s">
        <v>13355</v>
      </c>
      <c r="D67" t="s">
        <v>13356</v>
      </c>
      <c r="E67" t="s">
        <v>13357</v>
      </c>
      <c r="F67" t="s">
        <v>13358</v>
      </c>
      <c r="G67" s="91" t="s">
        <v>13359</v>
      </c>
      <c r="H67" s="91" t="s">
        <v>13360</v>
      </c>
    </row>
    <row r="68" spans="1:8" x14ac:dyDescent="0.35">
      <c r="A68" s="95"/>
      <c r="B68" s="94"/>
      <c r="C68" t="s">
        <v>13361</v>
      </c>
      <c r="D68" t="s">
        <v>13362</v>
      </c>
      <c r="E68" t="s">
        <v>13363</v>
      </c>
      <c r="F68" t="s">
        <v>13364</v>
      </c>
      <c r="G68" s="91" t="s">
        <v>13365</v>
      </c>
      <c r="H68" s="91" t="s">
        <v>13366</v>
      </c>
    </row>
    <row r="69" spans="1:8" x14ac:dyDescent="0.35">
      <c r="A69" s="95"/>
      <c r="B69" s="94"/>
      <c r="C69" t="s">
        <v>13367</v>
      </c>
      <c r="D69" t="s">
        <v>13368</v>
      </c>
      <c r="E69" t="s">
        <v>13369</v>
      </c>
      <c r="F69" t="s">
        <v>13370</v>
      </c>
      <c r="G69" s="91" t="s">
        <v>13371</v>
      </c>
      <c r="H69" s="91" t="s">
        <v>13372</v>
      </c>
    </row>
    <row r="70" spans="1:8" x14ac:dyDescent="0.35">
      <c r="A70" s="95"/>
      <c r="B70" s="94"/>
      <c r="C70" t="s">
        <v>13373</v>
      </c>
      <c r="D70" t="s">
        <v>13374</v>
      </c>
      <c r="E70" t="s">
        <v>13375</v>
      </c>
      <c r="F70" t="s">
        <v>13376</v>
      </c>
      <c r="G70" s="91" t="s">
        <v>13377</v>
      </c>
      <c r="H70" s="91" t="s">
        <v>13378</v>
      </c>
    </row>
    <row r="71" spans="1:8" x14ac:dyDescent="0.35">
      <c r="A71" s="92" t="s">
        <v>13379</v>
      </c>
      <c r="B71" s="94"/>
      <c r="C71" t="s">
        <v>13380</v>
      </c>
      <c r="D71" t="s">
        <v>13381</v>
      </c>
      <c r="E71" t="s">
        <v>13382</v>
      </c>
      <c r="F71" t="s">
        <v>13383</v>
      </c>
      <c r="G71" s="91" t="s">
        <v>13384</v>
      </c>
      <c r="H71" s="91" t="s">
        <v>13385</v>
      </c>
    </row>
    <row r="72" spans="1:8" x14ac:dyDescent="0.35">
      <c r="A72" s="92"/>
      <c r="B72" s="94" t="s">
        <v>13386</v>
      </c>
      <c r="C72" t="s">
        <v>13387</v>
      </c>
      <c r="D72" t="s">
        <v>13388</v>
      </c>
      <c r="E72" t="s">
        <v>13388</v>
      </c>
      <c r="F72" t="s">
        <v>13389</v>
      </c>
      <c r="G72" s="91" t="s">
        <v>13390</v>
      </c>
      <c r="H72" s="91" t="s">
        <v>13391</v>
      </c>
    </row>
    <row r="73" spans="1:8" x14ac:dyDescent="0.35">
      <c r="A73" s="92"/>
      <c r="B73" s="94"/>
      <c r="C73" t="s">
        <v>13392</v>
      </c>
      <c r="D73" t="s">
        <v>13393</v>
      </c>
      <c r="E73" t="s">
        <v>13393</v>
      </c>
      <c r="F73" t="s">
        <v>13394</v>
      </c>
      <c r="G73" s="91" t="s">
        <v>13395</v>
      </c>
      <c r="H73" s="91" t="s">
        <v>13396</v>
      </c>
    </row>
    <row r="74" spans="1:8" x14ac:dyDescent="0.35">
      <c r="A74" s="92"/>
      <c r="B74" s="94"/>
      <c r="C74" t="s">
        <v>13397</v>
      </c>
      <c r="D74" t="s">
        <v>13398</v>
      </c>
      <c r="E74" t="s">
        <v>13398</v>
      </c>
      <c r="F74" t="s">
        <v>13399</v>
      </c>
      <c r="G74" s="91" t="s">
        <v>13400</v>
      </c>
      <c r="H74" s="91" t="s">
        <v>13401</v>
      </c>
    </row>
    <row r="75" spans="1:8" x14ac:dyDescent="0.35">
      <c r="A75" s="92"/>
      <c r="B75" s="94"/>
      <c r="C75" t="s">
        <v>13402</v>
      </c>
      <c r="D75" t="s">
        <v>13403</v>
      </c>
      <c r="E75" t="s">
        <v>13403</v>
      </c>
      <c r="F75" t="s">
        <v>13404</v>
      </c>
      <c r="G75" s="91" t="s">
        <v>13405</v>
      </c>
      <c r="H75" s="91" t="s">
        <v>13406</v>
      </c>
    </row>
    <row r="76" spans="1:8" x14ac:dyDescent="0.35">
      <c r="A76" s="92"/>
      <c r="B76" s="94"/>
      <c r="C76" t="s">
        <v>13407</v>
      </c>
      <c r="D76" t="s">
        <v>13408</v>
      </c>
      <c r="E76" t="s">
        <v>13408</v>
      </c>
      <c r="F76" t="s">
        <v>13409</v>
      </c>
      <c r="G76" s="91" t="s">
        <v>13410</v>
      </c>
      <c r="H76" s="91" t="s">
        <v>13411</v>
      </c>
    </row>
    <row r="77" spans="1:8" x14ac:dyDescent="0.35">
      <c r="A77" s="92"/>
      <c r="B77" s="94" t="s">
        <v>13412</v>
      </c>
      <c r="C77" t="s">
        <v>13387</v>
      </c>
      <c r="D77" t="s">
        <v>13388</v>
      </c>
      <c r="E77" t="s">
        <v>13389</v>
      </c>
      <c r="F77" t="s">
        <v>13413</v>
      </c>
      <c r="G77" s="91" t="s">
        <v>13414</v>
      </c>
      <c r="H77" s="91" t="s">
        <v>13415</v>
      </c>
    </row>
    <row r="78" spans="1:8" x14ac:dyDescent="0.35">
      <c r="A78" s="92"/>
      <c r="B78" s="94"/>
      <c r="C78" t="s">
        <v>13392</v>
      </c>
      <c r="D78" t="s">
        <v>13393</v>
      </c>
      <c r="E78" t="s">
        <v>13394</v>
      </c>
      <c r="F78" t="s">
        <v>13416</v>
      </c>
      <c r="G78" s="91" t="s">
        <v>13417</v>
      </c>
      <c r="H78" s="91" t="s">
        <v>13418</v>
      </c>
    </row>
    <row r="79" spans="1:8" x14ac:dyDescent="0.35">
      <c r="A79" s="92"/>
      <c r="B79" s="94"/>
      <c r="C79" t="s">
        <v>13397</v>
      </c>
      <c r="D79" t="s">
        <v>13398</v>
      </c>
      <c r="E79" t="s">
        <v>13399</v>
      </c>
      <c r="F79" t="s">
        <v>13419</v>
      </c>
      <c r="G79" s="91" t="s">
        <v>13420</v>
      </c>
      <c r="H79" s="91" t="s">
        <v>13421</v>
      </c>
    </row>
    <row r="80" spans="1:8" x14ac:dyDescent="0.35">
      <c r="A80" s="92"/>
      <c r="B80" s="94"/>
      <c r="C80" t="s">
        <v>13402</v>
      </c>
      <c r="D80" t="s">
        <v>13403</v>
      </c>
      <c r="E80" t="s">
        <v>13404</v>
      </c>
      <c r="F80" t="s">
        <v>13422</v>
      </c>
      <c r="G80" s="91" t="s">
        <v>13423</v>
      </c>
      <c r="H80" s="91" t="s">
        <v>13424</v>
      </c>
    </row>
    <row r="81" spans="1:8" x14ac:dyDescent="0.35">
      <c r="A81" s="92"/>
      <c r="B81" s="94"/>
      <c r="C81" t="s">
        <v>13407</v>
      </c>
      <c r="D81" t="s">
        <v>13408</v>
      </c>
      <c r="E81" t="s">
        <v>13409</v>
      </c>
      <c r="F81" t="s">
        <v>13425</v>
      </c>
      <c r="G81" s="91" t="s">
        <v>13426</v>
      </c>
      <c r="H81" s="91" t="s">
        <v>13427</v>
      </c>
    </row>
    <row r="82" spans="1:8" x14ac:dyDescent="0.35">
      <c r="A82" s="92"/>
      <c r="B82" s="94" t="s">
        <v>13428</v>
      </c>
      <c r="C82" t="s">
        <v>13429</v>
      </c>
      <c r="D82" t="s">
        <v>13430</v>
      </c>
      <c r="E82" t="s">
        <v>13431</v>
      </c>
      <c r="F82" t="s">
        <v>13432</v>
      </c>
      <c r="G82" s="91" t="s">
        <v>13433</v>
      </c>
      <c r="H82" s="91" t="s">
        <v>13434</v>
      </c>
    </row>
    <row r="83" spans="1:8" x14ac:dyDescent="0.35">
      <c r="A83" s="92"/>
      <c r="B83" s="94"/>
      <c r="C83" t="s">
        <v>13435</v>
      </c>
      <c r="D83" t="s">
        <v>13436</v>
      </c>
      <c r="E83" t="s">
        <v>13437</v>
      </c>
      <c r="F83" t="s">
        <v>13438</v>
      </c>
      <c r="G83" s="91" t="s">
        <v>13439</v>
      </c>
      <c r="H83" s="91" t="s">
        <v>13440</v>
      </c>
    </row>
    <row r="84" spans="1:8" x14ac:dyDescent="0.35">
      <c r="A84" s="92"/>
      <c r="B84" s="94"/>
      <c r="C84" t="s">
        <v>13441</v>
      </c>
      <c r="D84" t="s">
        <v>13442</v>
      </c>
      <c r="E84" t="s">
        <v>13443</v>
      </c>
      <c r="F84" t="s">
        <v>13444</v>
      </c>
      <c r="G84" s="91" t="s">
        <v>13445</v>
      </c>
      <c r="H84" s="91" t="s">
        <v>13446</v>
      </c>
    </row>
    <row r="85" spans="1:8" x14ac:dyDescent="0.35">
      <c r="A85" s="92"/>
      <c r="B85" s="94"/>
      <c r="C85" t="s">
        <v>13447</v>
      </c>
      <c r="D85" t="s">
        <v>13448</v>
      </c>
      <c r="E85" t="s">
        <v>13449</v>
      </c>
      <c r="F85" t="s">
        <v>13450</v>
      </c>
      <c r="G85" s="91" t="s">
        <v>13451</v>
      </c>
      <c r="H85" s="91" t="s">
        <v>13452</v>
      </c>
    </row>
    <row r="86" spans="1:8" x14ac:dyDescent="0.35">
      <c r="A86" s="92"/>
      <c r="B86" s="94"/>
      <c r="C86" t="s">
        <v>13453</v>
      </c>
      <c r="D86" t="s">
        <v>13454</v>
      </c>
      <c r="E86" t="s">
        <v>13455</v>
      </c>
      <c r="F86" t="s">
        <v>13456</v>
      </c>
      <c r="G86" s="91" t="s">
        <v>13457</v>
      </c>
      <c r="H86" s="91" t="s">
        <v>13458</v>
      </c>
    </row>
    <row r="87" spans="1:8" x14ac:dyDescent="0.35">
      <c r="A87" s="92"/>
      <c r="B87" s="94" t="s">
        <v>13459</v>
      </c>
      <c r="C87" t="s">
        <v>13460</v>
      </c>
      <c r="D87" t="s">
        <v>13461</v>
      </c>
      <c r="E87" t="s">
        <v>13462</v>
      </c>
      <c r="F87" t="s">
        <v>13463</v>
      </c>
      <c r="G87" s="91" t="s">
        <v>13464</v>
      </c>
      <c r="H87" s="91" t="s">
        <v>13465</v>
      </c>
    </row>
    <row r="88" spans="1:8" x14ac:dyDescent="0.35">
      <c r="A88" s="92"/>
      <c r="B88" s="94"/>
      <c r="C88" t="s">
        <v>13466</v>
      </c>
      <c r="D88" t="s">
        <v>13467</v>
      </c>
      <c r="E88" t="s">
        <v>13468</v>
      </c>
      <c r="F88" t="s">
        <v>13469</v>
      </c>
      <c r="G88" s="91" t="s">
        <v>13470</v>
      </c>
      <c r="H88" s="91" t="s">
        <v>13471</v>
      </c>
    </row>
    <row r="89" spans="1:8" x14ac:dyDescent="0.35">
      <c r="A89" s="92"/>
      <c r="B89" s="94"/>
      <c r="C89" t="s">
        <v>13472</v>
      </c>
      <c r="D89" t="s">
        <v>13473</v>
      </c>
      <c r="E89" t="s">
        <v>13474</v>
      </c>
      <c r="F89" t="s">
        <v>13475</v>
      </c>
      <c r="G89" s="91" t="s">
        <v>13476</v>
      </c>
      <c r="H89" s="91" t="s">
        <v>13477</v>
      </c>
    </row>
    <row r="90" spans="1:8" x14ac:dyDescent="0.35">
      <c r="A90" s="92"/>
      <c r="B90" s="94"/>
      <c r="C90" t="s">
        <v>13478</v>
      </c>
      <c r="D90" t="s">
        <v>13479</v>
      </c>
      <c r="E90" t="s">
        <v>13480</v>
      </c>
      <c r="F90" t="s">
        <v>13481</v>
      </c>
      <c r="G90" s="91" t="s">
        <v>13482</v>
      </c>
      <c r="H90" s="91" t="s">
        <v>13483</v>
      </c>
    </row>
    <row r="91" spans="1:8" x14ac:dyDescent="0.35">
      <c r="A91" s="92"/>
      <c r="B91" s="94"/>
      <c r="C91" t="s">
        <v>13484</v>
      </c>
      <c r="D91" t="s">
        <v>13485</v>
      </c>
      <c r="E91" t="s">
        <v>13486</v>
      </c>
      <c r="F91" t="s">
        <v>13487</v>
      </c>
      <c r="G91" s="91" t="s">
        <v>13488</v>
      </c>
      <c r="H91" s="91" t="s">
        <v>13489</v>
      </c>
    </row>
    <row r="92" spans="1:8" x14ac:dyDescent="0.35">
      <c r="A92" s="95"/>
      <c r="B92" s="94" t="s">
        <v>13490</v>
      </c>
      <c r="C92" s="6" t="s">
        <v>13491</v>
      </c>
      <c r="D92" t="s">
        <v>13492</v>
      </c>
      <c r="E92" t="s">
        <v>13493</v>
      </c>
      <c r="F92" t="s">
        <v>13494</v>
      </c>
      <c r="G92" s="91" t="s">
        <v>13495</v>
      </c>
      <c r="H92" s="91" t="s">
        <v>13496</v>
      </c>
    </row>
    <row r="93" spans="1:8" x14ac:dyDescent="0.35">
      <c r="A93" s="95"/>
      <c r="B93" s="94"/>
      <c r="C93" s="6" t="s">
        <v>13497</v>
      </c>
      <c r="D93" t="s">
        <v>13498</v>
      </c>
      <c r="E93" t="s">
        <v>13499</v>
      </c>
      <c r="F93" t="s">
        <v>13500</v>
      </c>
      <c r="G93" s="91" t="s">
        <v>13501</v>
      </c>
      <c r="H93" s="91" t="s">
        <v>13502</v>
      </c>
    </row>
    <row r="94" spans="1:8" x14ac:dyDescent="0.35">
      <c r="A94" s="95"/>
      <c r="B94" s="94"/>
      <c r="C94" s="6" t="s">
        <v>13503</v>
      </c>
      <c r="D94" t="s">
        <v>13504</v>
      </c>
      <c r="E94" t="s">
        <v>13505</v>
      </c>
      <c r="F94" t="s">
        <v>13506</v>
      </c>
      <c r="G94" s="91" t="s">
        <v>13507</v>
      </c>
      <c r="H94" s="91" t="s">
        <v>13508</v>
      </c>
    </row>
    <row r="95" spans="1:8" x14ac:dyDescent="0.35">
      <c r="A95" s="95"/>
      <c r="B95" s="94"/>
      <c r="C95" s="6" t="s">
        <v>13509</v>
      </c>
      <c r="D95" t="s">
        <v>13510</v>
      </c>
      <c r="E95" t="s">
        <v>13511</v>
      </c>
      <c r="F95" t="s">
        <v>13512</v>
      </c>
      <c r="G95" s="91" t="s">
        <v>13513</v>
      </c>
      <c r="H95" s="91" t="s">
        <v>13514</v>
      </c>
    </row>
    <row r="96" spans="1:8" x14ac:dyDescent="0.35">
      <c r="A96" s="92" t="s">
        <v>13515</v>
      </c>
      <c r="B96" s="94"/>
      <c r="C96" s="6" t="s">
        <v>13516</v>
      </c>
      <c r="D96" t="s">
        <v>13517</v>
      </c>
      <c r="E96" t="s">
        <v>13518</v>
      </c>
      <c r="F96" t="s">
        <v>13519</v>
      </c>
      <c r="G96" s="91" t="s">
        <v>13520</v>
      </c>
      <c r="H96" s="91" t="s">
        <v>13521</v>
      </c>
    </row>
    <row r="97" spans="1:8" x14ac:dyDescent="0.35">
      <c r="A97" s="92"/>
      <c r="B97" s="94" t="s">
        <v>13522</v>
      </c>
      <c r="C97" s="6" t="s">
        <v>13523</v>
      </c>
      <c r="D97" t="s">
        <v>13524</v>
      </c>
      <c r="E97" t="s">
        <v>13525</v>
      </c>
      <c r="F97" t="s">
        <v>13526</v>
      </c>
      <c r="G97" s="91" t="s">
        <v>13527</v>
      </c>
      <c r="H97" s="91" t="s">
        <v>13528</v>
      </c>
    </row>
    <row r="98" spans="1:8" x14ac:dyDescent="0.35">
      <c r="A98" s="92"/>
      <c r="B98" s="94"/>
      <c r="C98" s="6" t="s">
        <v>13529</v>
      </c>
      <c r="D98" t="s">
        <v>13530</v>
      </c>
      <c r="E98" t="s">
        <v>13531</v>
      </c>
      <c r="F98" t="s">
        <v>13532</v>
      </c>
      <c r="G98" s="91" t="s">
        <v>13533</v>
      </c>
      <c r="H98" s="91" t="s">
        <v>13534</v>
      </c>
    </row>
    <row r="99" spans="1:8" x14ac:dyDescent="0.35">
      <c r="A99" s="92"/>
      <c r="B99" s="94"/>
      <c r="C99" s="6" t="s">
        <v>13535</v>
      </c>
      <c r="D99" t="s">
        <v>13536</v>
      </c>
      <c r="E99" t="s">
        <v>13537</v>
      </c>
      <c r="F99" t="s">
        <v>13538</v>
      </c>
      <c r="G99" s="91" t="s">
        <v>13539</v>
      </c>
      <c r="H99" s="91" t="s">
        <v>13540</v>
      </c>
    </row>
    <row r="100" spans="1:8" x14ac:dyDescent="0.35">
      <c r="A100" s="92"/>
      <c r="B100" s="94"/>
      <c r="C100" s="6" t="s">
        <v>13541</v>
      </c>
      <c r="D100" t="s">
        <v>13542</v>
      </c>
      <c r="E100" t="s">
        <v>13543</v>
      </c>
      <c r="F100" t="s">
        <v>13544</v>
      </c>
      <c r="G100" s="91" t="s">
        <v>13545</v>
      </c>
      <c r="H100" s="91" t="s">
        <v>13546</v>
      </c>
    </row>
    <row r="101" spans="1:8" x14ac:dyDescent="0.35">
      <c r="A101" s="92"/>
      <c r="B101" s="94"/>
      <c r="C101" s="6" t="s">
        <v>13547</v>
      </c>
      <c r="D101" t="s">
        <v>13548</v>
      </c>
      <c r="E101" t="s">
        <v>13549</v>
      </c>
      <c r="F101" t="s">
        <v>13550</v>
      </c>
      <c r="G101" s="91" t="s">
        <v>13551</v>
      </c>
      <c r="H101" s="91" t="s">
        <v>13552</v>
      </c>
    </row>
    <row r="102" spans="1:8" x14ac:dyDescent="0.35">
      <c r="A102" s="92"/>
      <c r="B102" s="94" t="s">
        <v>13553</v>
      </c>
      <c r="C102" s="6" t="s">
        <v>13554</v>
      </c>
      <c r="D102" t="s">
        <v>13555</v>
      </c>
      <c r="E102" t="s">
        <v>13556</v>
      </c>
      <c r="F102" t="s">
        <v>13557</v>
      </c>
      <c r="G102" s="91" t="s">
        <v>13558</v>
      </c>
      <c r="H102" s="91" t="s">
        <v>13559</v>
      </c>
    </row>
    <row r="103" spans="1:8" x14ac:dyDescent="0.35">
      <c r="A103" s="92"/>
      <c r="B103" s="94"/>
      <c r="C103" s="6" t="s">
        <v>13560</v>
      </c>
      <c r="D103" t="s">
        <v>13561</v>
      </c>
      <c r="E103" t="s">
        <v>13562</v>
      </c>
      <c r="F103" s="4" t="s">
        <v>13563</v>
      </c>
      <c r="G103" s="91" t="s">
        <v>13564</v>
      </c>
      <c r="H103" s="91" t="s">
        <v>13565</v>
      </c>
    </row>
    <row r="104" spans="1:8" x14ac:dyDescent="0.35">
      <c r="A104" s="92"/>
      <c r="B104" s="94"/>
      <c r="C104" s="6" t="s">
        <v>13566</v>
      </c>
      <c r="D104" t="s">
        <v>13567</v>
      </c>
      <c r="E104" t="s">
        <v>13568</v>
      </c>
      <c r="F104" s="4" t="s">
        <v>13569</v>
      </c>
      <c r="G104" s="91" t="s">
        <v>13570</v>
      </c>
      <c r="H104" s="91" t="s">
        <v>1619</v>
      </c>
    </row>
    <row r="105" spans="1:8" x14ac:dyDescent="0.35">
      <c r="A105" s="92"/>
      <c r="B105" s="94"/>
      <c r="C105" s="6" t="s">
        <v>13571</v>
      </c>
      <c r="D105" t="s">
        <v>13572</v>
      </c>
      <c r="E105" t="s">
        <v>13573</v>
      </c>
      <c r="F105" s="4" t="s">
        <v>13574</v>
      </c>
      <c r="G105" s="91" t="s">
        <v>13575</v>
      </c>
      <c r="H105" s="91" t="s">
        <v>13576</v>
      </c>
    </row>
    <row r="106" spans="1:8" x14ac:dyDescent="0.35">
      <c r="A106" s="92"/>
      <c r="B106" s="94"/>
      <c r="C106" s="6" t="s">
        <v>13577</v>
      </c>
      <c r="D106" t="s">
        <v>13578</v>
      </c>
      <c r="E106" t="s">
        <v>13579</v>
      </c>
      <c r="F106" s="4" t="s">
        <v>13580</v>
      </c>
      <c r="G106" s="91" t="s">
        <v>13581</v>
      </c>
      <c r="H106" s="91" t="s">
        <v>13582</v>
      </c>
    </row>
    <row r="107" spans="1:8" x14ac:dyDescent="0.35">
      <c r="A107" s="92"/>
      <c r="B107" s="94" t="s">
        <v>13583</v>
      </c>
      <c r="C107" t="s">
        <v>13584</v>
      </c>
      <c r="D107" t="s">
        <v>13585</v>
      </c>
      <c r="E107" t="s">
        <v>13586</v>
      </c>
      <c r="F107" s="7" t="s">
        <v>13587</v>
      </c>
      <c r="G107" s="91" t="s">
        <v>13588</v>
      </c>
      <c r="H107" s="91" t="s">
        <v>13589</v>
      </c>
    </row>
    <row r="108" spans="1:8" x14ac:dyDescent="0.35">
      <c r="A108" s="92"/>
      <c r="B108" s="94"/>
      <c r="C108" t="s">
        <v>13590</v>
      </c>
      <c r="D108" t="s">
        <v>13591</v>
      </c>
      <c r="E108" t="s">
        <v>13592</v>
      </c>
      <c r="F108" s="7" t="s">
        <v>13593</v>
      </c>
      <c r="G108" s="91" t="s">
        <v>13594</v>
      </c>
      <c r="H108" s="91" t="s">
        <v>13595</v>
      </c>
    </row>
    <row r="109" spans="1:8" x14ac:dyDescent="0.35">
      <c r="A109" s="92"/>
      <c r="B109" s="94"/>
      <c r="C109" t="s">
        <v>13596</v>
      </c>
      <c r="D109" t="s">
        <v>13597</v>
      </c>
      <c r="E109" t="s">
        <v>13598</v>
      </c>
      <c r="F109" s="7" t="s">
        <v>13599</v>
      </c>
      <c r="G109" s="91" t="s">
        <v>13600</v>
      </c>
      <c r="H109" s="91" t="s">
        <v>13601</v>
      </c>
    </row>
    <row r="110" spans="1:8" x14ac:dyDescent="0.35">
      <c r="A110" s="92"/>
      <c r="B110" s="94"/>
      <c r="C110" t="s">
        <v>13602</v>
      </c>
      <c r="D110" t="s">
        <v>13603</v>
      </c>
      <c r="E110" t="s">
        <v>13604</v>
      </c>
      <c r="F110" s="6" t="s">
        <v>13605</v>
      </c>
      <c r="G110" s="91" t="s">
        <v>13606</v>
      </c>
      <c r="H110" s="91" t="s">
        <v>13607</v>
      </c>
    </row>
    <row r="111" spans="1:8" x14ac:dyDescent="0.35">
      <c r="A111" s="92"/>
      <c r="B111" s="94"/>
      <c r="C111" t="s">
        <v>13608</v>
      </c>
      <c r="D111" t="s">
        <v>13609</v>
      </c>
      <c r="E111" t="s">
        <v>13610</v>
      </c>
      <c r="F111" s="6" t="s">
        <v>13611</v>
      </c>
      <c r="G111" s="91" t="s">
        <v>13612</v>
      </c>
      <c r="H111" s="91" t="s">
        <v>13613</v>
      </c>
    </row>
    <row r="112" spans="1:8" x14ac:dyDescent="0.35">
      <c r="A112" s="92"/>
      <c r="B112" s="94" t="s">
        <v>13614</v>
      </c>
      <c r="C112" t="s">
        <v>13615</v>
      </c>
      <c r="D112" t="s">
        <v>13616</v>
      </c>
      <c r="E112" t="s">
        <v>13617</v>
      </c>
      <c r="F112" s="4" t="s">
        <v>13618</v>
      </c>
      <c r="G112" s="91" t="s">
        <v>13619</v>
      </c>
      <c r="H112" s="91" t="s">
        <v>13620</v>
      </c>
    </row>
    <row r="113" spans="1:8" x14ac:dyDescent="0.35">
      <c r="A113" s="92"/>
      <c r="B113" s="94"/>
      <c r="C113" t="s">
        <v>13621</v>
      </c>
      <c r="D113" t="s">
        <v>13622</v>
      </c>
      <c r="E113" t="s">
        <v>13623</v>
      </c>
      <c r="F113" s="4" t="s">
        <v>13624</v>
      </c>
      <c r="G113" s="91" t="s">
        <v>13625</v>
      </c>
      <c r="H113" s="91" t="s">
        <v>13626</v>
      </c>
    </row>
    <row r="114" spans="1:8" x14ac:dyDescent="0.35">
      <c r="A114" s="92"/>
      <c r="B114" s="94"/>
      <c r="C114" t="s">
        <v>13627</v>
      </c>
      <c r="D114" t="s">
        <v>13628</v>
      </c>
      <c r="E114" t="s">
        <v>13629</v>
      </c>
      <c r="F114" s="4" t="s">
        <v>13630</v>
      </c>
      <c r="G114" s="91" t="s">
        <v>13631</v>
      </c>
      <c r="H114" s="91" t="s">
        <v>13632</v>
      </c>
    </row>
    <row r="115" spans="1:8" x14ac:dyDescent="0.35">
      <c r="A115" s="92"/>
      <c r="B115" s="94"/>
      <c r="C115" t="s">
        <v>13633</v>
      </c>
      <c r="D115" t="s">
        <v>13634</v>
      </c>
      <c r="E115" t="s">
        <v>13635</v>
      </c>
      <c r="F115" t="s">
        <v>13636</v>
      </c>
      <c r="G115" s="91" t="s">
        <v>13637</v>
      </c>
      <c r="H115" s="91" t="s">
        <v>13638</v>
      </c>
    </row>
    <row r="116" spans="1:8" x14ac:dyDescent="0.35">
      <c r="A116" s="92"/>
      <c r="B116" s="94"/>
      <c r="C116" t="s">
        <v>13639</v>
      </c>
      <c r="D116" t="s">
        <v>13640</v>
      </c>
      <c r="E116" t="s">
        <v>13641</v>
      </c>
      <c r="F116" t="s">
        <v>13642</v>
      </c>
      <c r="G116" s="91" t="s">
        <v>13643</v>
      </c>
      <c r="H116" s="91" t="s">
        <v>13644</v>
      </c>
    </row>
    <row r="117" spans="1:8" x14ac:dyDescent="0.35">
      <c r="A117" s="92"/>
      <c r="B117" s="94" t="s">
        <v>13645</v>
      </c>
      <c r="C117" t="s">
        <v>13646</v>
      </c>
      <c r="D117" t="s">
        <v>13647</v>
      </c>
      <c r="E117" t="s">
        <v>13648</v>
      </c>
      <c r="F117" s="7" t="s">
        <v>13649</v>
      </c>
      <c r="G117" s="91" t="s">
        <v>13650</v>
      </c>
      <c r="H117" s="91" t="s">
        <v>13651</v>
      </c>
    </row>
    <row r="118" spans="1:8" x14ac:dyDescent="0.35">
      <c r="A118" s="92"/>
      <c r="B118" s="94"/>
      <c r="C118" t="s">
        <v>13652</v>
      </c>
      <c r="D118" t="s">
        <v>13653</v>
      </c>
      <c r="E118" t="s">
        <v>13654</v>
      </c>
      <c r="F118" s="6" t="s">
        <v>13655</v>
      </c>
      <c r="G118" s="91" t="s">
        <v>13656</v>
      </c>
      <c r="H118" s="91" t="s">
        <v>13657</v>
      </c>
    </row>
    <row r="119" spans="1:8" x14ac:dyDescent="0.35">
      <c r="A119" s="92"/>
      <c r="B119" s="94"/>
      <c r="C119" t="s">
        <v>13658</v>
      </c>
      <c r="D119" t="s">
        <v>13659</v>
      </c>
      <c r="E119" t="s">
        <v>13660</v>
      </c>
      <c r="F119" s="7" t="s">
        <v>13661</v>
      </c>
      <c r="G119" s="91" t="s">
        <v>13662</v>
      </c>
      <c r="H119" s="91" t="s">
        <v>13663</v>
      </c>
    </row>
    <row r="120" spans="1:8" x14ac:dyDescent="0.35">
      <c r="A120" s="92"/>
      <c r="B120" s="94"/>
      <c r="C120" t="s">
        <v>13664</v>
      </c>
      <c r="D120" t="s">
        <v>13665</v>
      </c>
      <c r="E120" t="s">
        <v>13666</v>
      </c>
      <c r="F120" s="6" t="s">
        <v>13667</v>
      </c>
      <c r="G120" s="91" t="s">
        <v>13668</v>
      </c>
      <c r="H120" s="91" t="s">
        <v>13669</v>
      </c>
    </row>
    <row r="121" spans="1:8" x14ac:dyDescent="0.35">
      <c r="A121" s="92"/>
      <c r="B121" s="94"/>
      <c r="C121" t="s">
        <v>13670</v>
      </c>
      <c r="D121" t="s">
        <v>13671</v>
      </c>
      <c r="E121" t="s">
        <v>13672</v>
      </c>
      <c r="F121" s="6" t="s">
        <v>13673</v>
      </c>
      <c r="G121" s="91" t="s">
        <v>13674</v>
      </c>
      <c r="H121" s="91" t="s">
        <v>13675</v>
      </c>
    </row>
    <row r="122" spans="1:8" x14ac:dyDescent="0.35">
      <c r="A122" s="92"/>
      <c r="B122" s="94" t="s">
        <v>13676</v>
      </c>
      <c r="C122" s="6" t="s">
        <v>13677</v>
      </c>
      <c r="D122" s="6" t="s">
        <v>13678</v>
      </c>
      <c r="E122" t="s">
        <v>13679</v>
      </c>
      <c r="F122" s="4" t="s">
        <v>13680</v>
      </c>
      <c r="G122" s="91" t="s">
        <v>13681</v>
      </c>
      <c r="H122" s="91" t="s">
        <v>13682</v>
      </c>
    </row>
    <row r="123" spans="1:8" x14ac:dyDescent="0.35">
      <c r="A123" s="92"/>
      <c r="B123" s="94"/>
      <c r="C123" s="6" t="s">
        <v>13683</v>
      </c>
      <c r="D123" s="6" t="s">
        <v>13684</v>
      </c>
      <c r="E123" t="s">
        <v>13685</v>
      </c>
      <c r="F123" s="4" t="s">
        <v>13686</v>
      </c>
      <c r="G123" s="91" t="s">
        <v>13687</v>
      </c>
      <c r="H123" s="91" t="s">
        <v>13688</v>
      </c>
    </row>
    <row r="124" spans="1:8" x14ac:dyDescent="0.35">
      <c r="A124" s="92"/>
      <c r="B124" s="94"/>
      <c r="C124" s="6" t="s">
        <v>13689</v>
      </c>
      <c r="D124" s="6" t="s">
        <v>13690</v>
      </c>
      <c r="E124" t="s">
        <v>13691</v>
      </c>
      <c r="F124" s="4" t="s">
        <v>13692</v>
      </c>
      <c r="G124" s="91" t="s">
        <v>13693</v>
      </c>
      <c r="H124" s="91" t="s">
        <v>13694</v>
      </c>
    </row>
    <row r="125" spans="1:8" x14ac:dyDescent="0.35">
      <c r="A125" s="92"/>
      <c r="B125" s="94"/>
      <c r="C125" s="6" t="s">
        <v>13695</v>
      </c>
      <c r="D125" s="6" t="s">
        <v>13696</v>
      </c>
      <c r="E125" t="s">
        <v>13697</v>
      </c>
      <c r="F125" t="s">
        <v>13698</v>
      </c>
      <c r="G125" s="91" t="s">
        <v>13699</v>
      </c>
      <c r="H125" s="91" t="s">
        <v>13700</v>
      </c>
    </row>
    <row r="126" spans="1:8" x14ac:dyDescent="0.35">
      <c r="A126" s="92"/>
      <c r="B126" s="94"/>
      <c r="C126" s="6" t="s">
        <v>13701</v>
      </c>
      <c r="D126" s="6" t="s">
        <v>13702</v>
      </c>
      <c r="E126" t="s">
        <v>13703</v>
      </c>
      <c r="F126" s="4" t="s">
        <v>13704</v>
      </c>
      <c r="G126" s="91" t="s">
        <v>13705</v>
      </c>
      <c r="H126" s="91" t="s">
        <v>13706</v>
      </c>
    </row>
    <row r="127" spans="1:8" x14ac:dyDescent="0.35">
      <c r="A127" s="92"/>
      <c r="B127" s="94" t="s">
        <v>13707</v>
      </c>
      <c r="C127" t="s">
        <v>13708</v>
      </c>
      <c r="D127" t="s">
        <v>13709</v>
      </c>
      <c r="E127" s="4" t="s">
        <v>13710</v>
      </c>
      <c r="F127" s="4" t="s">
        <v>13711</v>
      </c>
      <c r="G127" s="91" t="s">
        <v>13712</v>
      </c>
      <c r="H127" s="91" t="s">
        <v>13713</v>
      </c>
    </row>
    <row r="128" spans="1:8" x14ac:dyDescent="0.35">
      <c r="A128" s="92"/>
      <c r="B128" s="94"/>
      <c r="C128" t="s">
        <v>13714</v>
      </c>
      <c r="D128" t="s">
        <v>13715</v>
      </c>
      <c r="E128" s="4" t="s">
        <v>13716</v>
      </c>
      <c r="F128" s="4" t="s">
        <v>13717</v>
      </c>
      <c r="G128" s="91" t="s">
        <v>13718</v>
      </c>
      <c r="H128" s="91" t="s">
        <v>13719</v>
      </c>
    </row>
    <row r="129" spans="1:8" x14ac:dyDescent="0.35">
      <c r="A129" s="92"/>
      <c r="B129" s="94"/>
      <c r="C129" t="s">
        <v>13720</v>
      </c>
      <c r="D129" t="s">
        <v>13721</v>
      </c>
      <c r="E129" s="4" t="s">
        <v>13722</v>
      </c>
      <c r="F129" s="4" t="s">
        <v>13723</v>
      </c>
      <c r="G129" s="91" t="s">
        <v>13724</v>
      </c>
      <c r="H129" s="91" t="s">
        <v>13725</v>
      </c>
    </row>
    <row r="130" spans="1:8" x14ac:dyDescent="0.35">
      <c r="A130" s="92"/>
      <c r="B130" s="94"/>
      <c r="C130" t="s">
        <v>13726</v>
      </c>
      <c r="D130" t="s">
        <v>13727</v>
      </c>
      <c r="E130" s="4" t="s">
        <v>13728</v>
      </c>
      <c r="F130" t="s">
        <v>13729</v>
      </c>
      <c r="G130" s="91" t="s">
        <v>13730</v>
      </c>
      <c r="H130" s="91" t="s">
        <v>13731</v>
      </c>
    </row>
    <row r="131" spans="1:8" x14ac:dyDescent="0.35">
      <c r="A131" s="92"/>
      <c r="B131" s="94"/>
      <c r="C131" t="s">
        <v>13732</v>
      </c>
      <c r="D131" t="s">
        <v>13733</v>
      </c>
      <c r="E131" s="4" t="s">
        <v>13734</v>
      </c>
      <c r="F131" s="4" t="s">
        <v>13735</v>
      </c>
      <c r="G131" s="91" t="s">
        <v>13736</v>
      </c>
      <c r="H131" s="91" t="s">
        <v>13737</v>
      </c>
    </row>
    <row r="132" spans="1:8" x14ac:dyDescent="0.35">
      <c r="A132" s="92"/>
      <c r="B132" s="94" t="s">
        <v>13738</v>
      </c>
      <c r="C132" t="s">
        <v>13739</v>
      </c>
      <c r="D132" t="s">
        <v>13740</v>
      </c>
      <c r="E132" t="s">
        <v>13741</v>
      </c>
      <c r="F132" s="7" t="s">
        <v>13742</v>
      </c>
      <c r="G132" s="91" t="s">
        <v>13743</v>
      </c>
      <c r="H132" s="91" t="s">
        <v>13744</v>
      </c>
    </row>
    <row r="133" spans="1:8" x14ac:dyDescent="0.35">
      <c r="A133" s="92"/>
      <c r="B133" s="94"/>
      <c r="C133" t="s">
        <v>13745</v>
      </c>
      <c r="D133" t="s">
        <v>13746</v>
      </c>
      <c r="E133" t="s">
        <v>13747</v>
      </c>
      <c r="F133" s="7" t="s">
        <v>13748</v>
      </c>
      <c r="G133" s="91" t="s">
        <v>13749</v>
      </c>
      <c r="H133" s="91" t="s">
        <v>13750</v>
      </c>
    </row>
    <row r="134" spans="1:8" x14ac:dyDescent="0.35">
      <c r="A134" s="92"/>
      <c r="B134" s="94"/>
      <c r="C134" t="s">
        <v>13751</v>
      </c>
      <c r="D134" t="s">
        <v>13752</v>
      </c>
      <c r="E134" s="4" t="s">
        <v>13753</v>
      </c>
      <c r="F134" s="7" t="s">
        <v>13754</v>
      </c>
      <c r="G134" s="91" t="s">
        <v>13755</v>
      </c>
      <c r="H134" s="91" t="s">
        <v>13756</v>
      </c>
    </row>
    <row r="135" spans="1:8" x14ac:dyDescent="0.35">
      <c r="A135" s="92"/>
      <c r="B135" s="94"/>
      <c r="C135" t="s">
        <v>13757</v>
      </c>
      <c r="D135" t="s">
        <v>13758</v>
      </c>
      <c r="E135" s="4" t="s">
        <v>13759</v>
      </c>
      <c r="F135" s="7" t="s">
        <v>13760</v>
      </c>
      <c r="G135" s="91" t="s">
        <v>13761</v>
      </c>
      <c r="H135" s="91" t="s">
        <v>13762</v>
      </c>
    </row>
    <row r="136" spans="1:8" x14ac:dyDescent="0.35">
      <c r="A136" s="92"/>
      <c r="B136" s="94"/>
      <c r="C136" t="s">
        <v>13763</v>
      </c>
      <c r="D136" t="s">
        <v>13764</v>
      </c>
      <c r="E136" t="s">
        <v>13765</v>
      </c>
      <c r="F136" s="7" t="s">
        <v>13766</v>
      </c>
      <c r="G136" s="91" t="s">
        <v>13767</v>
      </c>
      <c r="H136" s="91" t="s">
        <v>13768</v>
      </c>
    </row>
    <row r="137" spans="1:8" ht="17.5" x14ac:dyDescent="0.45">
      <c r="A137" s="92"/>
      <c r="B137" s="94" t="s">
        <v>13769</v>
      </c>
      <c r="C137" s="96" t="s">
        <v>13770</v>
      </c>
      <c r="D137" s="91" t="s">
        <v>13771</v>
      </c>
      <c r="E137" s="91" t="s">
        <v>13772</v>
      </c>
      <c r="F137" s="91" t="s">
        <v>13773</v>
      </c>
      <c r="G137" s="91" t="s">
        <v>13774</v>
      </c>
      <c r="H137" s="91" t="s">
        <v>13775</v>
      </c>
    </row>
    <row r="138" spans="1:8" ht="17.5" x14ac:dyDescent="0.45">
      <c r="A138" s="92"/>
      <c r="B138" s="94"/>
      <c r="C138" s="96" t="s">
        <v>13776</v>
      </c>
      <c r="D138" s="91" t="s">
        <v>13777</v>
      </c>
      <c r="E138" s="91" t="s">
        <v>13778</v>
      </c>
      <c r="F138" s="91" t="s">
        <v>13779</v>
      </c>
      <c r="G138" s="91" t="s">
        <v>13780</v>
      </c>
      <c r="H138" s="91" t="s">
        <v>13781</v>
      </c>
    </row>
    <row r="139" spans="1:8" ht="17.5" x14ac:dyDescent="0.45">
      <c r="A139" s="92"/>
      <c r="B139" s="94"/>
      <c r="C139" s="96" t="s">
        <v>13782</v>
      </c>
      <c r="D139" s="91" t="s">
        <v>13783</v>
      </c>
      <c r="E139" s="91" t="s">
        <v>13784</v>
      </c>
      <c r="F139" s="91" t="s">
        <v>13785</v>
      </c>
      <c r="G139" s="91" t="s">
        <v>13786</v>
      </c>
      <c r="H139" s="91" t="s">
        <v>13787</v>
      </c>
    </row>
    <row r="140" spans="1:8" ht="17.5" x14ac:dyDescent="0.45">
      <c r="A140" s="92"/>
      <c r="B140" s="94"/>
      <c r="C140" s="96" t="s">
        <v>13788</v>
      </c>
      <c r="D140" s="91" t="s">
        <v>13789</v>
      </c>
      <c r="E140" s="91" t="s">
        <v>13790</v>
      </c>
      <c r="F140" s="91" t="s">
        <v>13791</v>
      </c>
      <c r="G140" s="91" t="s">
        <v>13792</v>
      </c>
      <c r="H140" s="91" t="s">
        <v>13793</v>
      </c>
    </row>
    <row r="141" spans="1:8" ht="17.5" x14ac:dyDescent="0.45">
      <c r="A141" s="92"/>
      <c r="B141" s="94"/>
      <c r="C141" s="96" t="s">
        <v>13794</v>
      </c>
      <c r="D141" s="91" t="s">
        <v>13795</v>
      </c>
      <c r="E141" s="91" t="s">
        <v>13796</v>
      </c>
      <c r="F141" s="91" t="s">
        <v>13797</v>
      </c>
      <c r="G141" s="91" t="s">
        <v>13798</v>
      </c>
      <c r="H141" s="91" t="s">
        <v>13799</v>
      </c>
    </row>
    <row r="142" spans="1:8" ht="17.5" x14ac:dyDescent="0.45">
      <c r="A142" s="92"/>
      <c r="B142" s="94" t="s">
        <v>13800</v>
      </c>
      <c r="C142" s="96" t="s">
        <v>13801</v>
      </c>
      <c r="D142" s="91" t="s">
        <v>13802</v>
      </c>
      <c r="E142" s="91" t="s">
        <v>13803</v>
      </c>
      <c r="F142" s="91" t="s">
        <v>13804</v>
      </c>
      <c r="G142" s="91" t="s">
        <v>13805</v>
      </c>
      <c r="H142" s="91" t="s">
        <v>13806</v>
      </c>
    </row>
    <row r="143" spans="1:8" ht="17.5" x14ac:dyDescent="0.45">
      <c r="A143" s="92"/>
      <c r="B143" s="94"/>
      <c r="C143" s="96" t="s">
        <v>13807</v>
      </c>
      <c r="D143" s="91" t="s">
        <v>13808</v>
      </c>
      <c r="E143" s="91" t="s">
        <v>13809</v>
      </c>
      <c r="F143" s="91" t="s">
        <v>13810</v>
      </c>
      <c r="G143" s="91" t="s">
        <v>13811</v>
      </c>
      <c r="H143" s="91" t="s">
        <v>13812</v>
      </c>
    </row>
    <row r="144" spans="1:8" ht="17.5" x14ac:dyDescent="0.45">
      <c r="A144" s="92"/>
      <c r="B144" s="94"/>
      <c r="C144" s="96" t="s">
        <v>13813</v>
      </c>
      <c r="D144" s="91" t="s">
        <v>13814</v>
      </c>
      <c r="E144" s="91" t="s">
        <v>13815</v>
      </c>
      <c r="F144" s="91" t="s">
        <v>13816</v>
      </c>
      <c r="G144" s="91" t="s">
        <v>13817</v>
      </c>
      <c r="H144" s="91" t="s">
        <v>13818</v>
      </c>
    </row>
    <row r="145" spans="1:8" ht="17.5" x14ac:dyDescent="0.45">
      <c r="A145" s="92"/>
      <c r="B145" s="94"/>
      <c r="C145" s="96" t="s">
        <v>13819</v>
      </c>
      <c r="D145" s="91" t="s">
        <v>13820</v>
      </c>
      <c r="E145" s="91" t="s">
        <v>13821</v>
      </c>
      <c r="F145" s="91" t="s">
        <v>13822</v>
      </c>
      <c r="G145" s="91" t="s">
        <v>13823</v>
      </c>
      <c r="H145" s="91" t="s">
        <v>13824</v>
      </c>
    </row>
    <row r="146" spans="1:8" ht="17.5" x14ac:dyDescent="0.45">
      <c r="A146" s="92"/>
      <c r="B146" s="94"/>
      <c r="C146" s="96" t="s">
        <v>13825</v>
      </c>
      <c r="D146" s="91" t="s">
        <v>13826</v>
      </c>
      <c r="E146" s="91" t="s">
        <v>13827</v>
      </c>
      <c r="F146" s="91" t="s">
        <v>13828</v>
      </c>
      <c r="G146" s="91" t="s">
        <v>13829</v>
      </c>
      <c r="H146" s="91" t="s">
        <v>13830</v>
      </c>
    </row>
    <row r="147" spans="1:8" ht="17.5" x14ac:dyDescent="0.45">
      <c r="A147" s="92"/>
      <c r="B147" s="94" t="s">
        <v>13831</v>
      </c>
      <c r="C147" s="96" t="s">
        <v>13832</v>
      </c>
      <c r="D147" s="91" t="s">
        <v>13833</v>
      </c>
      <c r="E147" s="91" t="s">
        <v>13834</v>
      </c>
      <c r="F147" s="91" t="s">
        <v>13835</v>
      </c>
      <c r="G147" s="91" t="s">
        <v>13836</v>
      </c>
      <c r="H147" s="91" t="s">
        <v>13837</v>
      </c>
    </row>
    <row r="148" spans="1:8" ht="17.5" x14ac:dyDescent="0.45">
      <c r="A148" s="92"/>
      <c r="B148" s="94"/>
      <c r="C148" s="96" t="s">
        <v>13838</v>
      </c>
      <c r="D148" s="91" t="s">
        <v>13839</v>
      </c>
      <c r="E148" s="91" t="s">
        <v>13840</v>
      </c>
      <c r="F148" s="91" t="s">
        <v>13841</v>
      </c>
      <c r="G148" s="91" t="s">
        <v>13842</v>
      </c>
      <c r="H148" s="91" t="s">
        <v>13843</v>
      </c>
    </row>
    <row r="149" spans="1:8" ht="17.5" x14ac:dyDescent="0.45">
      <c r="A149" s="92"/>
      <c r="B149" s="94"/>
      <c r="C149" s="96" t="s">
        <v>13844</v>
      </c>
      <c r="D149" s="91" t="s">
        <v>13845</v>
      </c>
      <c r="E149" s="91" t="s">
        <v>13846</v>
      </c>
      <c r="F149" s="91" t="s">
        <v>13847</v>
      </c>
      <c r="G149" s="91" t="s">
        <v>13848</v>
      </c>
      <c r="H149" s="91" t="s">
        <v>13849</v>
      </c>
    </row>
    <row r="150" spans="1:8" ht="17.5" x14ac:dyDescent="0.45">
      <c r="A150" s="92"/>
      <c r="B150" s="94"/>
      <c r="C150" s="96" t="s">
        <v>13850</v>
      </c>
      <c r="D150" s="91" t="s">
        <v>13851</v>
      </c>
      <c r="E150" s="91" t="s">
        <v>13852</v>
      </c>
      <c r="F150" s="91" t="s">
        <v>13853</v>
      </c>
      <c r="G150" s="91" t="s">
        <v>13854</v>
      </c>
      <c r="H150" s="91" t="s">
        <v>13855</v>
      </c>
    </row>
    <row r="151" spans="1:8" ht="17.5" x14ac:dyDescent="0.45">
      <c r="A151" s="92"/>
      <c r="B151" s="94"/>
      <c r="C151" s="96" t="s">
        <v>13856</v>
      </c>
      <c r="D151" s="91" t="s">
        <v>13857</v>
      </c>
      <c r="E151" s="91" t="s">
        <v>13858</v>
      </c>
      <c r="F151" s="91" t="s">
        <v>13859</v>
      </c>
      <c r="G151" s="91" t="s">
        <v>13860</v>
      </c>
      <c r="H151" s="91" t="s">
        <v>13861</v>
      </c>
    </row>
    <row r="152" spans="1:8" ht="17.5" x14ac:dyDescent="0.45">
      <c r="A152" s="92"/>
      <c r="B152" s="94" t="s">
        <v>13862</v>
      </c>
      <c r="C152" s="96" t="s">
        <v>13863</v>
      </c>
      <c r="D152" s="91" t="s">
        <v>13864</v>
      </c>
      <c r="E152" s="91" t="s">
        <v>13865</v>
      </c>
      <c r="F152" s="91" t="s">
        <v>13866</v>
      </c>
      <c r="G152" s="91" t="s">
        <v>13867</v>
      </c>
      <c r="H152" s="91" t="s">
        <v>13868</v>
      </c>
    </row>
    <row r="153" spans="1:8" ht="17.5" x14ac:dyDescent="0.45">
      <c r="A153" s="92"/>
      <c r="B153" s="94"/>
      <c r="C153" s="96" t="s">
        <v>13869</v>
      </c>
      <c r="D153" s="91" t="s">
        <v>13870</v>
      </c>
      <c r="E153" s="91" t="s">
        <v>13871</v>
      </c>
      <c r="F153" s="91" t="s">
        <v>13872</v>
      </c>
      <c r="G153" s="91" t="s">
        <v>13873</v>
      </c>
      <c r="H153" s="91" t="s">
        <v>13874</v>
      </c>
    </row>
    <row r="154" spans="1:8" ht="17.5" x14ac:dyDescent="0.45">
      <c r="A154" s="92"/>
      <c r="B154" s="94"/>
      <c r="C154" s="96" t="s">
        <v>13875</v>
      </c>
      <c r="D154" s="91" t="s">
        <v>13876</v>
      </c>
      <c r="E154" s="91" t="s">
        <v>13877</v>
      </c>
      <c r="F154" s="91" t="s">
        <v>13878</v>
      </c>
      <c r="G154" s="91" t="s">
        <v>13879</v>
      </c>
      <c r="H154" s="91" t="s">
        <v>13880</v>
      </c>
    </row>
    <row r="155" spans="1:8" ht="17.5" x14ac:dyDescent="0.45">
      <c r="A155" s="92"/>
      <c r="B155" s="94"/>
      <c r="C155" s="96" t="s">
        <v>13881</v>
      </c>
      <c r="D155" s="91" t="s">
        <v>13882</v>
      </c>
      <c r="E155" s="91" t="s">
        <v>13883</v>
      </c>
      <c r="F155" s="91" t="s">
        <v>13884</v>
      </c>
      <c r="G155" s="91" t="s">
        <v>13885</v>
      </c>
      <c r="H155" s="91" t="s">
        <v>13886</v>
      </c>
    </row>
    <row r="156" spans="1:8" ht="17.5" x14ac:dyDescent="0.45">
      <c r="A156" s="92"/>
      <c r="B156" s="94"/>
      <c r="C156" s="96" t="s">
        <v>13887</v>
      </c>
      <c r="D156" s="91" t="s">
        <v>13888</v>
      </c>
      <c r="E156" s="91" t="s">
        <v>13889</v>
      </c>
      <c r="F156" s="91" t="s">
        <v>13890</v>
      </c>
      <c r="G156" s="91" t="s">
        <v>13891</v>
      </c>
      <c r="H156" s="91" t="s">
        <v>13892</v>
      </c>
    </row>
    <row r="157" spans="1:8" ht="17.5" x14ac:dyDescent="0.45">
      <c r="A157" s="92"/>
      <c r="B157" s="94" t="s">
        <v>13893</v>
      </c>
      <c r="C157" s="96" t="s">
        <v>13894</v>
      </c>
      <c r="D157" s="91" t="s">
        <v>13895</v>
      </c>
      <c r="E157" s="91" t="s">
        <v>13896</v>
      </c>
      <c r="F157" s="91" t="s">
        <v>13897</v>
      </c>
      <c r="G157" s="91" t="s">
        <v>13898</v>
      </c>
      <c r="H157" s="91" t="s">
        <v>13899</v>
      </c>
    </row>
    <row r="158" spans="1:8" ht="17.5" x14ac:dyDescent="0.45">
      <c r="A158" s="92"/>
      <c r="B158" s="94"/>
      <c r="C158" s="96" t="s">
        <v>13900</v>
      </c>
      <c r="D158" s="91" t="s">
        <v>13901</v>
      </c>
      <c r="E158" s="91" t="s">
        <v>13902</v>
      </c>
      <c r="F158" s="91" t="s">
        <v>13903</v>
      </c>
      <c r="G158" s="91" t="s">
        <v>13904</v>
      </c>
      <c r="H158" s="91" t="s">
        <v>13905</v>
      </c>
    </row>
    <row r="159" spans="1:8" ht="17.5" x14ac:dyDescent="0.45">
      <c r="A159" s="92"/>
      <c r="B159" s="94"/>
      <c r="C159" s="96" t="s">
        <v>13906</v>
      </c>
      <c r="D159" s="91" t="s">
        <v>13907</v>
      </c>
      <c r="E159" s="91" t="s">
        <v>13908</v>
      </c>
      <c r="F159" s="91" t="s">
        <v>13909</v>
      </c>
      <c r="G159" s="91" t="s">
        <v>13910</v>
      </c>
      <c r="H159" s="91" t="s">
        <v>13911</v>
      </c>
    </row>
    <row r="160" spans="1:8" ht="17.5" x14ac:dyDescent="0.45">
      <c r="A160" s="92"/>
      <c r="B160" s="94"/>
      <c r="C160" s="96" t="s">
        <v>13912</v>
      </c>
      <c r="D160" s="91" t="s">
        <v>13913</v>
      </c>
      <c r="E160" s="91" t="s">
        <v>13914</v>
      </c>
      <c r="F160" s="91" t="s">
        <v>13915</v>
      </c>
      <c r="G160" s="91" t="s">
        <v>13916</v>
      </c>
      <c r="H160" s="91" t="s">
        <v>13917</v>
      </c>
    </row>
    <row r="161" spans="1:8" ht="17.5" x14ac:dyDescent="0.45">
      <c r="A161" s="92"/>
      <c r="B161" s="94"/>
      <c r="C161" s="96" t="s">
        <v>13918</v>
      </c>
      <c r="D161" s="91" t="s">
        <v>13919</v>
      </c>
      <c r="E161" s="91" t="s">
        <v>13920</v>
      </c>
      <c r="F161" s="91" t="s">
        <v>13921</v>
      </c>
      <c r="G161" s="91" t="s">
        <v>13922</v>
      </c>
      <c r="H161" s="91" t="s">
        <v>13923</v>
      </c>
    </row>
    <row r="162" spans="1:8" ht="17.5" x14ac:dyDescent="0.45">
      <c r="A162" s="92"/>
      <c r="B162" s="94" t="s">
        <v>13924</v>
      </c>
      <c r="C162" s="96" t="s">
        <v>13925</v>
      </c>
      <c r="D162" s="91" t="s">
        <v>13926</v>
      </c>
      <c r="E162" s="91" t="s">
        <v>13846</v>
      </c>
      <c r="F162" s="91" t="s">
        <v>13927</v>
      </c>
      <c r="G162" s="91" t="s">
        <v>13928</v>
      </c>
      <c r="H162" s="91" t="s">
        <v>13929</v>
      </c>
    </row>
    <row r="163" spans="1:8" ht="17.5" x14ac:dyDescent="0.45">
      <c r="A163" s="92"/>
      <c r="B163" s="94"/>
      <c r="C163" s="96" t="s">
        <v>13930</v>
      </c>
      <c r="D163" s="91" t="s">
        <v>13931</v>
      </c>
      <c r="E163" s="91" t="s">
        <v>13932</v>
      </c>
      <c r="F163" s="91" t="s">
        <v>13933</v>
      </c>
      <c r="G163" s="91" t="s">
        <v>13934</v>
      </c>
      <c r="H163" s="91" t="s">
        <v>13935</v>
      </c>
    </row>
    <row r="164" spans="1:8" ht="17.5" x14ac:dyDescent="0.45">
      <c r="A164" s="92"/>
      <c r="B164" s="94"/>
      <c r="C164" s="96" t="s">
        <v>13936</v>
      </c>
      <c r="D164" s="91" t="s">
        <v>13937</v>
      </c>
      <c r="E164" s="91" t="s">
        <v>10727</v>
      </c>
      <c r="F164" s="91" t="s">
        <v>13938</v>
      </c>
      <c r="G164" s="91" t="s">
        <v>13939</v>
      </c>
      <c r="H164" s="91" t="s">
        <v>13940</v>
      </c>
    </row>
    <row r="165" spans="1:8" ht="17.5" x14ac:dyDescent="0.45">
      <c r="A165" s="92"/>
      <c r="B165" s="94"/>
      <c r="C165" s="96" t="s">
        <v>13941</v>
      </c>
      <c r="D165" s="91" t="s">
        <v>13942</v>
      </c>
      <c r="E165" s="91" t="s">
        <v>13943</v>
      </c>
      <c r="F165" s="91" t="s">
        <v>13944</v>
      </c>
      <c r="G165" s="91" t="s">
        <v>13945</v>
      </c>
      <c r="H165" s="91" t="s">
        <v>13946</v>
      </c>
    </row>
    <row r="166" spans="1:8" ht="17.5" x14ac:dyDescent="0.45">
      <c r="A166" s="92"/>
      <c r="B166" s="94"/>
      <c r="C166" s="96" t="s">
        <v>13947</v>
      </c>
      <c r="D166" s="91" t="s">
        <v>13948</v>
      </c>
      <c r="E166" s="91" t="s">
        <v>13949</v>
      </c>
      <c r="F166" s="91" t="s">
        <v>13950</v>
      </c>
      <c r="G166" s="91" t="s">
        <v>13951</v>
      </c>
      <c r="H166" s="91" t="s">
        <v>13952</v>
      </c>
    </row>
    <row r="167" spans="1:8" ht="17.5" x14ac:dyDescent="0.45">
      <c r="A167" s="92"/>
      <c r="B167" s="97" t="s">
        <v>13953</v>
      </c>
      <c r="C167" s="96" t="s">
        <v>13954</v>
      </c>
      <c r="D167" s="91" t="s">
        <v>13955</v>
      </c>
      <c r="E167" s="91" t="s">
        <v>13956</v>
      </c>
      <c r="F167" s="91" t="s">
        <v>13957</v>
      </c>
      <c r="G167" s="91" t="s">
        <v>13958</v>
      </c>
      <c r="H167" s="91" t="s">
        <v>13959</v>
      </c>
    </row>
    <row r="168" spans="1:8" ht="17.5" x14ac:dyDescent="0.45">
      <c r="A168" s="92"/>
      <c r="B168" s="97"/>
      <c r="C168" s="96" t="s">
        <v>13960</v>
      </c>
      <c r="D168" s="91" t="s">
        <v>13961</v>
      </c>
      <c r="E168" s="91" t="s">
        <v>8624</v>
      </c>
      <c r="F168" s="91" t="s">
        <v>13962</v>
      </c>
      <c r="G168" s="91" t="s">
        <v>13963</v>
      </c>
      <c r="H168" s="91" t="s">
        <v>13964</v>
      </c>
    </row>
    <row r="169" spans="1:8" ht="17.5" x14ac:dyDescent="0.45">
      <c r="A169" s="92"/>
      <c r="B169" s="97"/>
      <c r="C169" s="96" t="s">
        <v>13965</v>
      </c>
      <c r="D169" s="91" t="s">
        <v>13966</v>
      </c>
      <c r="E169" s="91" t="s">
        <v>13967</v>
      </c>
      <c r="F169" s="91" t="s">
        <v>13968</v>
      </c>
      <c r="G169" s="91" t="s">
        <v>13969</v>
      </c>
      <c r="H169" s="91" t="s">
        <v>13970</v>
      </c>
    </row>
    <row r="170" spans="1:8" ht="17.5" x14ac:dyDescent="0.45">
      <c r="A170" s="92"/>
      <c r="B170" s="97"/>
      <c r="C170" s="96" t="s">
        <v>13971</v>
      </c>
      <c r="D170" s="91" t="s">
        <v>13972</v>
      </c>
      <c r="E170" s="91" t="s">
        <v>13973</v>
      </c>
      <c r="F170" s="91" t="s">
        <v>13974</v>
      </c>
      <c r="G170" s="91" t="s">
        <v>13975</v>
      </c>
      <c r="H170" s="91" t="s">
        <v>13976</v>
      </c>
    </row>
    <row r="171" spans="1:8" ht="17.5" x14ac:dyDescent="0.45">
      <c r="A171" s="92"/>
      <c r="B171" s="97"/>
      <c r="C171" s="96" t="s">
        <v>13977</v>
      </c>
      <c r="D171" s="91" t="s">
        <v>13978</v>
      </c>
      <c r="E171" s="91" t="s">
        <v>13979</v>
      </c>
      <c r="F171" s="91" t="s">
        <v>13980</v>
      </c>
      <c r="G171" s="91" t="s">
        <v>13981</v>
      </c>
      <c r="H171" s="91" t="s">
        <v>13982</v>
      </c>
    </row>
    <row r="172" spans="1:8" ht="17.5" x14ac:dyDescent="0.45">
      <c r="A172" s="92"/>
      <c r="B172" s="97" t="s">
        <v>13983</v>
      </c>
      <c r="C172" s="96" t="s">
        <v>13984</v>
      </c>
      <c r="D172" s="91" t="s">
        <v>13985</v>
      </c>
      <c r="E172" s="91" t="s">
        <v>13986</v>
      </c>
      <c r="F172" s="91" t="s">
        <v>13987</v>
      </c>
      <c r="G172" s="91" t="s">
        <v>13988</v>
      </c>
      <c r="H172" s="91" t="s">
        <v>13989</v>
      </c>
    </row>
    <row r="173" spans="1:8" ht="17.5" x14ac:dyDescent="0.45">
      <c r="A173" s="92"/>
      <c r="B173" s="97"/>
      <c r="C173" s="96" t="s">
        <v>13990</v>
      </c>
      <c r="D173" s="91" t="s">
        <v>13991</v>
      </c>
      <c r="E173" s="91" t="s">
        <v>13992</v>
      </c>
      <c r="F173" s="91" t="s">
        <v>13993</v>
      </c>
      <c r="G173" s="91" t="s">
        <v>13994</v>
      </c>
      <c r="H173" s="91" t="s">
        <v>13995</v>
      </c>
    </row>
    <row r="174" spans="1:8" ht="17.5" x14ac:dyDescent="0.45">
      <c r="A174" s="92"/>
      <c r="B174" s="97"/>
      <c r="C174" s="96" t="s">
        <v>13996</v>
      </c>
      <c r="D174" s="91" t="s">
        <v>13997</v>
      </c>
      <c r="E174" s="91" t="s">
        <v>13998</v>
      </c>
      <c r="F174" s="91" t="s">
        <v>13999</v>
      </c>
      <c r="G174" s="91" t="s">
        <v>14000</v>
      </c>
      <c r="H174" s="91" t="s">
        <v>14001</v>
      </c>
    </row>
    <row r="175" spans="1:8" ht="17.5" x14ac:dyDescent="0.45">
      <c r="A175" s="92"/>
      <c r="B175" s="97"/>
      <c r="C175" s="96" t="s">
        <v>14002</v>
      </c>
      <c r="D175" s="91" t="s">
        <v>14003</v>
      </c>
      <c r="E175" s="91" t="s">
        <v>14004</v>
      </c>
      <c r="F175" s="91" t="s">
        <v>14005</v>
      </c>
      <c r="G175" s="91" t="s">
        <v>14006</v>
      </c>
      <c r="H175" s="91" t="s">
        <v>14007</v>
      </c>
    </row>
    <row r="176" spans="1:8" ht="17.5" x14ac:dyDescent="0.45">
      <c r="A176" s="92"/>
      <c r="B176" s="97"/>
      <c r="C176" s="96" t="s">
        <v>14008</v>
      </c>
      <c r="D176" s="91" t="s">
        <v>14009</v>
      </c>
      <c r="E176" s="91" t="s">
        <v>14010</v>
      </c>
      <c r="F176" s="91" t="s">
        <v>14011</v>
      </c>
      <c r="G176" s="91" t="s">
        <v>14012</v>
      </c>
      <c r="H176" s="91" t="s">
        <v>14013</v>
      </c>
    </row>
    <row r="177" spans="1:8" ht="17.5" x14ac:dyDescent="0.45">
      <c r="A177" s="92"/>
      <c r="B177" s="97" t="s">
        <v>14014</v>
      </c>
      <c r="C177" s="96" t="s">
        <v>14015</v>
      </c>
      <c r="D177" s="91" t="s">
        <v>14016</v>
      </c>
      <c r="E177" s="91" t="s">
        <v>14017</v>
      </c>
      <c r="F177" s="91" t="s">
        <v>14018</v>
      </c>
      <c r="G177" s="91" t="s">
        <v>14019</v>
      </c>
      <c r="H177" s="91" t="s">
        <v>14020</v>
      </c>
    </row>
    <row r="178" spans="1:8" ht="17.5" x14ac:dyDescent="0.45">
      <c r="A178" s="95"/>
      <c r="B178" s="97"/>
      <c r="C178" s="96" t="s">
        <v>14021</v>
      </c>
      <c r="D178" s="91" t="s">
        <v>14022</v>
      </c>
      <c r="E178" s="91" t="s">
        <v>14023</v>
      </c>
      <c r="F178" s="91" t="s">
        <v>14024</v>
      </c>
      <c r="G178" s="91" t="s">
        <v>14025</v>
      </c>
      <c r="H178" s="91" t="s">
        <v>14026</v>
      </c>
    </row>
    <row r="179" spans="1:8" ht="17.5" x14ac:dyDescent="0.45">
      <c r="A179" s="95"/>
      <c r="B179" s="97"/>
      <c r="C179" s="96" t="s">
        <v>14027</v>
      </c>
      <c r="D179" s="91" t="s">
        <v>14028</v>
      </c>
      <c r="E179" s="91" t="s">
        <v>14029</v>
      </c>
      <c r="F179" s="91" t="s">
        <v>14030</v>
      </c>
      <c r="G179" s="91" t="s">
        <v>14031</v>
      </c>
      <c r="H179" s="91" t="s">
        <v>14032</v>
      </c>
    </row>
    <row r="180" spans="1:8" ht="17.5" x14ac:dyDescent="0.45">
      <c r="A180" s="95"/>
      <c r="B180" s="97"/>
      <c r="C180" s="96" t="s">
        <v>14033</v>
      </c>
      <c r="D180" s="91" t="s">
        <v>14034</v>
      </c>
      <c r="E180" s="91" t="s">
        <v>14035</v>
      </c>
      <c r="F180" s="91" t="s">
        <v>14036</v>
      </c>
      <c r="G180" s="91" t="s">
        <v>14037</v>
      </c>
      <c r="H180" s="91" t="s">
        <v>14038</v>
      </c>
    </row>
    <row r="181" spans="1:8" ht="17.5" x14ac:dyDescent="0.45">
      <c r="A181" s="95"/>
      <c r="B181" s="97"/>
      <c r="C181" s="96" t="s">
        <v>14039</v>
      </c>
      <c r="D181" s="91" t="s">
        <v>14040</v>
      </c>
      <c r="E181" s="91" t="s">
        <v>14041</v>
      </c>
      <c r="F181" s="91" t="s">
        <v>14042</v>
      </c>
      <c r="G181" s="91" t="s">
        <v>14043</v>
      </c>
      <c r="H181" s="91" t="s">
        <v>14044</v>
      </c>
    </row>
    <row r="182" spans="1:8" ht="17.5" x14ac:dyDescent="0.45">
      <c r="A182" s="92" t="s">
        <v>14045</v>
      </c>
      <c r="B182" s="97" t="s">
        <v>14046</v>
      </c>
      <c r="C182" s="96" t="s">
        <v>14047</v>
      </c>
      <c r="D182" s="91" t="s">
        <v>14048</v>
      </c>
      <c r="E182" s="91" t="s">
        <v>14049</v>
      </c>
      <c r="F182" s="91" t="s">
        <v>14050</v>
      </c>
      <c r="G182" s="91" t="s">
        <v>14051</v>
      </c>
      <c r="H182" s="91" t="s">
        <v>14052</v>
      </c>
    </row>
    <row r="183" spans="1:8" ht="17.5" x14ac:dyDescent="0.45">
      <c r="A183" s="92"/>
      <c r="B183" s="97"/>
      <c r="C183" s="96" t="s">
        <v>14053</v>
      </c>
      <c r="D183" s="91" t="s">
        <v>14054</v>
      </c>
      <c r="E183" s="91" t="s">
        <v>14055</v>
      </c>
      <c r="F183" s="91" t="s">
        <v>14056</v>
      </c>
      <c r="G183" s="91" t="s">
        <v>14057</v>
      </c>
      <c r="H183" s="91" t="s">
        <v>14058</v>
      </c>
    </row>
    <row r="184" spans="1:8" ht="17.5" x14ac:dyDescent="0.45">
      <c r="A184" s="92"/>
      <c r="B184" s="97"/>
      <c r="C184" s="96" t="s">
        <v>14059</v>
      </c>
      <c r="D184" s="91" t="s">
        <v>14060</v>
      </c>
      <c r="E184" s="91" t="s">
        <v>14061</v>
      </c>
      <c r="F184" s="91" t="s">
        <v>14062</v>
      </c>
      <c r="G184" s="91" t="s">
        <v>14063</v>
      </c>
      <c r="H184" s="91" t="s">
        <v>14064</v>
      </c>
    </row>
    <row r="185" spans="1:8" ht="17.5" x14ac:dyDescent="0.45">
      <c r="A185" s="92"/>
      <c r="B185" s="97"/>
      <c r="C185" s="96" t="s">
        <v>14065</v>
      </c>
      <c r="D185" s="91" t="s">
        <v>14066</v>
      </c>
      <c r="E185" s="91" t="s">
        <v>14067</v>
      </c>
      <c r="F185" s="91" t="s">
        <v>14068</v>
      </c>
      <c r="G185" s="91" t="s">
        <v>14069</v>
      </c>
      <c r="H185" s="91" t="s">
        <v>14070</v>
      </c>
    </row>
    <row r="186" spans="1:8" ht="17.5" x14ac:dyDescent="0.45">
      <c r="A186" s="92"/>
      <c r="B186" s="97"/>
      <c r="C186" s="96" t="s">
        <v>14071</v>
      </c>
      <c r="D186" s="91" t="s">
        <v>14072</v>
      </c>
      <c r="E186" s="91" t="s">
        <v>14073</v>
      </c>
      <c r="F186" s="91" t="s">
        <v>14074</v>
      </c>
      <c r="G186" s="91" t="s">
        <v>14075</v>
      </c>
      <c r="H186" s="91" t="s">
        <v>14076</v>
      </c>
    </row>
    <row r="187" spans="1:8" ht="17.5" x14ac:dyDescent="0.45">
      <c r="A187" s="92"/>
      <c r="B187" s="97" t="s">
        <v>14077</v>
      </c>
      <c r="C187" s="96" t="s">
        <v>14078</v>
      </c>
      <c r="D187" s="91" t="s">
        <v>14079</v>
      </c>
      <c r="E187" s="91" t="s">
        <v>14080</v>
      </c>
      <c r="F187" s="91" t="s">
        <v>14081</v>
      </c>
      <c r="G187" s="91" t="s">
        <v>14082</v>
      </c>
      <c r="H187" s="91" t="s">
        <v>14083</v>
      </c>
    </row>
    <row r="188" spans="1:8" ht="17.5" x14ac:dyDescent="0.45">
      <c r="A188" s="92"/>
      <c r="B188" s="97"/>
      <c r="C188" s="96" t="s">
        <v>14084</v>
      </c>
      <c r="D188" s="91" t="s">
        <v>14085</v>
      </c>
      <c r="E188" s="91" t="s">
        <v>14086</v>
      </c>
      <c r="F188" s="91" t="s">
        <v>14087</v>
      </c>
      <c r="G188" s="91" t="s">
        <v>14088</v>
      </c>
      <c r="H188" s="91" t="s">
        <v>14089</v>
      </c>
    </row>
    <row r="189" spans="1:8" ht="17.5" x14ac:dyDescent="0.45">
      <c r="A189" s="92"/>
      <c r="B189" s="97"/>
      <c r="C189" s="96" t="s">
        <v>14090</v>
      </c>
      <c r="D189" s="91" t="s">
        <v>14091</v>
      </c>
      <c r="E189" s="91" t="s">
        <v>14092</v>
      </c>
      <c r="F189" s="91" t="s">
        <v>14093</v>
      </c>
      <c r="G189" s="91" t="s">
        <v>14094</v>
      </c>
      <c r="H189" s="91" t="s">
        <v>14095</v>
      </c>
    </row>
    <row r="190" spans="1:8" ht="17.5" x14ac:dyDescent="0.45">
      <c r="A190" s="92"/>
      <c r="B190" s="97"/>
      <c r="C190" s="96" t="s">
        <v>14096</v>
      </c>
      <c r="D190" s="91" t="s">
        <v>14097</v>
      </c>
      <c r="E190" s="91" t="s">
        <v>14098</v>
      </c>
      <c r="F190" s="91" t="s">
        <v>14099</v>
      </c>
      <c r="G190" s="91" t="s">
        <v>14100</v>
      </c>
      <c r="H190" s="91" t="s">
        <v>14101</v>
      </c>
    </row>
    <row r="191" spans="1:8" ht="17.5" x14ac:dyDescent="0.45">
      <c r="A191" s="92"/>
      <c r="B191" s="97"/>
      <c r="C191" s="96" t="s">
        <v>14102</v>
      </c>
      <c r="D191" s="91" t="s">
        <v>14103</v>
      </c>
      <c r="E191" s="91" t="s">
        <v>14104</v>
      </c>
      <c r="F191" s="91" t="s">
        <v>14105</v>
      </c>
      <c r="G191" s="91" t="s">
        <v>14106</v>
      </c>
      <c r="H191" s="91" t="s">
        <v>14107</v>
      </c>
    </row>
    <row r="192" spans="1:8" ht="17.5" x14ac:dyDescent="0.45">
      <c r="A192" s="92"/>
      <c r="B192" s="97" t="s">
        <v>14108</v>
      </c>
      <c r="C192" s="96" t="s">
        <v>14109</v>
      </c>
      <c r="D192" s="91" t="s">
        <v>14110</v>
      </c>
      <c r="E192" s="91" t="s">
        <v>14111</v>
      </c>
      <c r="F192" s="91" t="s">
        <v>14112</v>
      </c>
      <c r="G192" s="91" t="s">
        <v>14113</v>
      </c>
      <c r="H192" s="91" t="s">
        <v>14114</v>
      </c>
    </row>
    <row r="193" spans="1:8" ht="17.5" x14ac:dyDescent="0.45">
      <c r="A193" s="92"/>
      <c r="B193" s="97"/>
      <c r="C193" s="96" t="s">
        <v>14115</v>
      </c>
      <c r="D193" s="91" t="s">
        <v>14116</v>
      </c>
      <c r="E193" s="91" t="s">
        <v>14117</v>
      </c>
      <c r="F193" s="91" t="s">
        <v>14118</v>
      </c>
      <c r="G193" s="91" t="s">
        <v>14119</v>
      </c>
      <c r="H193" s="91" t="s">
        <v>14120</v>
      </c>
    </row>
    <row r="194" spans="1:8" ht="17.5" x14ac:dyDescent="0.45">
      <c r="A194" s="92"/>
      <c r="B194" s="97"/>
      <c r="C194" s="96" t="s">
        <v>14121</v>
      </c>
      <c r="D194" s="91" t="s">
        <v>14122</v>
      </c>
      <c r="E194" s="91" t="s">
        <v>14123</v>
      </c>
      <c r="F194" s="91" t="s">
        <v>14124</v>
      </c>
      <c r="G194" s="91" t="s">
        <v>14125</v>
      </c>
      <c r="H194" s="91" t="s">
        <v>14126</v>
      </c>
    </row>
    <row r="195" spans="1:8" ht="17.5" x14ac:dyDescent="0.45">
      <c r="A195" s="92"/>
      <c r="B195" s="97"/>
      <c r="C195" s="96" t="s">
        <v>14127</v>
      </c>
      <c r="D195" s="91" t="s">
        <v>14128</v>
      </c>
      <c r="E195" s="91" t="s">
        <v>14129</v>
      </c>
      <c r="F195" s="91" t="s">
        <v>14130</v>
      </c>
      <c r="G195" s="91" t="s">
        <v>14131</v>
      </c>
      <c r="H195" s="91" t="s">
        <v>14132</v>
      </c>
    </row>
    <row r="196" spans="1:8" ht="17.5" x14ac:dyDescent="0.45">
      <c r="A196" s="92"/>
      <c r="B196" s="97"/>
      <c r="C196" s="96" t="s">
        <v>14133</v>
      </c>
      <c r="D196" s="91" t="s">
        <v>14134</v>
      </c>
      <c r="E196" s="91" t="s">
        <v>14135</v>
      </c>
      <c r="F196" s="91" t="s">
        <v>14136</v>
      </c>
      <c r="G196" s="91" t="s">
        <v>14137</v>
      </c>
      <c r="H196" s="91" t="s">
        <v>14138</v>
      </c>
    </row>
    <row r="197" spans="1:8" ht="17.5" x14ac:dyDescent="0.45">
      <c r="A197" s="92"/>
      <c r="B197" s="97" t="s">
        <v>14139</v>
      </c>
      <c r="C197" s="96" t="s">
        <v>14140</v>
      </c>
      <c r="D197" s="91" t="s">
        <v>14141</v>
      </c>
      <c r="E197" s="91" t="s">
        <v>14142</v>
      </c>
      <c r="F197" s="91" t="s">
        <v>14143</v>
      </c>
      <c r="G197" s="91" t="s">
        <v>14144</v>
      </c>
      <c r="H197" s="91" t="s">
        <v>14145</v>
      </c>
    </row>
    <row r="198" spans="1:8" ht="17.5" x14ac:dyDescent="0.45">
      <c r="A198" s="92"/>
      <c r="B198" s="97"/>
      <c r="C198" s="96" t="s">
        <v>14146</v>
      </c>
      <c r="D198" s="91" t="s">
        <v>14147</v>
      </c>
      <c r="E198" s="91" t="s">
        <v>14148</v>
      </c>
      <c r="F198" s="91" t="s">
        <v>14149</v>
      </c>
      <c r="G198" s="91" t="s">
        <v>14150</v>
      </c>
      <c r="H198" s="91" t="s">
        <v>14151</v>
      </c>
    </row>
    <row r="199" spans="1:8" ht="17.5" x14ac:dyDescent="0.45">
      <c r="A199" s="92"/>
      <c r="B199" s="97"/>
      <c r="C199" s="96" t="s">
        <v>14152</v>
      </c>
      <c r="D199" s="91" t="s">
        <v>14153</v>
      </c>
      <c r="E199" s="91" t="s">
        <v>14154</v>
      </c>
      <c r="F199" s="91" t="s">
        <v>14155</v>
      </c>
      <c r="G199" s="91" t="s">
        <v>14156</v>
      </c>
      <c r="H199" s="91" t="s">
        <v>14157</v>
      </c>
    </row>
    <row r="200" spans="1:8" ht="17.5" x14ac:dyDescent="0.45">
      <c r="A200" s="92"/>
      <c r="B200" s="97"/>
      <c r="C200" s="96" t="s">
        <v>14158</v>
      </c>
      <c r="D200" s="91" t="s">
        <v>14159</v>
      </c>
      <c r="E200" s="91" t="s">
        <v>14160</v>
      </c>
      <c r="F200" s="91" t="s">
        <v>14161</v>
      </c>
      <c r="G200" s="91" t="s">
        <v>14162</v>
      </c>
      <c r="H200" s="91" t="s">
        <v>14163</v>
      </c>
    </row>
    <row r="201" spans="1:8" ht="17.5" x14ac:dyDescent="0.45">
      <c r="A201" s="92"/>
      <c r="B201" s="97"/>
      <c r="C201" s="96" t="s">
        <v>14164</v>
      </c>
      <c r="D201" s="91" t="s">
        <v>14165</v>
      </c>
      <c r="E201" s="91" t="s">
        <v>14166</v>
      </c>
      <c r="F201" s="91" t="s">
        <v>14167</v>
      </c>
      <c r="G201" s="91" t="s">
        <v>14168</v>
      </c>
      <c r="H201" s="91" t="s">
        <v>14169</v>
      </c>
    </row>
    <row r="202" spans="1:8" ht="17.5" x14ac:dyDescent="0.45">
      <c r="A202" s="92"/>
      <c r="B202" s="97" t="s">
        <v>14170</v>
      </c>
      <c r="C202" s="96" t="s">
        <v>14171</v>
      </c>
      <c r="D202" s="91" t="s">
        <v>14172</v>
      </c>
      <c r="E202" s="91" t="s">
        <v>14173</v>
      </c>
      <c r="F202" s="91" t="s">
        <v>14174</v>
      </c>
      <c r="G202" s="91" t="s">
        <v>14175</v>
      </c>
      <c r="H202" s="91" t="s">
        <v>14176</v>
      </c>
    </row>
    <row r="203" spans="1:8" ht="17.5" x14ac:dyDescent="0.45">
      <c r="A203" s="95"/>
      <c r="B203" s="97"/>
      <c r="C203" s="96" t="s">
        <v>14177</v>
      </c>
      <c r="D203" s="91" t="s">
        <v>14178</v>
      </c>
      <c r="E203" s="91" t="s">
        <v>14179</v>
      </c>
      <c r="F203" s="91" t="s">
        <v>14180</v>
      </c>
      <c r="G203" s="91" t="s">
        <v>14181</v>
      </c>
      <c r="H203" s="91" t="s">
        <v>14182</v>
      </c>
    </row>
    <row r="204" spans="1:8" ht="17.5" x14ac:dyDescent="0.45">
      <c r="A204" s="95"/>
      <c r="B204" s="97"/>
      <c r="C204" s="96" t="s">
        <v>14183</v>
      </c>
      <c r="D204" s="91" t="s">
        <v>14184</v>
      </c>
      <c r="E204" s="91" t="s">
        <v>14185</v>
      </c>
      <c r="F204" s="91" t="s">
        <v>14186</v>
      </c>
      <c r="G204" s="91" t="s">
        <v>14187</v>
      </c>
      <c r="H204" s="91" t="s">
        <v>14188</v>
      </c>
    </row>
    <row r="205" spans="1:8" ht="17.5" x14ac:dyDescent="0.45">
      <c r="A205" s="95"/>
      <c r="B205" s="97"/>
      <c r="C205" s="96" t="s">
        <v>14189</v>
      </c>
      <c r="D205" s="91" t="s">
        <v>14190</v>
      </c>
      <c r="E205" s="91" t="s">
        <v>14191</v>
      </c>
      <c r="F205" s="91" t="s">
        <v>14192</v>
      </c>
      <c r="G205" s="91" t="s">
        <v>14193</v>
      </c>
      <c r="H205" s="91" t="s">
        <v>14194</v>
      </c>
    </row>
    <row r="206" spans="1:8" ht="17.5" x14ac:dyDescent="0.45">
      <c r="A206" s="95"/>
      <c r="B206" s="97"/>
      <c r="C206" s="96" t="s">
        <v>14195</v>
      </c>
      <c r="D206" s="91" t="s">
        <v>14196</v>
      </c>
      <c r="E206" s="91" t="s">
        <v>14197</v>
      </c>
      <c r="F206" s="91" t="s">
        <v>14198</v>
      </c>
      <c r="G206" s="91" t="s">
        <v>14199</v>
      </c>
      <c r="H206" s="91" t="s">
        <v>14200</v>
      </c>
    </row>
    <row r="207" spans="1:8" ht="17.5" x14ac:dyDescent="0.45">
      <c r="B207" s="97"/>
      <c r="C207" s="96" t="s">
        <v>14201</v>
      </c>
      <c r="D207" s="91" t="s">
        <v>14202</v>
      </c>
      <c r="E207" s="91" t="s">
        <v>14203</v>
      </c>
      <c r="F207" s="91" t="s">
        <v>14204</v>
      </c>
      <c r="G207" s="91" t="s">
        <v>14205</v>
      </c>
      <c r="H207" s="91" t="s">
        <v>14206</v>
      </c>
    </row>
    <row r="208" spans="1:8" ht="17.5" x14ac:dyDescent="0.45">
      <c r="C208" s="96"/>
      <c r="D208" s="91"/>
      <c r="E208" s="91"/>
      <c r="F208" s="91" t="s">
        <v>14207</v>
      </c>
      <c r="G208" s="91" t="s">
        <v>14208</v>
      </c>
      <c r="H208" s="91" t="s">
        <v>14209</v>
      </c>
    </row>
    <row r="209" spans="3:8" ht="17.5" x14ac:dyDescent="0.45">
      <c r="C209" s="96"/>
      <c r="D209" s="91"/>
      <c r="E209" s="91"/>
      <c r="F209" s="91"/>
      <c r="G209" s="91"/>
      <c r="H209" s="91"/>
    </row>
    <row r="210" spans="3:8" ht="17.5" x14ac:dyDescent="0.45">
      <c r="C210" s="96"/>
      <c r="E210" s="91"/>
      <c r="F210" s="91"/>
      <c r="G210" s="91"/>
    </row>
  </sheetData>
  <mergeCells count="47">
    <mergeCell ref="B182:B186"/>
    <mergeCell ref="B187:B191"/>
    <mergeCell ref="B192:B196"/>
    <mergeCell ref="B197:B201"/>
    <mergeCell ref="B202:B207"/>
    <mergeCell ref="B167:B171"/>
    <mergeCell ref="B172:B176"/>
    <mergeCell ref="B177:B181"/>
    <mergeCell ref="A182:A202"/>
    <mergeCell ref="B137:B141"/>
    <mergeCell ref="B142:B146"/>
    <mergeCell ref="B147:B151"/>
    <mergeCell ref="B152:B156"/>
    <mergeCell ref="B157:B161"/>
    <mergeCell ref="B162:B166"/>
    <mergeCell ref="B92:B96"/>
    <mergeCell ref="A96:A177"/>
    <mergeCell ref="B97:B101"/>
    <mergeCell ref="B102:B106"/>
    <mergeCell ref="B107:B111"/>
    <mergeCell ref="B112:B116"/>
    <mergeCell ref="B117:B121"/>
    <mergeCell ref="B122:B126"/>
    <mergeCell ref="B127:B131"/>
    <mergeCell ref="B132:B136"/>
    <mergeCell ref="B57:B61"/>
    <mergeCell ref="A61:A66"/>
    <mergeCell ref="B62:B66"/>
    <mergeCell ref="B67:B71"/>
    <mergeCell ref="A71:A91"/>
    <mergeCell ref="B72:B76"/>
    <mergeCell ref="B77:B81"/>
    <mergeCell ref="B82:B86"/>
    <mergeCell ref="B87:B91"/>
    <mergeCell ref="B27:B31"/>
    <mergeCell ref="A31:A56"/>
    <mergeCell ref="B32:B36"/>
    <mergeCell ref="B37:B41"/>
    <mergeCell ref="B42:B46"/>
    <mergeCell ref="B47:B51"/>
    <mergeCell ref="B52:B56"/>
    <mergeCell ref="A2:A26"/>
    <mergeCell ref="B2:B6"/>
    <mergeCell ref="B7:B11"/>
    <mergeCell ref="B12:B16"/>
    <mergeCell ref="B17:B21"/>
    <mergeCell ref="B22:B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6ABC4-EE13-40B8-9E7E-30963BAF1C86}">
  <dimension ref="A1:K730"/>
  <sheetViews>
    <sheetView zoomScale="32" workbookViewId="0">
      <selection activeCell="C1" sqref="C1:C5"/>
    </sheetView>
  </sheetViews>
  <sheetFormatPr baseColWidth="10" defaultRowHeight="14.5" x14ac:dyDescent="0.35"/>
  <cols>
    <col min="2" max="2" width="43" customWidth="1"/>
    <col min="3" max="3" width="49.1796875" customWidth="1"/>
    <col min="4" max="4" width="98.81640625" customWidth="1"/>
    <col min="5" max="5" width="95.26953125" customWidth="1"/>
    <col min="6" max="6" width="52.453125" customWidth="1"/>
    <col min="7" max="7" width="69.1796875" customWidth="1"/>
    <col min="8" max="8" width="59.81640625" customWidth="1"/>
    <col min="9" max="9" width="63.54296875" customWidth="1"/>
    <col min="10" max="10" width="63.453125" customWidth="1"/>
    <col min="11" max="11" width="64.54296875" customWidth="1"/>
  </cols>
  <sheetData>
    <row r="1" spans="1:11" x14ac:dyDescent="0.35">
      <c r="A1" s="61" t="s">
        <v>4848</v>
      </c>
      <c r="B1" s="62" t="s">
        <v>4849</v>
      </c>
      <c r="C1" s="62" t="s">
        <v>4850</v>
      </c>
      <c r="D1" t="s">
        <v>4851</v>
      </c>
      <c r="E1" t="s">
        <v>4852</v>
      </c>
      <c r="F1" t="s">
        <v>4853</v>
      </c>
      <c r="G1" t="s">
        <v>4854</v>
      </c>
      <c r="H1" t="s">
        <v>4855</v>
      </c>
      <c r="I1" t="s">
        <v>4856</v>
      </c>
      <c r="J1" t="s">
        <v>4857</v>
      </c>
      <c r="K1" t="s">
        <v>4858</v>
      </c>
    </row>
    <row r="2" spans="1:11" x14ac:dyDescent="0.35">
      <c r="A2" s="61"/>
      <c r="B2" s="61"/>
      <c r="C2" s="61"/>
      <c r="D2" t="s">
        <v>4859</v>
      </c>
      <c r="E2" t="s">
        <v>4860</v>
      </c>
      <c r="F2" t="s">
        <v>4853</v>
      </c>
      <c r="G2" t="s">
        <v>4861</v>
      </c>
      <c r="H2" t="s">
        <v>4862</v>
      </c>
      <c r="I2" t="s">
        <v>120</v>
      </c>
      <c r="J2" t="s">
        <v>4863</v>
      </c>
      <c r="K2" t="s">
        <v>4864</v>
      </c>
    </row>
    <row r="3" spans="1:11" x14ac:dyDescent="0.35">
      <c r="A3" s="61"/>
      <c r="B3" s="61"/>
      <c r="C3" s="61"/>
      <c r="D3" t="s">
        <v>4865</v>
      </c>
      <c r="E3" t="s">
        <v>4866</v>
      </c>
      <c r="F3" t="s">
        <v>4853</v>
      </c>
      <c r="G3" t="s">
        <v>4867</v>
      </c>
      <c r="H3" t="s">
        <v>4868</v>
      </c>
      <c r="I3" t="s">
        <v>4856</v>
      </c>
      <c r="J3" t="s">
        <v>4869</v>
      </c>
      <c r="K3" s="6" t="s">
        <v>4870</v>
      </c>
    </row>
    <row r="4" spans="1:11" ht="130.5" x14ac:dyDescent="0.35">
      <c r="A4" s="61"/>
      <c r="B4" s="61"/>
      <c r="C4" s="61"/>
      <c r="D4" t="s">
        <v>4871</v>
      </c>
      <c r="E4" t="s">
        <v>4872</v>
      </c>
      <c r="F4" t="s">
        <v>4873</v>
      </c>
      <c r="G4" t="s">
        <v>4874</v>
      </c>
      <c r="H4" t="s">
        <v>4875</v>
      </c>
      <c r="I4" s="6" t="s">
        <v>4856</v>
      </c>
      <c r="J4" t="s">
        <v>4876</v>
      </c>
      <c r="K4" s="3" t="s">
        <v>4877</v>
      </c>
    </row>
    <row r="5" spans="1:11" ht="87" x14ac:dyDescent="0.35">
      <c r="A5" s="61"/>
      <c r="B5" s="61"/>
      <c r="C5" s="61"/>
      <c r="D5" t="s">
        <v>4878</v>
      </c>
      <c r="E5" s="6" t="s">
        <v>4879</v>
      </c>
      <c r="F5" t="s">
        <v>4880</v>
      </c>
      <c r="G5" t="s">
        <v>4881</v>
      </c>
      <c r="H5" t="s">
        <v>4882</v>
      </c>
      <c r="I5" t="s">
        <v>120</v>
      </c>
      <c r="J5" s="3" t="s">
        <v>4883</v>
      </c>
      <c r="K5" s="6" t="s">
        <v>4884</v>
      </c>
    </row>
    <row r="6" spans="1:11" x14ac:dyDescent="0.35">
      <c r="A6" s="61"/>
      <c r="B6" s="61"/>
      <c r="C6" s="61" t="s">
        <v>4885</v>
      </c>
      <c r="D6" t="s">
        <v>4886</v>
      </c>
      <c r="E6" t="s">
        <v>4887</v>
      </c>
      <c r="F6" t="s">
        <v>4853</v>
      </c>
      <c r="G6" s="6" t="s">
        <v>4888</v>
      </c>
      <c r="H6" t="s">
        <v>4889</v>
      </c>
      <c r="I6" t="s">
        <v>4856</v>
      </c>
      <c r="J6" t="s">
        <v>4890</v>
      </c>
      <c r="K6" t="s">
        <v>4891</v>
      </c>
    </row>
    <row r="7" spans="1:11" x14ac:dyDescent="0.35">
      <c r="A7" s="61"/>
      <c r="B7" s="61"/>
      <c r="C7" s="61"/>
      <c r="D7" t="s">
        <v>4892</v>
      </c>
      <c r="E7" t="s">
        <v>4893</v>
      </c>
      <c r="F7" t="s">
        <v>4853</v>
      </c>
      <c r="G7" t="s">
        <v>4894</v>
      </c>
      <c r="H7" t="s">
        <v>4895</v>
      </c>
      <c r="I7" t="s">
        <v>4856</v>
      </c>
      <c r="J7" t="s">
        <v>4896</v>
      </c>
      <c r="K7" t="s">
        <v>4897</v>
      </c>
    </row>
    <row r="8" spans="1:11" x14ac:dyDescent="0.35">
      <c r="A8" s="61"/>
      <c r="B8" s="61"/>
      <c r="C8" s="61"/>
      <c r="D8" t="s">
        <v>4898</v>
      </c>
      <c r="E8" t="s">
        <v>4899</v>
      </c>
      <c r="F8" t="s">
        <v>4853</v>
      </c>
      <c r="G8" s="6" t="s">
        <v>4900</v>
      </c>
      <c r="H8" t="s">
        <v>4901</v>
      </c>
      <c r="I8" t="s">
        <v>120</v>
      </c>
      <c r="J8" t="s">
        <v>4902</v>
      </c>
      <c r="K8" t="s">
        <v>4903</v>
      </c>
    </row>
    <row r="9" spans="1:11" x14ac:dyDescent="0.35">
      <c r="A9" s="61"/>
      <c r="B9" s="61"/>
      <c r="C9" s="61"/>
      <c r="D9" t="s">
        <v>4904</v>
      </c>
      <c r="E9" t="s">
        <v>4905</v>
      </c>
      <c r="F9" t="s">
        <v>4853</v>
      </c>
      <c r="G9" t="s">
        <v>4906</v>
      </c>
      <c r="H9" t="s">
        <v>4907</v>
      </c>
      <c r="I9" t="s">
        <v>120</v>
      </c>
      <c r="J9" t="s">
        <v>4908</v>
      </c>
      <c r="K9" t="s">
        <v>4909</v>
      </c>
    </row>
    <row r="10" spans="1:11" ht="145" x14ac:dyDescent="0.35">
      <c r="A10" s="61"/>
      <c r="B10" s="61"/>
      <c r="C10" s="61"/>
      <c r="D10" t="s">
        <v>4910</v>
      </c>
      <c r="E10" s="6" t="s">
        <v>4911</v>
      </c>
      <c r="F10" t="s">
        <v>4853</v>
      </c>
      <c r="G10" s="6" t="s">
        <v>4912</v>
      </c>
      <c r="H10" s="3" t="s">
        <v>4913</v>
      </c>
      <c r="I10" t="s">
        <v>120</v>
      </c>
      <c r="J10" t="s">
        <v>4914</v>
      </c>
      <c r="K10" t="s">
        <v>4915</v>
      </c>
    </row>
    <row r="11" spans="1:11" x14ac:dyDescent="0.35">
      <c r="A11" s="61"/>
      <c r="B11" s="61"/>
      <c r="C11" s="61" t="s">
        <v>4916</v>
      </c>
      <c r="D11" t="s">
        <v>4917</v>
      </c>
      <c r="E11" t="s">
        <v>4918</v>
      </c>
      <c r="F11" t="s">
        <v>4880</v>
      </c>
      <c r="G11" t="s">
        <v>4919</v>
      </c>
      <c r="H11" t="s">
        <v>4920</v>
      </c>
      <c r="I11" t="s">
        <v>4856</v>
      </c>
      <c r="J11" t="s">
        <v>4921</v>
      </c>
      <c r="K11" t="s">
        <v>4922</v>
      </c>
    </row>
    <row r="12" spans="1:11" x14ac:dyDescent="0.35">
      <c r="A12" s="61"/>
      <c r="B12" s="61"/>
      <c r="C12" s="61"/>
      <c r="D12" t="s">
        <v>4923</v>
      </c>
      <c r="E12" t="s">
        <v>4924</v>
      </c>
      <c r="F12" t="s">
        <v>4880</v>
      </c>
      <c r="G12" t="s">
        <v>4925</v>
      </c>
      <c r="H12" t="s">
        <v>4926</v>
      </c>
      <c r="I12" t="s">
        <v>120</v>
      </c>
      <c r="J12" t="s">
        <v>4927</v>
      </c>
      <c r="K12" t="s">
        <v>4928</v>
      </c>
    </row>
    <row r="13" spans="1:11" x14ac:dyDescent="0.35">
      <c r="A13" s="61"/>
      <c r="B13" s="61"/>
      <c r="C13" s="61"/>
      <c r="D13" t="s">
        <v>4929</v>
      </c>
      <c r="E13" t="s">
        <v>4930</v>
      </c>
      <c r="F13" t="s">
        <v>4880</v>
      </c>
      <c r="G13" s="6" t="s">
        <v>4931</v>
      </c>
      <c r="H13" t="s">
        <v>4932</v>
      </c>
      <c r="I13" t="s">
        <v>4856</v>
      </c>
      <c r="J13" t="s">
        <v>4933</v>
      </c>
      <c r="K13" t="s">
        <v>4934</v>
      </c>
    </row>
    <row r="14" spans="1:11" x14ac:dyDescent="0.35">
      <c r="A14" s="61"/>
      <c r="B14" s="61"/>
      <c r="C14" s="61"/>
      <c r="D14" t="s">
        <v>4935</v>
      </c>
      <c r="E14" t="s">
        <v>4936</v>
      </c>
      <c r="F14" t="s">
        <v>4880</v>
      </c>
      <c r="G14" t="s">
        <v>4937</v>
      </c>
      <c r="H14" t="s">
        <v>4938</v>
      </c>
      <c r="I14" t="s">
        <v>4856</v>
      </c>
      <c r="J14" t="s">
        <v>4939</v>
      </c>
      <c r="K14" t="s">
        <v>4940</v>
      </c>
    </row>
    <row r="15" spans="1:11" ht="101.5" x14ac:dyDescent="0.35">
      <c r="A15" s="61"/>
      <c r="B15" s="61"/>
      <c r="C15" s="61"/>
      <c r="D15" t="s">
        <v>4941</v>
      </c>
      <c r="E15" t="s">
        <v>4942</v>
      </c>
      <c r="F15" t="s">
        <v>4880</v>
      </c>
      <c r="G15" t="s">
        <v>4943</v>
      </c>
      <c r="H15" t="s">
        <v>4944</v>
      </c>
      <c r="I15" t="s">
        <v>4856</v>
      </c>
      <c r="J15" s="3" t="s">
        <v>4945</v>
      </c>
      <c r="K15" t="s">
        <v>4946</v>
      </c>
    </row>
    <row r="16" spans="1:11" x14ac:dyDescent="0.35">
      <c r="A16" s="61"/>
      <c r="B16" s="61"/>
      <c r="C16" s="61" t="s">
        <v>4947</v>
      </c>
      <c r="D16" t="s">
        <v>4948</v>
      </c>
      <c r="E16" t="s">
        <v>4949</v>
      </c>
      <c r="F16" t="s">
        <v>4880</v>
      </c>
      <c r="G16" t="s">
        <v>4950</v>
      </c>
      <c r="H16" t="s">
        <v>4951</v>
      </c>
      <c r="I16" t="s">
        <v>4856</v>
      </c>
      <c r="J16" t="s">
        <v>4952</v>
      </c>
      <c r="K16" t="s">
        <v>4953</v>
      </c>
    </row>
    <row r="17" spans="1:11" x14ac:dyDescent="0.35">
      <c r="A17" s="61"/>
      <c r="B17" s="61"/>
      <c r="C17" s="61"/>
      <c r="D17" t="s">
        <v>4954</v>
      </c>
      <c r="E17" t="s">
        <v>4955</v>
      </c>
      <c r="F17" t="s">
        <v>4880</v>
      </c>
      <c r="G17" t="s">
        <v>4956</v>
      </c>
      <c r="H17" t="s">
        <v>4957</v>
      </c>
      <c r="I17" t="s">
        <v>4958</v>
      </c>
      <c r="J17" t="s">
        <v>4959</v>
      </c>
      <c r="K17" t="s">
        <v>4960</v>
      </c>
    </row>
    <row r="18" spans="1:11" x14ac:dyDescent="0.35">
      <c r="A18" s="61"/>
      <c r="B18" s="61"/>
      <c r="C18" s="61"/>
      <c r="D18" t="s">
        <v>4961</v>
      </c>
      <c r="E18" t="s">
        <v>4962</v>
      </c>
      <c r="F18" t="s">
        <v>4880</v>
      </c>
      <c r="G18" t="s">
        <v>4963</v>
      </c>
      <c r="H18" t="s">
        <v>4964</v>
      </c>
      <c r="I18" t="s">
        <v>4965</v>
      </c>
      <c r="J18" t="s">
        <v>4966</v>
      </c>
      <c r="K18" t="s">
        <v>4967</v>
      </c>
    </row>
    <row r="19" spans="1:11" x14ac:dyDescent="0.35">
      <c r="A19" s="61"/>
      <c r="B19" s="61"/>
      <c r="C19" s="61"/>
      <c r="D19" t="s">
        <v>4968</v>
      </c>
      <c r="E19" t="s">
        <v>4969</v>
      </c>
      <c r="F19" t="s">
        <v>4880</v>
      </c>
      <c r="G19" t="s">
        <v>4970</v>
      </c>
      <c r="H19" t="s">
        <v>4971</v>
      </c>
      <c r="I19" t="s">
        <v>4856</v>
      </c>
      <c r="J19" t="s">
        <v>4972</v>
      </c>
      <c r="K19" t="s">
        <v>4973</v>
      </c>
    </row>
    <row r="20" spans="1:11" x14ac:dyDescent="0.35">
      <c r="A20" s="61"/>
      <c r="B20" s="61"/>
      <c r="C20" s="61"/>
      <c r="D20" t="s">
        <v>4974</v>
      </c>
      <c r="E20" t="s">
        <v>4975</v>
      </c>
      <c r="F20" t="s">
        <v>4880</v>
      </c>
      <c r="G20" t="s">
        <v>4956</v>
      </c>
      <c r="H20" t="s">
        <v>4976</v>
      </c>
      <c r="I20" t="s">
        <v>4958</v>
      </c>
      <c r="J20" t="s">
        <v>4977</v>
      </c>
      <c r="K20" t="s">
        <v>4978</v>
      </c>
    </row>
    <row r="21" spans="1:11" x14ac:dyDescent="0.35">
      <c r="A21" s="61"/>
      <c r="B21" s="61"/>
      <c r="C21" s="61" t="s">
        <v>4979</v>
      </c>
      <c r="D21" t="s">
        <v>4980</v>
      </c>
      <c r="E21" t="s">
        <v>4981</v>
      </c>
      <c r="F21" t="s">
        <v>4880</v>
      </c>
      <c r="G21" t="s">
        <v>4982</v>
      </c>
      <c r="H21" t="s">
        <v>4983</v>
      </c>
      <c r="I21" t="s">
        <v>4856</v>
      </c>
      <c r="J21" t="s">
        <v>4984</v>
      </c>
      <c r="K21" t="s">
        <v>4985</v>
      </c>
    </row>
    <row r="22" spans="1:11" x14ac:dyDescent="0.35">
      <c r="A22" s="61"/>
      <c r="B22" s="61"/>
      <c r="C22" s="61"/>
      <c r="D22" t="s">
        <v>4986</v>
      </c>
      <c r="E22" t="s">
        <v>4987</v>
      </c>
      <c r="F22" t="s">
        <v>4880</v>
      </c>
      <c r="G22" t="s">
        <v>4988</v>
      </c>
      <c r="H22" t="s">
        <v>4989</v>
      </c>
      <c r="I22" t="s">
        <v>4856</v>
      </c>
      <c r="J22" t="s">
        <v>4990</v>
      </c>
      <c r="K22" t="s">
        <v>4991</v>
      </c>
    </row>
    <row r="23" spans="1:11" x14ac:dyDescent="0.35">
      <c r="A23" s="61"/>
      <c r="B23" s="61"/>
      <c r="C23" s="61"/>
      <c r="D23" t="s">
        <v>4992</v>
      </c>
      <c r="E23" t="s">
        <v>4993</v>
      </c>
      <c r="F23" t="s">
        <v>4880</v>
      </c>
      <c r="G23" t="s">
        <v>4994</v>
      </c>
      <c r="H23" t="s">
        <v>4995</v>
      </c>
      <c r="I23" t="s">
        <v>4856</v>
      </c>
      <c r="J23" t="s">
        <v>4996</v>
      </c>
      <c r="K23" t="s">
        <v>4997</v>
      </c>
    </row>
    <row r="24" spans="1:11" x14ac:dyDescent="0.35">
      <c r="A24" s="61"/>
      <c r="B24" s="61"/>
      <c r="C24" s="61"/>
      <c r="D24" t="s">
        <v>4998</v>
      </c>
      <c r="E24" t="s">
        <v>4999</v>
      </c>
      <c r="F24" t="s">
        <v>4880</v>
      </c>
      <c r="G24" t="s">
        <v>5000</v>
      </c>
      <c r="H24" t="s">
        <v>5001</v>
      </c>
      <c r="I24" t="s">
        <v>4856</v>
      </c>
      <c r="J24" t="s">
        <v>5002</v>
      </c>
      <c r="K24" t="s">
        <v>5003</v>
      </c>
    </row>
    <row r="25" spans="1:11" x14ac:dyDescent="0.35">
      <c r="A25" s="61"/>
      <c r="B25" s="61"/>
      <c r="C25" s="61"/>
      <c r="D25" t="s">
        <v>5004</v>
      </c>
      <c r="E25" t="s">
        <v>5005</v>
      </c>
      <c r="F25" t="s">
        <v>4880</v>
      </c>
      <c r="G25" t="s">
        <v>5006</v>
      </c>
      <c r="H25" t="s">
        <v>5007</v>
      </c>
      <c r="I25" t="s">
        <v>4856</v>
      </c>
      <c r="J25" t="s">
        <v>5008</v>
      </c>
      <c r="K25" t="s">
        <v>5009</v>
      </c>
    </row>
    <row r="26" spans="1:11" x14ac:dyDescent="0.35">
      <c r="A26" s="61"/>
      <c r="B26" s="61"/>
      <c r="C26" s="62" t="s">
        <v>5010</v>
      </c>
      <c r="D26" t="s">
        <v>5011</v>
      </c>
      <c r="E26" t="s">
        <v>5012</v>
      </c>
      <c r="F26" t="s">
        <v>4880</v>
      </c>
      <c r="G26" t="s">
        <v>5013</v>
      </c>
      <c r="H26" t="s">
        <v>5014</v>
      </c>
      <c r="I26" t="s">
        <v>5015</v>
      </c>
      <c r="J26" t="s">
        <v>5016</v>
      </c>
      <c r="K26" t="s">
        <v>5017</v>
      </c>
    </row>
    <row r="27" spans="1:11" x14ac:dyDescent="0.35">
      <c r="A27" s="61"/>
      <c r="B27" s="61"/>
      <c r="C27" s="61"/>
      <c r="D27" t="s">
        <v>5018</v>
      </c>
      <c r="E27" t="s">
        <v>5019</v>
      </c>
      <c r="F27" t="s">
        <v>4880</v>
      </c>
      <c r="G27" t="s">
        <v>5020</v>
      </c>
      <c r="H27" t="s">
        <v>5021</v>
      </c>
      <c r="I27" t="s">
        <v>5015</v>
      </c>
      <c r="J27" t="s">
        <v>5022</v>
      </c>
      <c r="K27" t="s">
        <v>5023</v>
      </c>
    </row>
    <row r="28" spans="1:11" x14ac:dyDescent="0.35">
      <c r="A28" s="61"/>
      <c r="B28" s="61"/>
      <c r="C28" s="61"/>
      <c r="D28" t="s">
        <v>5024</v>
      </c>
      <c r="E28" t="s">
        <v>5025</v>
      </c>
      <c r="F28" t="s">
        <v>4880</v>
      </c>
      <c r="G28" t="s">
        <v>5026</v>
      </c>
      <c r="H28" t="s">
        <v>5027</v>
      </c>
      <c r="I28" t="s">
        <v>5028</v>
      </c>
      <c r="J28" t="s">
        <v>5029</v>
      </c>
      <c r="K28" t="s">
        <v>5030</v>
      </c>
    </row>
    <row r="29" spans="1:11" x14ac:dyDescent="0.35">
      <c r="A29" s="61"/>
      <c r="B29" s="61"/>
      <c r="C29" s="61"/>
      <c r="D29" t="s">
        <v>5031</v>
      </c>
      <c r="E29" t="s">
        <v>5032</v>
      </c>
      <c r="F29" t="s">
        <v>4880</v>
      </c>
      <c r="G29" t="s">
        <v>5033</v>
      </c>
      <c r="H29" t="s">
        <v>5034</v>
      </c>
      <c r="I29" t="s">
        <v>5035</v>
      </c>
      <c r="J29" t="s">
        <v>5036</v>
      </c>
      <c r="K29" t="s">
        <v>5037</v>
      </c>
    </row>
    <row r="30" spans="1:11" x14ac:dyDescent="0.35">
      <c r="A30" s="61"/>
      <c r="B30" s="61"/>
      <c r="C30" s="61"/>
      <c r="D30" t="s">
        <v>5038</v>
      </c>
      <c r="E30" t="s">
        <v>5039</v>
      </c>
      <c r="F30" t="s">
        <v>4880</v>
      </c>
      <c r="G30" t="s">
        <v>5040</v>
      </c>
      <c r="H30" t="s">
        <v>5041</v>
      </c>
      <c r="I30" t="s">
        <v>4856</v>
      </c>
      <c r="J30" t="s">
        <v>5042</v>
      </c>
      <c r="K30" t="s">
        <v>5043</v>
      </c>
    </row>
    <row r="31" spans="1:11" x14ac:dyDescent="0.35">
      <c r="A31" s="61"/>
      <c r="B31" s="61"/>
      <c r="C31" s="62" t="s">
        <v>5044</v>
      </c>
      <c r="D31" t="s">
        <v>5045</v>
      </c>
      <c r="E31" t="s">
        <v>5046</v>
      </c>
      <c r="F31" t="s">
        <v>4880</v>
      </c>
      <c r="G31" t="s">
        <v>5047</v>
      </c>
      <c r="H31" t="s">
        <v>5048</v>
      </c>
      <c r="I31" t="s">
        <v>4856</v>
      </c>
      <c r="J31" t="s">
        <v>5049</v>
      </c>
      <c r="K31" t="s">
        <v>5050</v>
      </c>
    </row>
    <row r="32" spans="1:11" x14ac:dyDescent="0.35">
      <c r="A32" s="61"/>
      <c r="B32" s="61"/>
      <c r="C32" s="61"/>
      <c r="D32" t="s">
        <v>5051</v>
      </c>
      <c r="E32" t="s">
        <v>5052</v>
      </c>
      <c r="F32" t="s">
        <v>4880</v>
      </c>
      <c r="G32" t="s">
        <v>5053</v>
      </c>
      <c r="H32" t="s">
        <v>5054</v>
      </c>
      <c r="I32" t="s">
        <v>4856</v>
      </c>
      <c r="J32" t="s">
        <v>5055</v>
      </c>
      <c r="K32" t="s">
        <v>5056</v>
      </c>
    </row>
    <row r="33" spans="1:11" x14ac:dyDescent="0.35">
      <c r="A33" s="61"/>
      <c r="B33" s="61"/>
      <c r="C33" s="61"/>
      <c r="D33" t="s">
        <v>5057</v>
      </c>
      <c r="E33" t="s">
        <v>5058</v>
      </c>
      <c r="F33" t="s">
        <v>4880</v>
      </c>
      <c r="G33" t="s">
        <v>5059</v>
      </c>
      <c r="H33" t="s">
        <v>5060</v>
      </c>
      <c r="I33" t="s">
        <v>4856</v>
      </c>
      <c r="J33" t="s">
        <v>5061</v>
      </c>
      <c r="K33" t="s">
        <v>5062</v>
      </c>
    </row>
    <row r="34" spans="1:11" x14ac:dyDescent="0.35">
      <c r="A34" s="61"/>
      <c r="B34" s="61"/>
      <c r="C34" s="61"/>
      <c r="D34" t="s">
        <v>5063</v>
      </c>
      <c r="E34" t="s">
        <v>5064</v>
      </c>
      <c r="F34" t="s">
        <v>4880</v>
      </c>
      <c r="G34" t="s">
        <v>5065</v>
      </c>
      <c r="H34" t="s">
        <v>5066</v>
      </c>
      <c r="I34" t="s">
        <v>4856</v>
      </c>
      <c r="J34" t="s">
        <v>5067</v>
      </c>
      <c r="K34" t="s">
        <v>5068</v>
      </c>
    </row>
    <row r="35" spans="1:11" x14ac:dyDescent="0.35">
      <c r="A35" s="61"/>
      <c r="B35" s="61"/>
      <c r="C35" s="61"/>
      <c r="D35" t="s">
        <v>5069</v>
      </c>
      <c r="E35" t="s">
        <v>5070</v>
      </c>
      <c r="F35" t="s">
        <v>4880</v>
      </c>
      <c r="G35" t="s">
        <v>5071</v>
      </c>
      <c r="H35" t="s">
        <v>5072</v>
      </c>
      <c r="I35" t="s">
        <v>4856</v>
      </c>
      <c r="J35" t="s">
        <v>5073</v>
      </c>
      <c r="K35" t="s">
        <v>5074</v>
      </c>
    </row>
    <row r="36" spans="1:11" x14ac:dyDescent="0.35">
      <c r="A36" s="61"/>
      <c r="B36" s="61"/>
      <c r="C36" s="61" t="s">
        <v>5075</v>
      </c>
      <c r="D36" t="s">
        <v>5076</v>
      </c>
      <c r="E36" t="s">
        <v>5077</v>
      </c>
      <c r="F36" t="s">
        <v>4880</v>
      </c>
      <c r="G36" t="s">
        <v>5078</v>
      </c>
      <c r="H36" t="s">
        <v>5079</v>
      </c>
      <c r="I36" t="s">
        <v>5080</v>
      </c>
      <c r="J36" t="s">
        <v>5081</v>
      </c>
      <c r="K36" t="s">
        <v>5082</v>
      </c>
    </row>
    <row r="37" spans="1:11" x14ac:dyDescent="0.35">
      <c r="A37" s="61"/>
      <c r="B37" s="61"/>
      <c r="C37" s="61"/>
      <c r="D37" t="s">
        <v>5083</v>
      </c>
      <c r="E37" t="s">
        <v>5084</v>
      </c>
      <c r="F37" t="s">
        <v>4880</v>
      </c>
      <c r="G37" t="s">
        <v>5085</v>
      </c>
      <c r="H37" t="s">
        <v>5086</v>
      </c>
      <c r="I37" t="s">
        <v>5015</v>
      </c>
      <c r="J37" t="s">
        <v>5087</v>
      </c>
      <c r="K37" t="s">
        <v>5088</v>
      </c>
    </row>
    <row r="38" spans="1:11" x14ac:dyDescent="0.35">
      <c r="A38" s="61"/>
      <c r="B38" s="61"/>
      <c r="C38" s="61"/>
      <c r="D38" t="s">
        <v>5089</v>
      </c>
      <c r="E38" t="s">
        <v>5090</v>
      </c>
      <c r="F38" t="s">
        <v>4880</v>
      </c>
      <c r="G38" t="s">
        <v>5091</v>
      </c>
      <c r="H38" t="s">
        <v>5092</v>
      </c>
      <c r="I38" t="s">
        <v>5093</v>
      </c>
      <c r="J38" t="s">
        <v>5094</v>
      </c>
      <c r="K38" t="s">
        <v>5095</v>
      </c>
    </row>
    <row r="39" spans="1:11" x14ac:dyDescent="0.35">
      <c r="A39" s="61"/>
      <c r="B39" s="61"/>
      <c r="C39" s="61"/>
      <c r="D39" t="s">
        <v>5096</v>
      </c>
      <c r="E39" t="s">
        <v>5097</v>
      </c>
      <c r="F39" t="s">
        <v>4880</v>
      </c>
      <c r="G39" t="s">
        <v>5098</v>
      </c>
      <c r="H39" t="s">
        <v>5099</v>
      </c>
      <c r="I39" t="s">
        <v>5035</v>
      </c>
      <c r="J39" t="s">
        <v>5100</v>
      </c>
      <c r="K39" t="s">
        <v>5101</v>
      </c>
    </row>
    <row r="40" spans="1:11" x14ac:dyDescent="0.35">
      <c r="A40" s="61"/>
      <c r="B40" s="61"/>
      <c r="C40" s="61"/>
      <c r="D40" t="s">
        <v>5102</v>
      </c>
      <c r="E40" t="s">
        <v>5103</v>
      </c>
      <c r="F40" t="s">
        <v>4880</v>
      </c>
      <c r="G40" t="s">
        <v>5104</v>
      </c>
      <c r="H40" t="s">
        <v>5105</v>
      </c>
      <c r="I40" t="s">
        <v>5106</v>
      </c>
      <c r="J40" t="s">
        <v>5107</v>
      </c>
      <c r="K40" t="s">
        <v>5108</v>
      </c>
    </row>
    <row r="41" spans="1:11" x14ac:dyDescent="0.35">
      <c r="A41" s="61"/>
      <c r="B41" s="61" t="s">
        <v>5109</v>
      </c>
      <c r="C41" s="62" t="s">
        <v>5110</v>
      </c>
      <c r="D41" t="s">
        <v>5111</v>
      </c>
      <c r="E41" t="s">
        <v>5112</v>
      </c>
      <c r="F41" t="s">
        <v>4880</v>
      </c>
      <c r="G41" t="s">
        <v>5113</v>
      </c>
      <c r="H41" t="s">
        <v>5114</v>
      </c>
      <c r="I41" t="s">
        <v>5080</v>
      </c>
      <c r="J41" t="s">
        <v>5115</v>
      </c>
      <c r="K41" t="s">
        <v>5116</v>
      </c>
    </row>
    <row r="42" spans="1:11" x14ac:dyDescent="0.35">
      <c r="A42" s="61"/>
      <c r="B42" s="61"/>
      <c r="C42" s="61"/>
      <c r="D42" t="s">
        <v>5117</v>
      </c>
      <c r="E42" t="s">
        <v>5118</v>
      </c>
      <c r="F42" t="s">
        <v>4880</v>
      </c>
      <c r="G42" t="s">
        <v>5119</v>
      </c>
      <c r="H42" t="s">
        <v>5120</v>
      </c>
      <c r="I42" t="s">
        <v>5121</v>
      </c>
      <c r="J42" t="s">
        <v>5122</v>
      </c>
      <c r="K42" t="s">
        <v>5123</v>
      </c>
    </row>
    <row r="43" spans="1:11" x14ac:dyDescent="0.35">
      <c r="A43" s="61"/>
      <c r="B43" s="61"/>
      <c r="C43" s="61"/>
      <c r="D43" t="s">
        <v>5124</v>
      </c>
      <c r="E43" t="s">
        <v>5125</v>
      </c>
      <c r="F43" t="s">
        <v>4880</v>
      </c>
      <c r="G43" t="s">
        <v>5126</v>
      </c>
      <c r="H43" t="s">
        <v>5127</v>
      </c>
      <c r="I43" t="s">
        <v>5128</v>
      </c>
      <c r="J43" t="s">
        <v>5129</v>
      </c>
      <c r="K43" t="s">
        <v>5130</v>
      </c>
    </row>
    <row r="44" spans="1:11" x14ac:dyDescent="0.35">
      <c r="A44" s="61"/>
      <c r="B44" s="61"/>
      <c r="C44" s="61"/>
      <c r="D44" t="s">
        <v>5131</v>
      </c>
      <c r="E44" t="s">
        <v>5132</v>
      </c>
      <c r="F44" t="s">
        <v>4880</v>
      </c>
      <c r="G44" t="s">
        <v>5133</v>
      </c>
      <c r="H44" t="s">
        <v>5134</v>
      </c>
      <c r="I44" t="s">
        <v>5135</v>
      </c>
      <c r="J44" t="s">
        <v>5136</v>
      </c>
      <c r="K44" t="s">
        <v>5137</v>
      </c>
    </row>
    <row r="45" spans="1:11" x14ac:dyDescent="0.35">
      <c r="A45" s="61"/>
      <c r="B45" s="61"/>
      <c r="C45" s="61"/>
      <c r="D45" t="s">
        <v>5138</v>
      </c>
      <c r="E45" t="s">
        <v>5139</v>
      </c>
      <c r="F45" t="s">
        <v>4880</v>
      </c>
      <c r="G45" t="s">
        <v>5140</v>
      </c>
      <c r="H45" t="s">
        <v>5141</v>
      </c>
      <c r="I45" t="s">
        <v>5142</v>
      </c>
      <c r="J45" t="s">
        <v>5143</v>
      </c>
      <c r="K45" t="s">
        <v>5144</v>
      </c>
    </row>
    <row r="46" spans="1:11" x14ac:dyDescent="0.35">
      <c r="A46" s="61"/>
      <c r="B46" s="61"/>
      <c r="C46" s="61" t="s">
        <v>5145</v>
      </c>
      <c r="D46" t="s">
        <v>5146</v>
      </c>
      <c r="E46" t="s">
        <v>5147</v>
      </c>
      <c r="F46" t="s">
        <v>4880</v>
      </c>
      <c r="G46" t="s">
        <v>5148</v>
      </c>
      <c r="H46" t="s">
        <v>5149</v>
      </c>
      <c r="I46" t="s">
        <v>5142</v>
      </c>
      <c r="J46" t="s">
        <v>5150</v>
      </c>
      <c r="K46" t="s">
        <v>5151</v>
      </c>
    </row>
    <row r="47" spans="1:11" x14ac:dyDescent="0.35">
      <c r="A47" s="61"/>
      <c r="B47" s="61"/>
      <c r="C47" s="61"/>
      <c r="D47" t="s">
        <v>5152</v>
      </c>
      <c r="E47" t="s">
        <v>5153</v>
      </c>
      <c r="F47" t="s">
        <v>4880</v>
      </c>
      <c r="G47" t="s">
        <v>5154</v>
      </c>
      <c r="H47" t="s">
        <v>5155</v>
      </c>
      <c r="I47" t="s">
        <v>5142</v>
      </c>
      <c r="J47" t="s">
        <v>5156</v>
      </c>
      <c r="K47" t="s">
        <v>5157</v>
      </c>
    </row>
    <row r="48" spans="1:11" x14ac:dyDescent="0.35">
      <c r="A48" s="61"/>
      <c r="B48" s="61"/>
      <c r="C48" s="61"/>
      <c r="D48" t="s">
        <v>5158</v>
      </c>
      <c r="E48" t="s">
        <v>5159</v>
      </c>
      <c r="F48" t="s">
        <v>4880</v>
      </c>
      <c r="G48" t="s">
        <v>5160</v>
      </c>
      <c r="H48" t="s">
        <v>5161</v>
      </c>
      <c r="I48" t="s">
        <v>5142</v>
      </c>
      <c r="J48" t="s">
        <v>5162</v>
      </c>
      <c r="K48" t="s">
        <v>5163</v>
      </c>
    </row>
    <row r="49" spans="1:11" x14ac:dyDescent="0.35">
      <c r="A49" s="61"/>
      <c r="B49" s="61"/>
      <c r="C49" s="61"/>
      <c r="D49" t="s">
        <v>5164</v>
      </c>
      <c r="E49" t="s">
        <v>5165</v>
      </c>
      <c r="F49" t="s">
        <v>4880</v>
      </c>
      <c r="G49" t="s">
        <v>5166</v>
      </c>
      <c r="H49" t="s">
        <v>5167</v>
      </c>
      <c r="I49" t="s">
        <v>5142</v>
      </c>
      <c r="J49" t="s">
        <v>5168</v>
      </c>
      <c r="K49" t="s">
        <v>5169</v>
      </c>
    </row>
    <row r="50" spans="1:11" x14ac:dyDescent="0.35">
      <c r="A50" s="61"/>
      <c r="B50" s="61"/>
      <c r="C50" s="61"/>
      <c r="D50" t="s">
        <v>5170</v>
      </c>
      <c r="E50" t="s">
        <v>5171</v>
      </c>
      <c r="F50" t="s">
        <v>4880</v>
      </c>
      <c r="G50" t="s">
        <v>5172</v>
      </c>
      <c r="H50" t="s">
        <v>5173</v>
      </c>
      <c r="I50" t="s">
        <v>5142</v>
      </c>
      <c r="J50" t="s">
        <v>5174</v>
      </c>
      <c r="K50" t="s">
        <v>5175</v>
      </c>
    </row>
    <row r="51" spans="1:11" x14ac:dyDescent="0.35">
      <c r="A51" s="61"/>
      <c r="B51" s="61"/>
      <c r="C51" s="62" t="s">
        <v>5176</v>
      </c>
      <c r="D51" t="s">
        <v>5177</v>
      </c>
      <c r="E51" t="s">
        <v>5178</v>
      </c>
      <c r="F51" t="s">
        <v>4880</v>
      </c>
      <c r="G51" t="s">
        <v>5179</v>
      </c>
      <c r="H51" t="s">
        <v>5180</v>
      </c>
      <c r="I51" t="s">
        <v>5181</v>
      </c>
      <c r="J51" t="s">
        <v>5182</v>
      </c>
      <c r="K51" t="s">
        <v>5183</v>
      </c>
    </row>
    <row r="52" spans="1:11" x14ac:dyDescent="0.35">
      <c r="A52" s="61"/>
      <c r="B52" s="61"/>
      <c r="C52" s="61"/>
      <c r="D52" t="s">
        <v>5184</v>
      </c>
      <c r="E52" t="s">
        <v>5185</v>
      </c>
      <c r="F52" t="s">
        <v>4880</v>
      </c>
      <c r="G52" t="s">
        <v>5186</v>
      </c>
      <c r="H52" t="s">
        <v>5187</v>
      </c>
      <c r="I52" t="s">
        <v>5181</v>
      </c>
      <c r="J52" t="s">
        <v>5188</v>
      </c>
      <c r="K52" t="s">
        <v>5189</v>
      </c>
    </row>
    <row r="53" spans="1:11" x14ac:dyDescent="0.35">
      <c r="A53" s="61"/>
      <c r="B53" s="61"/>
      <c r="C53" s="61"/>
      <c r="D53" t="s">
        <v>5190</v>
      </c>
      <c r="E53" t="s">
        <v>5191</v>
      </c>
      <c r="F53" t="s">
        <v>4880</v>
      </c>
      <c r="G53" t="s">
        <v>5192</v>
      </c>
      <c r="H53" t="s">
        <v>5193</v>
      </c>
      <c r="I53" t="s">
        <v>5181</v>
      </c>
      <c r="J53" t="s">
        <v>5194</v>
      </c>
      <c r="K53" t="s">
        <v>5195</v>
      </c>
    </row>
    <row r="54" spans="1:11" x14ac:dyDescent="0.35">
      <c r="A54" s="61"/>
      <c r="B54" s="61"/>
      <c r="C54" s="61"/>
      <c r="D54" t="s">
        <v>5196</v>
      </c>
      <c r="E54" t="s">
        <v>5197</v>
      </c>
      <c r="F54" t="s">
        <v>4880</v>
      </c>
      <c r="G54" t="s">
        <v>5198</v>
      </c>
      <c r="H54" t="s">
        <v>5199</v>
      </c>
      <c r="I54" t="s">
        <v>5181</v>
      </c>
      <c r="J54" t="s">
        <v>5200</v>
      </c>
      <c r="K54" t="s">
        <v>5201</v>
      </c>
    </row>
    <row r="55" spans="1:11" x14ac:dyDescent="0.35">
      <c r="A55" s="61"/>
      <c r="B55" s="61"/>
      <c r="C55" s="61"/>
      <c r="D55" t="s">
        <v>5202</v>
      </c>
      <c r="E55" t="s">
        <v>5203</v>
      </c>
      <c r="F55" t="s">
        <v>4880</v>
      </c>
      <c r="G55" t="s">
        <v>5204</v>
      </c>
      <c r="H55" t="s">
        <v>5205</v>
      </c>
      <c r="I55" t="s">
        <v>5181</v>
      </c>
      <c r="J55" t="s">
        <v>5206</v>
      </c>
      <c r="K55" t="s">
        <v>5207</v>
      </c>
    </row>
    <row r="56" spans="1:11" x14ac:dyDescent="0.35">
      <c r="A56" s="61"/>
      <c r="B56" s="61"/>
      <c r="C56" s="61" t="s">
        <v>5208</v>
      </c>
      <c r="D56" t="s">
        <v>5209</v>
      </c>
      <c r="E56" t="s">
        <v>5210</v>
      </c>
      <c r="F56" t="s">
        <v>4880</v>
      </c>
      <c r="G56" t="s">
        <v>5211</v>
      </c>
      <c r="H56" t="s">
        <v>5212</v>
      </c>
      <c r="I56" t="s">
        <v>5213</v>
      </c>
      <c r="J56" t="s">
        <v>5214</v>
      </c>
      <c r="K56" t="s">
        <v>5215</v>
      </c>
    </row>
    <row r="57" spans="1:11" x14ac:dyDescent="0.35">
      <c r="A57" s="61"/>
      <c r="B57" s="61"/>
      <c r="C57" s="61"/>
      <c r="D57" t="s">
        <v>5216</v>
      </c>
      <c r="E57" t="s">
        <v>5217</v>
      </c>
      <c r="F57" t="s">
        <v>4880</v>
      </c>
      <c r="G57" t="s">
        <v>5218</v>
      </c>
      <c r="H57" t="s">
        <v>5219</v>
      </c>
      <c r="I57" t="s">
        <v>5213</v>
      </c>
      <c r="J57" t="s">
        <v>5220</v>
      </c>
      <c r="K57" t="s">
        <v>5221</v>
      </c>
    </row>
    <row r="58" spans="1:11" x14ac:dyDescent="0.35">
      <c r="A58" s="61"/>
      <c r="B58" s="61"/>
      <c r="C58" s="61"/>
      <c r="D58" t="s">
        <v>5222</v>
      </c>
      <c r="E58" t="s">
        <v>5223</v>
      </c>
      <c r="F58" t="s">
        <v>4880</v>
      </c>
      <c r="G58" t="s">
        <v>5224</v>
      </c>
      <c r="H58" t="s">
        <v>5225</v>
      </c>
      <c r="I58" t="s">
        <v>5213</v>
      </c>
      <c r="J58" t="s">
        <v>5226</v>
      </c>
      <c r="K58" t="s">
        <v>5227</v>
      </c>
    </row>
    <row r="59" spans="1:11" x14ac:dyDescent="0.35">
      <c r="A59" s="61"/>
      <c r="B59" s="61"/>
      <c r="C59" s="61"/>
      <c r="D59" t="s">
        <v>5228</v>
      </c>
      <c r="E59" t="s">
        <v>5229</v>
      </c>
      <c r="F59" t="s">
        <v>4880</v>
      </c>
      <c r="G59" t="s">
        <v>5230</v>
      </c>
      <c r="H59" t="s">
        <v>5231</v>
      </c>
      <c r="I59" t="s">
        <v>5213</v>
      </c>
      <c r="J59" t="s">
        <v>5232</v>
      </c>
      <c r="K59" t="s">
        <v>5233</v>
      </c>
    </row>
    <row r="60" spans="1:11" x14ac:dyDescent="0.35">
      <c r="A60" s="61"/>
      <c r="B60" s="61"/>
      <c r="C60" s="61"/>
      <c r="D60" t="s">
        <v>5234</v>
      </c>
      <c r="E60" t="s">
        <v>5235</v>
      </c>
      <c r="F60" t="s">
        <v>4880</v>
      </c>
      <c r="G60" t="s">
        <v>5236</v>
      </c>
      <c r="H60" t="s">
        <v>5237</v>
      </c>
      <c r="I60" t="s">
        <v>5181</v>
      </c>
      <c r="J60" t="s">
        <v>5238</v>
      </c>
      <c r="K60" t="s">
        <v>5239</v>
      </c>
    </row>
    <row r="61" spans="1:11" x14ac:dyDescent="0.35">
      <c r="A61" s="61"/>
      <c r="B61" s="61"/>
      <c r="C61" s="61" t="s">
        <v>5240</v>
      </c>
      <c r="D61" t="s">
        <v>5241</v>
      </c>
      <c r="E61" t="s">
        <v>5242</v>
      </c>
      <c r="F61" t="s">
        <v>4880</v>
      </c>
      <c r="G61" t="s">
        <v>5243</v>
      </c>
      <c r="H61" t="s">
        <v>5244</v>
      </c>
      <c r="I61" t="s">
        <v>5181</v>
      </c>
      <c r="J61" t="s">
        <v>5245</v>
      </c>
      <c r="K61" t="s">
        <v>5246</v>
      </c>
    </row>
    <row r="62" spans="1:11" x14ac:dyDescent="0.35">
      <c r="A62" s="61"/>
      <c r="B62" s="61"/>
      <c r="C62" s="61"/>
      <c r="D62" t="s">
        <v>5247</v>
      </c>
      <c r="E62" t="s">
        <v>5248</v>
      </c>
      <c r="F62" t="s">
        <v>4880</v>
      </c>
      <c r="G62" t="s">
        <v>5249</v>
      </c>
      <c r="H62" t="s">
        <v>5250</v>
      </c>
      <c r="I62" t="s">
        <v>5181</v>
      </c>
      <c r="J62" t="s">
        <v>5251</v>
      </c>
      <c r="K62" t="s">
        <v>5252</v>
      </c>
    </row>
    <row r="63" spans="1:11" x14ac:dyDescent="0.35">
      <c r="A63" s="61"/>
      <c r="B63" s="61"/>
      <c r="C63" s="61"/>
      <c r="D63" t="s">
        <v>5253</v>
      </c>
      <c r="E63" t="s">
        <v>5254</v>
      </c>
      <c r="F63" t="s">
        <v>4880</v>
      </c>
      <c r="G63" t="s">
        <v>5255</v>
      </c>
      <c r="H63" t="s">
        <v>5256</v>
      </c>
      <c r="I63" t="s">
        <v>5181</v>
      </c>
      <c r="J63" t="s">
        <v>5257</v>
      </c>
      <c r="K63" t="s">
        <v>5258</v>
      </c>
    </row>
    <row r="64" spans="1:11" x14ac:dyDescent="0.35">
      <c r="A64" s="61"/>
      <c r="B64" s="61"/>
      <c r="C64" s="61"/>
      <c r="D64" t="s">
        <v>5259</v>
      </c>
      <c r="E64" t="s">
        <v>5260</v>
      </c>
      <c r="F64" t="s">
        <v>4880</v>
      </c>
      <c r="G64" t="s">
        <v>5261</v>
      </c>
      <c r="H64" t="s">
        <v>5262</v>
      </c>
      <c r="I64" t="s">
        <v>5181</v>
      </c>
      <c r="J64" t="s">
        <v>5263</v>
      </c>
      <c r="K64" t="s">
        <v>5264</v>
      </c>
    </row>
    <row r="65" spans="1:11" x14ac:dyDescent="0.35">
      <c r="A65" s="61"/>
      <c r="B65" s="61"/>
      <c r="C65" s="61"/>
      <c r="D65" t="s">
        <v>5265</v>
      </c>
      <c r="E65" t="s">
        <v>5266</v>
      </c>
      <c r="F65" t="s">
        <v>4880</v>
      </c>
      <c r="G65" t="s">
        <v>5267</v>
      </c>
      <c r="H65" t="s">
        <v>5268</v>
      </c>
      <c r="I65" t="s">
        <v>5181</v>
      </c>
      <c r="J65" t="s">
        <v>5232</v>
      </c>
      <c r="K65" t="s">
        <v>5269</v>
      </c>
    </row>
    <row r="66" spans="1:11" x14ac:dyDescent="0.35">
      <c r="A66" s="61"/>
      <c r="B66" s="61"/>
      <c r="C66" s="61" t="s">
        <v>5270</v>
      </c>
      <c r="D66" t="s">
        <v>5271</v>
      </c>
      <c r="E66" t="s">
        <v>5272</v>
      </c>
      <c r="F66" t="s">
        <v>4880</v>
      </c>
      <c r="G66" t="s">
        <v>5273</v>
      </c>
      <c r="H66" t="s">
        <v>5274</v>
      </c>
      <c r="I66" t="s">
        <v>5181</v>
      </c>
      <c r="J66" t="s">
        <v>5275</v>
      </c>
      <c r="K66" t="s">
        <v>5276</v>
      </c>
    </row>
    <row r="67" spans="1:11" x14ac:dyDescent="0.35">
      <c r="A67" s="61"/>
      <c r="B67" s="61"/>
      <c r="C67" s="61"/>
      <c r="D67" t="s">
        <v>5277</v>
      </c>
      <c r="E67" t="s">
        <v>5278</v>
      </c>
      <c r="F67" t="s">
        <v>4880</v>
      </c>
      <c r="G67" t="s">
        <v>5279</v>
      </c>
      <c r="H67" t="s">
        <v>5280</v>
      </c>
      <c r="I67" t="s">
        <v>5181</v>
      </c>
      <c r="J67" t="s">
        <v>5281</v>
      </c>
      <c r="K67" t="s">
        <v>5282</v>
      </c>
    </row>
    <row r="68" spans="1:11" x14ac:dyDescent="0.35">
      <c r="A68" s="61"/>
      <c r="B68" s="61"/>
      <c r="C68" s="61"/>
      <c r="D68" t="s">
        <v>5283</v>
      </c>
      <c r="E68" t="s">
        <v>5284</v>
      </c>
      <c r="F68" t="s">
        <v>4880</v>
      </c>
      <c r="G68" t="s">
        <v>5285</v>
      </c>
      <c r="H68" t="s">
        <v>5286</v>
      </c>
      <c r="I68" t="s">
        <v>5181</v>
      </c>
      <c r="J68" t="s">
        <v>5287</v>
      </c>
      <c r="K68" t="s">
        <v>5288</v>
      </c>
    </row>
    <row r="69" spans="1:11" x14ac:dyDescent="0.35">
      <c r="A69" s="61"/>
      <c r="B69" s="61"/>
      <c r="C69" s="61"/>
      <c r="D69" t="s">
        <v>5289</v>
      </c>
      <c r="E69" t="s">
        <v>5290</v>
      </c>
      <c r="F69" t="s">
        <v>4880</v>
      </c>
      <c r="G69" t="s">
        <v>5291</v>
      </c>
      <c r="H69" t="s">
        <v>5292</v>
      </c>
      <c r="I69" t="s">
        <v>5181</v>
      </c>
      <c r="J69" t="s">
        <v>5293</v>
      </c>
      <c r="K69" t="s">
        <v>5294</v>
      </c>
    </row>
    <row r="70" spans="1:11" x14ac:dyDescent="0.35">
      <c r="A70" s="61"/>
      <c r="B70" s="61"/>
      <c r="C70" s="61"/>
      <c r="D70" t="s">
        <v>5295</v>
      </c>
      <c r="E70" t="s">
        <v>5296</v>
      </c>
      <c r="F70" t="s">
        <v>4880</v>
      </c>
      <c r="G70" t="s">
        <v>5297</v>
      </c>
      <c r="H70" t="s">
        <v>5298</v>
      </c>
      <c r="I70" t="s">
        <v>5299</v>
      </c>
      <c r="J70" t="s">
        <v>5300</v>
      </c>
      <c r="K70" t="s">
        <v>5301</v>
      </c>
    </row>
    <row r="71" spans="1:11" x14ac:dyDescent="0.35">
      <c r="A71" s="61"/>
      <c r="B71" s="61"/>
      <c r="C71" s="61" t="s">
        <v>5302</v>
      </c>
      <c r="D71" t="s">
        <v>5303</v>
      </c>
      <c r="E71" t="s">
        <v>5304</v>
      </c>
      <c r="F71" t="s">
        <v>4880</v>
      </c>
      <c r="G71" t="s">
        <v>5305</v>
      </c>
      <c r="H71" t="s">
        <v>5306</v>
      </c>
      <c r="I71" t="s">
        <v>5299</v>
      </c>
      <c r="J71" t="s">
        <v>5307</v>
      </c>
      <c r="K71" t="s">
        <v>5308</v>
      </c>
    </row>
    <row r="72" spans="1:11" x14ac:dyDescent="0.35">
      <c r="A72" s="61"/>
      <c r="B72" s="61"/>
      <c r="C72" s="61"/>
      <c r="D72" t="s">
        <v>5309</v>
      </c>
      <c r="E72" t="s">
        <v>5310</v>
      </c>
      <c r="F72" t="s">
        <v>4880</v>
      </c>
      <c r="G72" t="s">
        <v>5311</v>
      </c>
      <c r="H72" t="s">
        <v>5312</v>
      </c>
      <c r="I72" t="s">
        <v>5299</v>
      </c>
      <c r="J72" t="s">
        <v>5313</v>
      </c>
      <c r="K72" t="s">
        <v>5314</v>
      </c>
    </row>
    <row r="73" spans="1:11" x14ac:dyDescent="0.35">
      <c r="A73" s="61"/>
      <c r="B73" s="61"/>
      <c r="C73" s="61"/>
      <c r="D73" t="s">
        <v>5315</v>
      </c>
      <c r="E73" t="s">
        <v>5316</v>
      </c>
      <c r="F73" t="s">
        <v>4880</v>
      </c>
      <c r="G73" t="s">
        <v>5317</v>
      </c>
      <c r="H73" t="s">
        <v>5318</v>
      </c>
      <c r="I73" t="s">
        <v>5299</v>
      </c>
      <c r="J73" t="s">
        <v>5319</v>
      </c>
      <c r="K73" t="s">
        <v>5320</v>
      </c>
    </row>
    <row r="74" spans="1:11" x14ac:dyDescent="0.35">
      <c r="A74" s="61"/>
      <c r="B74" s="61"/>
      <c r="C74" s="61"/>
      <c r="D74" t="s">
        <v>5321</v>
      </c>
      <c r="E74" t="s">
        <v>5322</v>
      </c>
      <c r="F74" t="s">
        <v>4880</v>
      </c>
      <c r="G74" t="s">
        <v>5323</v>
      </c>
      <c r="H74" t="s">
        <v>5324</v>
      </c>
      <c r="I74" t="s">
        <v>5299</v>
      </c>
      <c r="J74" t="s">
        <v>5325</v>
      </c>
      <c r="K74" t="s">
        <v>5326</v>
      </c>
    </row>
    <row r="75" spans="1:11" x14ac:dyDescent="0.35">
      <c r="A75" s="61"/>
      <c r="B75" s="61"/>
      <c r="C75" s="61"/>
      <c r="D75" t="s">
        <v>5327</v>
      </c>
      <c r="E75" t="s">
        <v>5328</v>
      </c>
      <c r="F75" t="s">
        <v>4880</v>
      </c>
      <c r="G75" t="s">
        <v>5329</v>
      </c>
      <c r="H75" t="s">
        <v>5330</v>
      </c>
      <c r="I75" t="s">
        <v>5299</v>
      </c>
      <c r="J75" t="s">
        <v>5331</v>
      </c>
      <c r="K75" t="s">
        <v>5332</v>
      </c>
    </row>
    <row r="76" spans="1:11" x14ac:dyDescent="0.35">
      <c r="A76" s="61"/>
      <c r="B76" s="61"/>
      <c r="C76" s="61" t="s">
        <v>5333</v>
      </c>
      <c r="D76" t="s">
        <v>5334</v>
      </c>
      <c r="E76" t="s">
        <v>5335</v>
      </c>
      <c r="F76" t="s">
        <v>4880</v>
      </c>
      <c r="G76" t="s">
        <v>5336</v>
      </c>
      <c r="H76" t="s">
        <v>5337</v>
      </c>
      <c r="I76" t="s">
        <v>5181</v>
      </c>
      <c r="J76" t="s">
        <v>5338</v>
      </c>
      <c r="K76" t="s">
        <v>5339</v>
      </c>
    </row>
    <row r="77" spans="1:11" x14ac:dyDescent="0.35">
      <c r="A77" s="61"/>
      <c r="B77" s="61"/>
      <c r="C77" s="61"/>
      <c r="D77" t="s">
        <v>5340</v>
      </c>
      <c r="E77" t="s">
        <v>5341</v>
      </c>
      <c r="F77" t="s">
        <v>4880</v>
      </c>
      <c r="G77" t="s">
        <v>5342</v>
      </c>
      <c r="H77" t="s">
        <v>5343</v>
      </c>
      <c r="I77" t="s">
        <v>5181</v>
      </c>
      <c r="J77" t="s">
        <v>5344</v>
      </c>
      <c r="K77" t="s">
        <v>5345</v>
      </c>
    </row>
    <row r="78" spans="1:11" x14ac:dyDescent="0.35">
      <c r="A78" s="61"/>
      <c r="B78" s="61"/>
      <c r="C78" s="61"/>
      <c r="D78" t="s">
        <v>5346</v>
      </c>
      <c r="E78" t="s">
        <v>5347</v>
      </c>
      <c r="F78" t="s">
        <v>4880</v>
      </c>
      <c r="G78" t="s">
        <v>5348</v>
      </c>
      <c r="H78" t="s">
        <v>5349</v>
      </c>
      <c r="I78" t="s">
        <v>5181</v>
      </c>
      <c r="J78" t="s">
        <v>5350</v>
      </c>
      <c r="K78" t="s">
        <v>5351</v>
      </c>
    </row>
    <row r="79" spans="1:11" x14ac:dyDescent="0.35">
      <c r="A79" s="61"/>
      <c r="B79" s="61"/>
      <c r="C79" s="61"/>
      <c r="D79" t="s">
        <v>5352</v>
      </c>
      <c r="E79" t="s">
        <v>5353</v>
      </c>
      <c r="F79" t="s">
        <v>4880</v>
      </c>
      <c r="G79" t="s">
        <v>5354</v>
      </c>
      <c r="H79" t="s">
        <v>5355</v>
      </c>
      <c r="I79" t="s">
        <v>5181</v>
      </c>
      <c r="J79" t="s">
        <v>5356</v>
      </c>
      <c r="K79" t="s">
        <v>5357</v>
      </c>
    </row>
    <row r="80" spans="1:11" x14ac:dyDescent="0.35">
      <c r="A80" s="61"/>
      <c r="B80" s="61"/>
      <c r="C80" s="61"/>
      <c r="D80" t="s">
        <v>5358</v>
      </c>
      <c r="E80" t="s">
        <v>5359</v>
      </c>
      <c r="F80" t="s">
        <v>4880</v>
      </c>
      <c r="G80" t="s">
        <v>5360</v>
      </c>
      <c r="H80" t="s">
        <v>5361</v>
      </c>
      <c r="I80" t="s">
        <v>5181</v>
      </c>
      <c r="J80" t="s">
        <v>5362</v>
      </c>
    </row>
    <row r="81" spans="1:11" ht="87" x14ac:dyDescent="0.35">
      <c r="A81" s="61"/>
      <c r="B81" s="61"/>
      <c r="C81" s="61" t="s">
        <v>5363</v>
      </c>
      <c r="D81" s="1" t="s">
        <v>5364</v>
      </c>
      <c r="E81" s="1" t="s">
        <v>5365</v>
      </c>
      <c r="F81" s="1" t="s">
        <v>5366</v>
      </c>
      <c r="G81" s="1" t="s">
        <v>5367</v>
      </c>
      <c r="H81" s="1" t="s">
        <v>5368</v>
      </c>
      <c r="I81" s="1" t="s">
        <v>4856</v>
      </c>
      <c r="J81" s="1" t="s">
        <v>5369</v>
      </c>
      <c r="K81" s="1" t="s">
        <v>5370</v>
      </c>
    </row>
    <row r="82" spans="1:11" ht="101.5" x14ac:dyDescent="0.35">
      <c r="A82" s="61"/>
      <c r="B82" s="61"/>
      <c r="C82" s="61"/>
      <c r="D82" s="1" t="s">
        <v>5371</v>
      </c>
      <c r="E82" s="1" t="s">
        <v>5372</v>
      </c>
      <c r="F82" s="1" t="s">
        <v>5366</v>
      </c>
      <c r="G82" s="1" t="s">
        <v>5373</v>
      </c>
      <c r="H82" s="1" t="s">
        <v>5374</v>
      </c>
      <c r="I82" s="1" t="s">
        <v>4856</v>
      </c>
      <c r="J82" s="1" t="s">
        <v>5375</v>
      </c>
      <c r="K82" s="1" t="s">
        <v>5376</v>
      </c>
    </row>
    <row r="83" spans="1:11" ht="101.5" x14ac:dyDescent="0.35">
      <c r="A83" s="61"/>
      <c r="B83" s="61"/>
      <c r="C83" s="61"/>
      <c r="D83" s="1" t="s">
        <v>5377</v>
      </c>
      <c r="E83" s="1" t="s">
        <v>5378</v>
      </c>
      <c r="F83" s="1" t="s">
        <v>5366</v>
      </c>
      <c r="G83" s="1" t="s">
        <v>5379</v>
      </c>
      <c r="H83" s="1" t="s">
        <v>5380</v>
      </c>
      <c r="I83" s="1" t="s">
        <v>5381</v>
      </c>
      <c r="J83" s="1" t="s">
        <v>5382</v>
      </c>
      <c r="K83" s="1" t="s">
        <v>5383</v>
      </c>
    </row>
    <row r="84" spans="1:11" ht="130.5" x14ac:dyDescent="0.35">
      <c r="A84" s="61"/>
      <c r="B84" s="61"/>
      <c r="C84" s="61"/>
      <c r="D84" s="1" t="s">
        <v>5384</v>
      </c>
      <c r="E84" s="1" t="s">
        <v>5385</v>
      </c>
      <c r="F84" s="1" t="s">
        <v>5366</v>
      </c>
      <c r="G84" s="1" t="s">
        <v>5386</v>
      </c>
      <c r="H84" s="1" t="s">
        <v>5387</v>
      </c>
      <c r="I84" s="1" t="s">
        <v>120</v>
      </c>
      <c r="J84" s="1" t="s">
        <v>5388</v>
      </c>
      <c r="K84" s="1" t="s">
        <v>5389</v>
      </c>
    </row>
    <row r="85" spans="1:11" ht="116" x14ac:dyDescent="0.35">
      <c r="A85" s="61"/>
      <c r="B85" s="61"/>
      <c r="C85" s="61"/>
      <c r="D85" s="1" t="s">
        <v>4910</v>
      </c>
      <c r="E85" s="1" t="s">
        <v>5390</v>
      </c>
      <c r="F85" s="1" t="s">
        <v>5366</v>
      </c>
      <c r="G85" s="1" t="s">
        <v>5391</v>
      </c>
      <c r="H85" s="1" t="s">
        <v>5392</v>
      </c>
      <c r="I85" s="1" t="s">
        <v>120</v>
      </c>
      <c r="J85" s="1" t="s">
        <v>5393</v>
      </c>
      <c r="K85" s="1" t="s">
        <v>5394</v>
      </c>
    </row>
    <row r="86" spans="1:11" ht="87" x14ac:dyDescent="0.35">
      <c r="A86" s="61"/>
      <c r="B86" s="61"/>
      <c r="C86" s="62" t="s">
        <v>5395</v>
      </c>
      <c r="D86" s="1" t="s">
        <v>5396</v>
      </c>
      <c r="E86" s="1" t="s">
        <v>5397</v>
      </c>
      <c r="F86" s="1" t="s">
        <v>5366</v>
      </c>
      <c r="G86" s="1" t="s">
        <v>5398</v>
      </c>
      <c r="H86" s="1" t="s">
        <v>5399</v>
      </c>
      <c r="I86" s="1" t="s">
        <v>4856</v>
      </c>
      <c r="J86" s="1" t="s">
        <v>5400</v>
      </c>
      <c r="K86" s="1" t="s">
        <v>5401</v>
      </c>
    </row>
    <row r="87" spans="1:11" ht="101.5" x14ac:dyDescent="0.35">
      <c r="A87" s="61"/>
      <c r="B87" s="61"/>
      <c r="C87" s="61"/>
      <c r="D87" s="1" t="s">
        <v>4878</v>
      </c>
      <c r="E87" s="1" t="s">
        <v>5402</v>
      </c>
      <c r="F87" s="1" t="s">
        <v>5366</v>
      </c>
      <c r="G87" s="1" t="s">
        <v>5403</v>
      </c>
      <c r="H87" s="1" t="s">
        <v>5404</v>
      </c>
      <c r="I87" s="1" t="s">
        <v>4856</v>
      </c>
      <c r="J87" s="1" t="s">
        <v>5405</v>
      </c>
      <c r="K87" s="1" t="s">
        <v>5406</v>
      </c>
    </row>
    <row r="88" spans="1:11" ht="145" x14ac:dyDescent="0.35">
      <c r="A88" s="61"/>
      <c r="B88" s="61"/>
      <c r="C88" s="61"/>
      <c r="D88" s="1" t="s">
        <v>5407</v>
      </c>
      <c r="E88" s="1" t="s">
        <v>5408</v>
      </c>
      <c r="F88" s="1" t="s">
        <v>5366</v>
      </c>
      <c r="G88" s="1" t="s">
        <v>5409</v>
      </c>
      <c r="H88" s="1" t="s">
        <v>5410</v>
      </c>
      <c r="I88" s="1" t="s">
        <v>5381</v>
      </c>
      <c r="J88" s="1" t="s">
        <v>5411</v>
      </c>
      <c r="K88" s="1" t="s">
        <v>5412</v>
      </c>
    </row>
    <row r="89" spans="1:11" ht="101.5" x14ac:dyDescent="0.35">
      <c r="A89" s="61"/>
      <c r="B89" s="61"/>
      <c r="C89" s="61"/>
      <c r="D89" s="1" t="s">
        <v>5413</v>
      </c>
      <c r="E89" s="1" t="s">
        <v>5414</v>
      </c>
      <c r="F89" s="1" t="s">
        <v>5366</v>
      </c>
      <c r="G89" s="1" t="s">
        <v>5415</v>
      </c>
      <c r="H89" s="1" t="s">
        <v>5416</v>
      </c>
      <c r="I89" s="1" t="s">
        <v>120</v>
      </c>
      <c r="J89" s="1" t="s">
        <v>5417</v>
      </c>
      <c r="K89" s="1" t="s">
        <v>5418</v>
      </c>
    </row>
    <row r="90" spans="1:11" ht="101.5" x14ac:dyDescent="0.35">
      <c r="A90" s="61"/>
      <c r="B90" s="61"/>
      <c r="C90" s="61"/>
      <c r="D90" s="1" t="s">
        <v>5419</v>
      </c>
      <c r="E90" s="1" t="s">
        <v>5420</v>
      </c>
      <c r="F90" s="1" t="s">
        <v>5366</v>
      </c>
      <c r="G90" s="1" t="s">
        <v>5421</v>
      </c>
      <c r="H90" s="1" t="s">
        <v>5422</v>
      </c>
      <c r="I90" s="1" t="s">
        <v>120</v>
      </c>
      <c r="J90" s="1" t="s">
        <v>5423</v>
      </c>
      <c r="K90" s="1" t="s">
        <v>5424</v>
      </c>
    </row>
    <row r="91" spans="1:11" ht="87" x14ac:dyDescent="0.35">
      <c r="A91" s="61"/>
      <c r="B91" s="61"/>
      <c r="C91" s="62" t="s">
        <v>5425</v>
      </c>
      <c r="D91" s="1" t="s">
        <v>5426</v>
      </c>
      <c r="E91" s="1" t="s">
        <v>5427</v>
      </c>
      <c r="F91" s="1" t="s">
        <v>5366</v>
      </c>
      <c r="G91" s="1" t="s">
        <v>5428</v>
      </c>
      <c r="H91" s="1" t="s">
        <v>5429</v>
      </c>
      <c r="I91" s="1" t="s">
        <v>4856</v>
      </c>
      <c r="J91" s="1" t="s">
        <v>5430</v>
      </c>
      <c r="K91" s="1" t="s">
        <v>5431</v>
      </c>
    </row>
    <row r="92" spans="1:11" ht="130.5" x14ac:dyDescent="0.35">
      <c r="A92" s="61"/>
      <c r="B92" s="61"/>
      <c r="C92" s="61"/>
      <c r="D92" s="1" t="s">
        <v>5432</v>
      </c>
      <c r="E92" s="1" t="s">
        <v>5433</v>
      </c>
      <c r="F92" s="1" t="s">
        <v>5366</v>
      </c>
      <c r="G92" s="1" t="s">
        <v>5434</v>
      </c>
      <c r="H92" s="1" t="s">
        <v>5435</v>
      </c>
      <c r="I92" s="1" t="s">
        <v>4856</v>
      </c>
      <c r="J92" s="1" t="s">
        <v>5436</v>
      </c>
      <c r="K92" s="1" t="s">
        <v>5437</v>
      </c>
    </row>
    <row r="93" spans="1:11" ht="116" x14ac:dyDescent="0.35">
      <c r="A93" s="61"/>
      <c r="B93" s="61"/>
      <c r="C93" s="61"/>
      <c r="D93" s="1" t="s">
        <v>5438</v>
      </c>
      <c r="E93" s="1" t="s">
        <v>5439</v>
      </c>
      <c r="F93" s="1" t="s">
        <v>5366</v>
      </c>
      <c r="G93" s="1" t="s">
        <v>5440</v>
      </c>
      <c r="H93" s="1" t="s">
        <v>5441</v>
      </c>
      <c r="I93" s="1" t="s">
        <v>120</v>
      </c>
      <c r="J93" s="1" t="s">
        <v>5442</v>
      </c>
      <c r="K93" s="1" t="s">
        <v>5443</v>
      </c>
    </row>
    <row r="94" spans="1:11" ht="130.5" x14ac:dyDescent="0.35">
      <c r="A94" s="61"/>
      <c r="B94" s="61"/>
      <c r="C94" s="61"/>
      <c r="D94" s="1" t="s">
        <v>5444</v>
      </c>
      <c r="E94" s="1" t="s">
        <v>5445</v>
      </c>
      <c r="F94" s="1" t="s">
        <v>5366</v>
      </c>
      <c r="G94" s="1" t="s">
        <v>5446</v>
      </c>
      <c r="H94" s="1" t="s">
        <v>5447</v>
      </c>
      <c r="I94" s="1" t="s">
        <v>120</v>
      </c>
      <c r="J94" s="1" t="s">
        <v>5448</v>
      </c>
      <c r="K94" s="1" t="s">
        <v>5449</v>
      </c>
    </row>
    <row r="95" spans="1:11" ht="130.5" x14ac:dyDescent="0.35">
      <c r="A95" s="61"/>
      <c r="B95" s="61"/>
      <c r="C95" s="61"/>
      <c r="D95" s="1" t="s">
        <v>5450</v>
      </c>
      <c r="E95" s="1" t="s">
        <v>5451</v>
      </c>
      <c r="F95" s="1" t="s">
        <v>5366</v>
      </c>
      <c r="G95" s="1" t="s">
        <v>5452</v>
      </c>
      <c r="H95" s="1" t="s">
        <v>5453</v>
      </c>
      <c r="I95" s="1" t="s">
        <v>4856</v>
      </c>
      <c r="J95" s="1" t="s">
        <v>5454</v>
      </c>
      <c r="K95" s="1" t="s">
        <v>5455</v>
      </c>
    </row>
    <row r="96" spans="1:11" ht="116" x14ac:dyDescent="0.35">
      <c r="A96" s="61"/>
      <c r="B96" s="61"/>
      <c r="C96" s="61" t="s">
        <v>5456</v>
      </c>
      <c r="D96" s="1" t="s">
        <v>5457</v>
      </c>
      <c r="E96" s="1" t="s">
        <v>5458</v>
      </c>
      <c r="F96" s="1" t="s">
        <v>4856</v>
      </c>
      <c r="G96" s="1" t="s">
        <v>5459</v>
      </c>
      <c r="H96" s="1" t="s">
        <v>5460</v>
      </c>
    </row>
    <row r="97" spans="1:11" ht="130.5" x14ac:dyDescent="0.35">
      <c r="A97" s="61"/>
      <c r="B97" s="61"/>
      <c r="C97" s="61"/>
      <c r="D97" s="1" t="s">
        <v>5461</v>
      </c>
      <c r="E97" s="1" t="s">
        <v>5462</v>
      </c>
      <c r="F97" s="1" t="s">
        <v>5366</v>
      </c>
      <c r="G97" s="1" t="s">
        <v>5463</v>
      </c>
      <c r="H97" s="1" t="s">
        <v>5464</v>
      </c>
      <c r="I97" s="1" t="s">
        <v>4856</v>
      </c>
      <c r="J97" s="1" t="s">
        <v>5465</v>
      </c>
      <c r="K97" s="1" t="s">
        <v>5466</v>
      </c>
    </row>
    <row r="98" spans="1:11" ht="116" x14ac:dyDescent="0.35">
      <c r="A98" s="61"/>
      <c r="B98" s="61"/>
      <c r="C98" s="61"/>
      <c r="D98" s="1" t="s">
        <v>5467</v>
      </c>
      <c r="E98" s="1" t="s">
        <v>5468</v>
      </c>
      <c r="F98" s="1" t="s">
        <v>5366</v>
      </c>
      <c r="G98" s="1" t="s">
        <v>5469</v>
      </c>
      <c r="H98" s="1" t="s">
        <v>5470</v>
      </c>
      <c r="I98" s="1" t="s">
        <v>4856</v>
      </c>
      <c r="J98" s="1" t="s">
        <v>5471</v>
      </c>
      <c r="K98" s="1" t="s">
        <v>5472</v>
      </c>
    </row>
    <row r="99" spans="1:11" ht="130.5" x14ac:dyDescent="0.35">
      <c r="A99" s="61"/>
      <c r="B99" s="61"/>
      <c r="C99" s="61"/>
      <c r="D99" s="1" t="s">
        <v>5473</v>
      </c>
      <c r="E99" s="1" t="s">
        <v>5474</v>
      </c>
      <c r="F99" s="1" t="s">
        <v>5366</v>
      </c>
      <c r="G99" s="1" t="s">
        <v>5475</v>
      </c>
      <c r="H99" s="1" t="s">
        <v>5476</v>
      </c>
      <c r="I99" s="1" t="s">
        <v>5381</v>
      </c>
      <c r="J99" s="1" t="s">
        <v>5477</v>
      </c>
      <c r="K99" s="1" t="s">
        <v>5478</v>
      </c>
    </row>
    <row r="100" spans="1:11" ht="130.5" x14ac:dyDescent="0.35">
      <c r="A100" s="61"/>
      <c r="B100" s="61"/>
      <c r="C100" s="61"/>
      <c r="D100" s="1" t="s">
        <v>5479</v>
      </c>
      <c r="E100" s="1" t="s">
        <v>5480</v>
      </c>
      <c r="F100" s="1" t="s">
        <v>5366</v>
      </c>
      <c r="G100" s="1" t="s">
        <v>5481</v>
      </c>
      <c r="H100" s="1" t="s">
        <v>5482</v>
      </c>
      <c r="I100" s="1" t="s">
        <v>4856</v>
      </c>
      <c r="J100" s="1" t="s">
        <v>5483</v>
      </c>
      <c r="K100" s="1" t="s">
        <v>5484</v>
      </c>
    </row>
    <row r="101" spans="1:11" ht="116" x14ac:dyDescent="0.35">
      <c r="A101" s="61"/>
      <c r="B101" s="61"/>
      <c r="C101" s="61" t="s">
        <v>5485</v>
      </c>
      <c r="D101" s="1" t="s">
        <v>5486</v>
      </c>
      <c r="E101" s="1" t="s">
        <v>5487</v>
      </c>
      <c r="F101" s="1" t="s">
        <v>5366</v>
      </c>
      <c r="G101" s="1" t="s">
        <v>5488</v>
      </c>
      <c r="H101" s="1" t="s">
        <v>5489</v>
      </c>
      <c r="I101" s="1" t="s">
        <v>4856</v>
      </c>
      <c r="J101" s="1" t="s">
        <v>5490</v>
      </c>
      <c r="K101" s="1" t="s">
        <v>5491</v>
      </c>
    </row>
    <row r="102" spans="1:11" ht="145" x14ac:dyDescent="0.35">
      <c r="A102" s="61"/>
      <c r="B102" s="61"/>
      <c r="C102" s="61"/>
      <c r="D102" s="1" t="s">
        <v>5492</v>
      </c>
      <c r="E102" s="1" t="s">
        <v>5493</v>
      </c>
      <c r="F102" s="1" t="s">
        <v>5366</v>
      </c>
      <c r="G102" s="1" t="s">
        <v>5494</v>
      </c>
      <c r="H102" s="1" t="s">
        <v>5495</v>
      </c>
      <c r="I102" s="1" t="s">
        <v>120</v>
      </c>
      <c r="J102" s="1" t="s">
        <v>5496</v>
      </c>
      <c r="K102" s="1" t="s">
        <v>5497</v>
      </c>
    </row>
    <row r="103" spans="1:11" ht="116" x14ac:dyDescent="0.35">
      <c r="A103" s="61"/>
      <c r="B103" s="61"/>
      <c r="C103" s="61"/>
      <c r="D103" s="1" t="s">
        <v>5498</v>
      </c>
      <c r="E103" s="1" t="s">
        <v>5499</v>
      </c>
      <c r="F103" s="1" t="s">
        <v>5366</v>
      </c>
      <c r="G103" s="1" t="s">
        <v>5500</v>
      </c>
      <c r="H103" s="1" t="s">
        <v>5501</v>
      </c>
      <c r="I103" s="1" t="s">
        <v>4856</v>
      </c>
      <c r="J103" s="1" t="s">
        <v>5502</v>
      </c>
      <c r="K103" s="1" t="s">
        <v>5503</v>
      </c>
    </row>
    <row r="104" spans="1:11" ht="130.5" x14ac:dyDescent="0.35">
      <c r="A104" s="61"/>
      <c r="B104" s="61"/>
      <c r="C104" s="61"/>
      <c r="D104" s="1" t="s">
        <v>5504</v>
      </c>
      <c r="E104" s="1" t="s">
        <v>5505</v>
      </c>
      <c r="F104" s="1" t="s">
        <v>5366</v>
      </c>
      <c r="G104" s="1" t="s">
        <v>5506</v>
      </c>
      <c r="H104" s="1" t="s">
        <v>5507</v>
      </c>
      <c r="I104" s="1" t="s">
        <v>120</v>
      </c>
      <c r="J104" s="1" t="s">
        <v>5508</v>
      </c>
      <c r="K104" s="1" t="s">
        <v>5509</v>
      </c>
    </row>
    <row r="105" spans="1:11" ht="116" x14ac:dyDescent="0.35">
      <c r="A105" s="61"/>
      <c r="B105" s="61"/>
      <c r="C105" s="61"/>
      <c r="D105" s="1" t="s">
        <v>5510</v>
      </c>
      <c r="E105" s="1" t="s">
        <v>5511</v>
      </c>
      <c r="F105" s="1" t="s">
        <v>5366</v>
      </c>
      <c r="G105" s="1" t="s">
        <v>5512</v>
      </c>
      <c r="H105" s="1" t="s">
        <v>5513</v>
      </c>
      <c r="I105" s="1" t="s">
        <v>120</v>
      </c>
      <c r="J105" s="1" t="s">
        <v>5514</v>
      </c>
      <c r="K105" s="1" t="s">
        <v>5515</v>
      </c>
    </row>
    <row r="106" spans="1:11" ht="101.5" x14ac:dyDescent="0.35">
      <c r="A106" s="61"/>
      <c r="B106" s="62" t="s">
        <v>5516</v>
      </c>
      <c r="C106" s="62" t="s">
        <v>5517</v>
      </c>
      <c r="D106" s="1" t="s">
        <v>5518</v>
      </c>
      <c r="E106" s="1" t="s">
        <v>5519</v>
      </c>
      <c r="F106" s="1" t="s">
        <v>5366</v>
      </c>
      <c r="G106" s="1" t="s">
        <v>5520</v>
      </c>
      <c r="H106" s="1" t="s">
        <v>5521</v>
      </c>
      <c r="I106" s="1" t="s">
        <v>4856</v>
      </c>
      <c r="J106" s="1" t="s">
        <v>5522</v>
      </c>
      <c r="K106" s="1" t="s">
        <v>5523</v>
      </c>
    </row>
    <row r="107" spans="1:11" ht="101.5" x14ac:dyDescent="0.35">
      <c r="A107" s="61"/>
      <c r="B107" s="61"/>
      <c r="C107" s="61"/>
      <c r="D107" s="1" t="s">
        <v>5524</v>
      </c>
      <c r="E107" s="1" t="s">
        <v>5525</v>
      </c>
      <c r="F107" s="1" t="s">
        <v>5366</v>
      </c>
      <c r="G107" s="1" t="s">
        <v>5526</v>
      </c>
      <c r="H107" s="1" t="s">
        <v>5527</v>
      </c>
      <c r="I107" s="1" t="s">
        <v>5381</v>
      </c>
      <c r="J107" s="1" t="s">
        <v>5528</v>
      </c>
      <c r="K107" s="1" t="s">
        <v>5529</v>
      </c>
    </row>
    <row r="108" spans="1:11" ht="101.5" x14ac:dyDescent="0.35">
      <c r="A108" s="61"/>
      <c r="B108" s="61"/>
      <c r="C108" s="61"/>
      <c r="D108" s="1" t="s">
        <v>5530</v>
      </c>
      <c r="E108" s="1" t="s">
        <v>5531</v>
      </c>
      <c r="F108" s="1" t="s">
        <v>5366</v>
      </c>
      <c r="G108" s="1" t="s">
        <v>5532</v>
      </c>
      <c r="H108" s="1" t="s">
        <v>5533</v>
      </c>
      <c r="I108" s="1" t="s">
        <v>120</v>
      </c>
      <c r="J108" s="1" t="s">
        <v>5534</v>
      </c>
      <c r="K108" s="1" t="s">
        <v>5535</v>
      </c>
    </row>
    <row r="109" spans="1:11" ht="130.5" x14ac:dyDescent="0.35">
      <c r="A109" s="61"/>
      <c r="B109" s="61"/>
      <c r="C109" s="61"/>
      <c r="D109" s="1" t="s">
        <v>5536</v>
      </c>
      <c r="E109" s="1" t="s">
        <v>5537</v>
      </c>
      <c r="F109" s="1" t="s">
        <v>5366</v>
      </c>
      <c r="G109" s="1" t="s">
        <v>5538</v>
      </c>
      <c r="H109" s="1" t="s">
        <v>5539</v>
      </c>
      <c r="I109" s="1" t="s">
        <v>120</v>
      </c>
      <c r="J109" s="1" t="s">
        <v>5540</v>
      </c>
      <c r="K109" s="1" t="s">
        <v>5541</v>
      </c>
    </row>
    <row r="110" spans="1:11" ht="130.5" x14ac:dyDescent="0.35">
      <c r="A110" s="61"/>
      <c r="B110" s="61"/>
      <c r="C110" s="61"/>
      <c r="D110" s="1" t="s">
        <v>5542</v>
      </c>
      <c r="E110" s="1" t="s">
        <v>5543</v>
      </c>
      <c r="F110" s="1" t="s">
        <v>5366</v>
      </c>
      <c r="G110" s="1" t="s">
        <v>5544</v>
      </c>
      <c r="H110" s="1" t="s">
        <v>5545</v>
      </c>
      <c r="I110" s="1" t="s">
        <v>4856</v>
      </c>
      <c r="J110" s="1" t="s">
        <v>5546</v>
      </c>
      <c r="K110" s="1" t="s">
        <v>5547</v>
      </c>
    </row>
    <row r="111" spans="1:11" ht="130.5" x14ac:dyDescent="0.35">
      <c r="A111" s="61"/>
      <c r="B111" s="61"/>
      <c r="C111" s="61" t="s">
        <v>5548</v>
      </c>
      <c r="D111" s="1" t="s">
        <v>5549</v>
      </c>
      <c r="E111" s="1" t="s">
        <v>5550</v>
      </c>
      <c r="F111" s="1" t="s">
        <v>5366</v>
      </c>
      <c r="G111" s="1" t="s">
        <v>5551</v>
      </c>
      <c r="H111" s="1" t="s">
        <v>5552</v>
      </c>
      <c r="I111" s="1" t="s">
        <v>4856</v>
      </c>
      <c r="J111" s="1" t="s">
        <v>5553</v>
      </c>
      <c r="K111" s="1" t="s">
        <v>5554</v>
      </c>
    </row>
    <row r="112" spans="1:11" ht="145" x14ac:dyDescent="0.35">
      <c r="A112" s="61"/>
      <c r="B112" s="61"/>
      <c r="C112" s="61"/>
      <c r="D112" s="1" t="s">
        <v>5555</v>
      </c>
      <c r="E112" s="1" t="s">
        <v>5556</v>
      </c>
      <c r="F112" s="1" t="s">
        <v>5366</v>
      </c>
      <c r="G112" s="1" t="s">
        <v>5557</v>
      </c>
      <c r="H112" s="1" t="s">
        <v>5558</v>
      </c>
      <c r="I112" s="1" t="s">
        <v>4856</v>
      </c>
      <c r="J112" s="1" t="s">
        <v>5559</v>
      </c>
      <c r="K112" s="1" t="s">
        <v>5560</v>
      </c>
    </row>
    <row r="113" spans="1:11" ht="101.5" x14ac:dyDescent="0.35">
      <c r="A113" s="61"/>
      <c r="B113" s="61"/>
      <c r="C113" s="61"/>
      <c r="D113" s="1" t="s">
        <v>5561</v>
      </c>
      <c r="E113" s="1" t="s">
        <v>5562</v>
      </c>
      <c r="F113" s="1" t="s">
        <v>5366</v>
      </c>
      <c r="G113" s="1" t="s">
        <v>5563</v>
      </c>
      <c r="H113" s="1" t="s">
        <v>5564</v>
      </c>
      <c r="I113" s="1" t="s">
        <v>120</v>
      </c>
      <c r="J113" s="1" t="s">
        <v>5565</v>
      </c>
      <c r="K113" s="1" t="s">
        <v>5566</v>
      </c>
    </row>
    <row r="114" spans="1:11" ht="116" x14ac:dyDescent="0.35">
      <c r="A114" s="61"/>
      <c r="B114" s="61"/>
      <c r="C114" s="61"/>
      <c r="D114" s="1" t="s">
        <v>5567</v>
      </c>
      <c r="E114" s="1" t="s">
        <v>5568</v>
      </c>
      <c r="F114" s="1" t="s">
        <v>5366</v>
      </c>
      <c r="G114" s="1" t="s">
        <v>5569</v>
      </c>
      <c r="H114" s="1" t="s">
        <v>5570</v>
      </c>
      <c r="I114" s="1" t="s">
        <v>120</v>
      </c>
      <c r="J114" s="1" t="s">
        <v>5571</v>
      </c>
      <c r="K114" s="1" t="s">
        <v>5572</v>
      </c>
    </row>
    <row r="115" spans="1:11" ht="116" x14ac:dyDescent="0.35">
      <c r="A115" s="61"/>
      <c r="B115" s="61"/>
      <c r="C115" s="61"/>
      <c r="D115" s="1" t="s">
        <v>5573</v>
      </c>
      <c r="E115" s="1" t="s">
        <v>5574</v>
      </c>
      <c r="F115" s="1" t="s">
        <v>5366</v>
      </c>
      <c r="G115" s="1" t="s">
        <v>5575</v>
      </c>
      <c r="H115" s="1" t="s">
        <v>5576</v>
      </c>
      <c r="I115" s="1" t="s">
        <v>120</v>
      </c>
      <c r="J115" s="1" t="s">
        <v>5577</v>
      </c>
      <c r="K115" s="1" t="s">
        <v>5578</v>
      </c>
    </row>
    <row r="116" spans="1:11" ht="101.5" x14ac:dyDescent="0.35">
      <c r="A116" s="61"/>
      <c r="B116" s="61"/>
      <c r="C116" s="62" t="s">
        <v>5579</v>
      </c>
      <c r="D116" s="1" t="s">
        <v>5580</v>
      </c>
      <c r="E116" s="1" t="s">
        <v>5581</v>
      </c>
      <c r="F116" s="1" t="s">
        <v>5366</v>
      </c>
      <c r="G116" s="1" t="s">
        <v>5582</v>
      </c>
      <c r="H116" s="1" t="s">
        <v>5583</v>
      </c>
      <c r="I116" s="1" t="s">
        <v>5381</v>
      </c>
      <c r="J116" s="1" t="s">
        <v>5584</v>
      </c>
      <c r="K116" s="1" t="s">
        <v>5585</v>
      </c>
    </row>
    <row r="117" spans="1:11" ht="116" x14ac:dyDescent="0.35">
      <c r="A117" s="61"/>
      <c r="B117" s="61"/>
      <c r="C117" s="61"/>
      <c r="D117" s="1" t="s">
        <v>5586</v>
      </c>
      <c r="E117" s="1" t="s">
        <v>5587</v>
      </c>
      <c r="F117" s="1" t="s">
        <v>5366</v>
      </c>
      <c r="G117" s="1" t="s">
        <v>5588</v>
      </c>
      <c r="H117" s="1" t="s">
        <v>5589</v>
      </c>
      <c r="I117" s="1" t="s">
        <v>120</v>
      </c>
      <c r="J117" s="1" t="s">
        <v>5590</v>
      </c>
      <c r="K117" s="1" t="s">
        <v>5591</v>
      </c>
    </row>
    <row r="118" spans="1:11" ht="116" x14ac:dyDescent="0.35">
      <c r="A118" s="61"/>
      <c r="B118" s="61"/>
      <c r="C118" s="61"/>
      <c r="D118" s="1" t="s">
        <v>5592</v>
      </c>
      <c r="E118" s="1" t="s">
        <v>5593</v>
      </c>
      <c r="F118" s="1" t="s">
        <v>5366</v>
      </c>
      <c r="G118" s="1" t="s">
        <v>5594</v>
      </c>
      <c r="H118" s="1" t="s">
        <v>5595</v>
      </c>
      <c r="I118" s="1" t="s">
        <v>120</v>
      </c>
      <c r="J118" s="1" t="s">
        <v>5596</v>
      </c>
      <c r="K118" s="1" t="s">
        <v>5597</v>
      </c>
    </row>
    <row r="119" spans="1:11" ht="130.5" x14ac:dyDescent="0.35">
      <c r="A119" s="61"/>
      <c r="B119" s="61"/>
      <c r="C119" s="61"/>
      <c r="D119" s="1" t="s">
        <v>5598</v>
      </c>
      <c r="E119" s="1" t="s">
        <v>5599</v>
      </c>
      <c r="F119" s="1" t="s">
        <v>5366</v>
      </c>
      <c r="G119" s="1" t="s">
        <v>5600</v>
      </c>
      <c r="H119" s="1" t="s">
        <v>5601</v>
      </c>
      <c r="I119" s="1" t="s">
        <v>120</v>
      </c>
      <c r="J119" s="1" t="s">
        <v>5602</v>
      </c>
      <c r="K119" s="1" t="s">
        <v>5603</v>
      </c>
    </row>
    <row r="120" spans="1:11" ht="145" x14ac:dyDescent="0.35">
      <c r="A120" s="61"/>
      <c r="B120" s="61"/>
      <c r="C120" s="61"/>
      <c r="D120" s="1" t="s">
        <v>5604</v>
      </c>
      <c r="E120" s="1" t="s">
        <v>5605</v>
      </c>
      <c r="F120" s="1" t="s">
        <v>5366</v>
      </c>
      <c r="G120" s="1" t="s">
        <v>5606</v>
      </c>
      <c r="H120" s="1" t="s">
        <v>5607</v>
      </c>
      <c r="I120" s="1" t="s">
        <v>4856</v>
      </c>
      <c r="J120" s="1" t="s">
        <v>5608</v>
      </c>
      <c r="K120" s="1" t="s">
        <v>5609</v>
      </c>
    </row>
    <row r="121" spans="1:11" ht="116" x14ac:dyDescent="0.35">
      <c r="A121" s="61"/>
      <c r="B121" s="61"/>
      <c r="C121" s="61" t="s">
        <v>5610</v>
      </c>
      <c r="D121" s="1" t="s">
        <v>5611</v>
      </c>
      <c r="E121" s="1" t="s">
        <v>5612</v>
      </c>
      <c r="F121" s="1" t="s">
        <v>5366</v>
      </c>
      <c r="G121" s="1" t="s">
        <v>5613</v>
      </c>
      <c r="H121" s="1" t="s">
        <v>5614</v>
      </c>
      <c r="I121" s="1" t="s">
        <v>4856</v>
      </c>
      <c r="J121" s="1" t="s">
        <v>5615</v>
      </c>
      <c r="K121" s="1" t="s">
        <v>5616</v>
      </c>
    </row>
    <row r="122" spans="1:11" ht="87" x14ac:dyDescent="0.35">
      <c r="A122" s="61"/>
      <c r="B122" s="61"/>
      <c r="C122" s="61"/>
      <c r="D122" s="1" t="s">
        <v>5617</v>
      </c>
      <c r="E122" s="1" t="s">
        <v>5618</v>
      </c>
      <c r="F122" s="1" t="s">
        <v>5366</v>
      </c>
      <c r="G122" s="1" t="s">
        <v>5619</v>
      </c>
      <c r="H122" s="1" t="s">
        <v>5620</v>
      </c>
      <c r="I122" s="1" t="s">
        <v>5381</v>
      </c>
      <c r="J122" s="1" t="s">
        <v>5621</v>
      </c>
      <c r="K122" s="1" t="s">
        <v>5622</v>
      </c>
    </row>
    <row r="123" spans="1:11" ht="116" x14ac:dyDescent="0.35">
      <c r="A123" s="61"/>
      <c r="B123" s="61"/>
      <c r="C123" s="61"/>
      <c r="D123" s="1" t="s">
        <v>5623</v>
      </c>
      <c r="E123" s="1" t="s">
        <v>5624</v>
      </c>
      <c r="F123" s="1" t="s">
        <v>5366</v>
      </c>
      <c r="G123" s="1" t="s">
        <v>5625</v>
      </c>
      <c r="H123" s="1" t="s">
        <v>5626</v>
      </c>
      <c r="I123" s="1" t="s">
        <v>120</v>
      </c>
      <c r="J123" s="1" t="s">
        <v>5627</v>
      </c>
      <c r="K123" s="1" t="s">
        <v>5628</v>
      </c>
    </row>
    <row r="124" spans="1:11" ht="87" x14ac:dyDescent="0.35">
      <c r="A124" s="61"/>
      <c r="B124" s="61"/>
      <c r="C124" s="61"/>
      <c r="D124" s="1" t="s">
        <v>5629</v>
      </c>
      <c r="E124" s="1" t="s">
        <v>5630</v>
      </c>
      <c r="F124" s="1" t="s">
        <v>5366</v>
      </c>
      <c r="G124" s="1" t="s">
        <v>5631</v>
      </c>
      <c r="H124" s="1" t="s">
        <v>5632</v>
      </c>
      <c r="I124" s="1" t="s">
        <v>4856</v>
      </c>
      <c r="J124" s="1" t="s">
        <v>5633</v>
      </c>
      <c r="K124" s="1" t="s">
        <v>5634</v>
      </c>
    </row>
    <row r="125" spans="1:11" ht="101.5" x14ac:dyDescent="0.35">
      <c r="A125" s="61"/>
      <c r="B125" s="61"/>
      <c r="C125" s="61"/>
      <c r="D125" s="1" t="s">
        <v>5635</v>
      </c>
      <c r="E125" s="1" t="s">
        <v>5636</v>
      </c>
      <c r="F125" s="1" t="s">
        <v>5366</v>
      </c>
      <c r="G125" s="1" t="s">
        <v>5637</v>
      </c>
      <c r="H125" s="1" t="s">
        <v>5638</v>
      </c>
      <c r="I125" s="1" t="s">
        <v>4856</v>
      </c>
      <c r="J125" s="1" t="s">
        <v>5627</v>
      </c>
      <c r="K125" s="1" t="s">
        <v>5639</v>
      </c>
    </row>
    <row r="126" spans="1:11" ht="130.5" x14ac:dyDescent="0.35">
      <c r="A126" s="61"/>
      <c r="B126" s="61"/>
      <c r="C126" s="62" t="s">
        <v>5640</v>
      </c>
      <c r="D126" s="1" t="s">
        <v>5641</v>
      </c>
      <c r="E126" s="1" t="s">
        <v>5642</v>
      </c>
      <c r="F126" s="1" t="s">
        <v>5366</v>
      </c>
      <c r="G126" s="1" t="s">
        <v>5643</v>
      </c>
      <c r="H126" s="1" t="s">
        <v>5644</v>
      </c>
      <c r="I126" s="1" t="s">
        <v>4856</v>
      </c>
      <c r="J126" s="1" t="s">
        <v>5645</v>
      </c>
      <c r="K126" s="1" t="s">
        <v>5646</v>
      </c>
    </row>
    <row r="127" spans="1:11" ht="116" x14ac:dyDescent="0.35">
      <c r="A127" s="61"/>
      <c r="B127" s="61"/>
      <c r="C127" s="61"/>
      <c r="D127" s="1" t="s">
        <v>5647</v>
      </c>
      <c r="E127" s="1" t="s">
        <v>5648</v>
      </c>
      <c r="F127" s="1" t="s">
        <v>5366</v>
      </c>
      <c r="G127" s="1" t="s">
        <v>5649</v>
      </c>
      <c r="H127" s="1" t="s">
        <v>5650</v>
      </c>
      <c r="I127" s="1" t="s">
        <v>120</v>
      </c>
      <c r="J127" s="1" t="s">
        <v>5651</v>
      </c>
      <c r="K127" s="1" t="s">
        <v>5652</v>
      </c>
    </row>
    <row r="128" spans="1:11" ht="116" x14ac:dyDescent="0.35">
      <c r="A128" s="61"/>
      <c r="B128" s="61"/>
      <c r="C128" s="61"/>
      <c r="D128" s="1" t="s">
        <v>5653</v>
      </c>
      <c r="E128" s="1" t="s">
        <v>5654</v>
      </c>
      <c r="F128" s="1" t="s">
        <v>5366</v>
      </c>
      <c r="G128" s="1" t="s">
        <v>5655</v>
      </c>
      <c r="H128" s="1" t="s">
        <v>5656</v>
      </c>
      <c r="I128" s="1" t="s">
        <v>120</v>
      </c>
      <c r="J128" s="1" t="s">
        <v>5657</v>
      </c>
      <c r="K128" s="1" t="s">
        <v>5658</v>
      </c>
    </row>
    <row r="129" spans="1:11" ht="145" x14ac:dyDescent="0.35">
      <c r="A129" s="61"/>
      <c r="B129" s="61"/>
      <c r="C129" s="61"/>
      <c r="D129" s="1" t="s">
        <v>5659</v>
      </c>
      <c r="E129" s="1" t="s">
        <v>5660</v>
      </c>
      <c r="F129" s="1" t="s">
        <v>5366</v>
      </c>
      <c r="G129" s="1" t="s">
        <v>5661</v>
      </c>
      <c r="H129" s="1" t="s">
        <v>5662</v>
      </c>
      <c r="I129" s="1" t="s">
        <v>5381</v>
      </c>
      <c r="J129" s="1" t="s">
        <v>5663</v>
      </c>
      <c r="K129" s="1" t="s">
        <v>5664</v>
      </c>
    </row>
    <row r="130" spans="1:11" ht="116" x14ac:dyDescent="0.35">
      <c r="A130" s="61"/>
      <c r="B130" s="61"/>
      <c r="C130" s="61"/>
      <c r="D130" s="1" t="s">
        <v>5665</v>
      </c>
      <c r="E130" s="1" t="s">
        <v>5666</v>
      </c>
      <c r="F130" s="1" t="s">
        <v>5366</v>
      </c>
      <c r="G130" s="1" t="s">
        <v>5667</v>
      </c>
      <c r="H130" s="1" t="s">
        <v>5668</v>
      </c>
      <c r="I130" s="1" t="s">
        <v>4856</v>
      </c>
      <c r="J130" s="1" t="s">
        <v>5669</v>
      </c>
      <c r="K130" s="1" t="s">
        <v>5670</v>
      </c>
    </row>
    <row r="131" spans="1:11" ht="101.5" x14ac:dyDescent="0.35">
      <c r="A131" s="61"/>
      <c r="B131" s="61"/>
      <c r="C131" s="62" t="s">
        <v>5671</v>
      </c>
      <c r="D131" s="1" t="s">
        <v>5672</v>
      </c>
      <c r="E131" s="1" t="s">
        <v>5673</v>
      </c>
      <c r="F131" s="1" t="s">
        <v>5366</v>
      </c>
      <c r="G131" s="1" t="s">
        <v>5674</v>
      </c>
      <c r="H131" s="1" t="s">
        <v>5675</v>
      </c>
      <c r="I131" s="1" t="s">
        <v>4856</v>
      </c>
      <c r="J131" s="1" t="s">
        <v>5676</v>
      </c>
      <c r="K131" s="1" t="s">
        <v>5677</v>
      </c>
    </row>
    <row r="132" spans="1:11" ht="116" x14ac:dyDescent="0.35">
      <c r="A132" s="61"/>
      <c r="B132" s="61"/>
      <c r="C132" s="61"/>
      <c r="D132" s="1" t="s">
        <v>5678</v>
      </c>
      <c r="E132" s="1" t="s">
        <v>5679</v>
      </c>
      <c r="F132" s="1" t="s">
        <v>5366</v>
      </c>
      <c r="G132" s="1" t="s">
        <v>5680</v>
      </c>
      <c r="H132" s="1" t="s">
        <v>5681</v>
      </c>
      <c r="I132" s="1" t="s">
        <v>5381</v>
      </c>
      <c r="J132" s="1" t="s">
        <v>5682</v>
      </c>
      <c r="K132" s="1" t="s">
        <v>5683</v>
      </c>
    </row>
    <row r="133" spans="1:11" ht="145" x14ac:dyDescent="0.35">
      <c r="A133" s="61"/>
      <c r="B133" s="61"/>
      <c r="C133" s="61"/>
      <c r="D133" s="1" t="s">
        <v>5684</v>
      </c>
      <c r="E133" s="1" t="s">
        <v>5685</v>
      </c>
      <c r="F133" s="1" t="s">
        <v>5366</v>
      </c>
      <c r="G133" s="1" t="s">
        <v>5686</v>
      </c>
      <c r="H133" s="1" t="s">
        <v>5687</v>
      </c>
      <c r="I133" s="1" t="s">
        <v>4856</v>
      </c>
      <c r="J133" s="1" t="s">
        <v>5688</v>
      </c>
      <c r="K133" s="1" t="s">
        <v>5689</v>
      </c>
    </row>
    <row r="134" spans="1:11" ht="130.5" x14ac:dyDescent="0.35">
      <c r="A134" s="61"/>
      <c r="B134" s="61"/>
      <c r="C134" s="61"/>
      <c r="D134" s="1" t="s">
        <v>5690</v>
      </c>
      <c r="E134" s="1" t="s">
        <v>5691</v>
      </c>
      <c r="F134" s="1" t="s">
        <v>5366</v>
      </c>
      <c r="G134" s="1" t="s">
        <v>5692</v>
      </c>
      <c r="H134" s="1" t="s">
        <v>5693</v>
      </c>
      <c r="I134" s="1" t="s">
        <v>120</v>
      </c>
      <c r="J134" s="1" t="s">
        <v>5694</v>
      </c>
      <c r="K134" s="1" t="s">
        <v>5695</v>
      </c>
    </row>
    <row r="135" spans="1:11" ht="116" x14ac:dyDescent="0.35">
      <c r="A135" s="61"/>
      <c r="B135" s="61"/>
      <c r="C135" s="61"/>
      <c r="D135" s="1" t="s">
        <v>5696</v>
      </c>
      <c r="E135" s="1" t="s">
        <v>5697</v>
      </c>
      <c r="F135" s="1" t="s">
        <v>5366</v>
      </c>
      <c r="G135" s="1" t="s">
        <v>5698</v>
      </c>
      <c r="H135" s="1" t="s">
        <v>5699</v>
      </c>
      <c r="I135" s="1" t="s">
        <v>4856</v>
      </c>
      <c r="J135" s="1" t="s">
        <v>5700</v>
      </c>
      <c r="K135" s="1" t="s">
        <v>5701</v>
      </c>
    </row>
    <row r="136" spans="1:11" ht="101.5" x14ac:dyDescent="0.35">
      <c r="A136" s="61"/>
      <c r="B136" s="61"/>
      <c r="C136" s="62" t="s">
        <v>5702</v>
      </c>
      <c r="D136" s="1" t="s">
        <v>5703</v>
      </c>
      <c r="E136" s="1" t="s">
        <v>5704</v>
      </c>
      <c r="F136" s="1" t="s">
        <v>5366</v>
      </c>
      <c r="G136" s="1" t="s">
        <v>5705</v>
      </c>
      <c r="H136" s="1" t="s">
        <v>5706</v>
      </c>
      <c r="I136" s="1" t="s">
        <v>4856</v>
      </c>
      <c r="J136" s="1" t="s">
        <v>5707</v>
      </c>
      <c r="K136" s="1" t="s">
        <v>5708</v>
      </c>
    </row>
    <row r="137" spans="1:11" ht="101.5" x14ac:dyDescent="0.35">
      <c r="A137" s="61"/>
      <c r="B137" s="61"/>
      <c r="C137" s="61"/>
      <c r="D137" s="1" t="s">
        <v>5709</v>
      </c>
      <c r="E137" s="1" t="s">
        <v>5710</v>
      </c>
      <c r="F137" s="1" t="s">
        <v>5366</v>
      </c>
      <c r="G137" s="1" t="s">
        <v>5711</v>
      </c>
      <c r="H137" s="1" t="s">
        <v>5712</v>
      </c>
      <c r="I137" s="1" t="s">
        <v>4856</v>
      </c>
      <c r="J137" s="1" t="s">
        <v>5713</v>
      </c>
      <c r="K137" s="1" t="s">
        <v>5714</v>
      </c>
    </row>
    <row r="138" spans="1:11" ht="101.5" x14ac:dyDescent="0.35">
      <c r="A138" s="61"/>
      <c r="B138" s="61"/>
      <c r="C138" s="61"/>
      <c r="D138" s="1" t="s">
        <v>5715</v>
      </c>
      <c r="E138" s="1" t="s">
        <v>5716</v>
      </c>
      <c r="F138" s="1" t="s">
        <v>5366</v>
      </c>
      <c r="G138" s="1" t="s">
        <v>5717</v>
      </c>
      <c r="H138" s="1" t="s">
        <v>5718</v>
      </c>
      <c r="I138" s="1" t="s">
        <v>120</v>
      </c>
      <c r="J138" s="1" t="s">
        <v>5719</v>
      </c>
      <c r="K138" s="1" t="s">
        <v>5720</v>
      </c>
    </row>
    <row r="139" spans="1:11" ht="116" x14ac:dyDescent="0.35">
      <c r="A139" s="61"/>
      <c r="B139" s="61"/>
      <c r="C139" s="61"/>
      <c r="D139" s="1" t="s">
        <v>5721</v>
      </c>
      <c r="E139" s="1" t="s">
        <v>5722</v>
      </c>
      <c r="F139" s="1" t="s">
        <v>5366</v>
      </c>
      <c r="G139" s="1" t="s">
        <v>5723</v>
      </c>
      <c r="H139" s="1" t="s">
        <v>5724</v>
      </c>
      <c r="I139" s="1" t="s">
        <v>120</v>
      </c>
      <c r="J139" s="1" t="s">
        <v>5725</v>
      </c>
      <c r="K139" s="1" t="s">
        <v>5726</v>
      </c>
    </row>
    <row r="140" spans="1:11" ht="116" x14ac:dyDescent="0.35">
      <c r="A140" s="61"/>
      <c r="B140" s="61"/>
      <c r="C140" s="61"/>
      <c r="D140" s="1" t="s">
        <v>5721</v>
      </c>
      <c r="E140" s="1" t="s">
        <v>5722</v>
      </c>
      <c r="F140" s="1" t="s">
        <v>5366</v>
      </c>
      <c r="G140" s="1" t="s">
        <v>5723</v>
      </c>
      <c r="H140" s="1" t="s">
        <v>5724</v>
      </c>
      <c r="I140" s="1" t="s">
        <v>120</v>
      </c>
      <c r="J140" s="1" t="s">
        <v>5725</v>
      </c>
      <c r="K140" s="1" t="s">
        <v>5726</v>
      </c>
    </row>
    <row r="141" spans="1:11" ht="101.5" x14ac:dyDescent="0.35">
      <c r="A141" s="61"/>
      <c r="B141" s="61"/>
      <c r="C141" s="62" t="s">
        <v>5727</v>
      </c>
      <c r="D141" s="1" t="s">
        <v>5728</v>
      </c>
      <c r="E141" s="1" t="s">
        <v>5729</v>
      </c>
      <c r="F141" s="1" t="s">
        <v>5366</v>
      </c>
      <c r="G141" s="1" t="s">
        <v>5730</v>
      </c>
      <c r="H141" s="1" t="s">
        <v>5731</v>
      </c>
      <c r="I141" s="1" t="s">
        <v>5381</v>
      </c>
      <c r="J141" s="1" t="s">
        <v>5732</v>
      </c>
      <c r="K141" s="1" t="s">
        <v>5733</v>
      </c>
    </row>
    <row r="142" spans="1:11" ht="101.5" x14ac:dyDescent="0.35">
      <c r="A142" s="61"/>
      <c r="B142" s="61"/>
      <c r="C142" s="61"/>
      <c r="D142" s="1" t="s">
        <v>5734</v>
      </c>
      <c r="E142" s="1" t="s">
        <v>5735</v>
      </c>
      <c r="F142" s="1" t="s">
        <v>5366</v>
      </c>
      <c r="G142" s="1" t="s">
        <v>5736</v>
      </c>
      <c r="H142" s="1" t="s">
        <v>5737</v>
      </c>
      <c r="I142" s="1" t="s">
        <v>4856</v>
      </c>
      <c r="J142" s="1" t="s">
        <v>5738</v>
      </c>
      <c r="K142" s="1" t="s">
        <v>5739</v>
      </c>
    </row>
    <row r="143" spans="1:11" ht="87" x14ac:dyDescent="0.35">
      <c r="A143" s="61"/>
      <c r="B143" s="61"/>
      <c r="C143" s="61"/>
      <c r="D143" s="1" t="s">
        <v>5740</v>
      </c>
      <c r="E143" s="1" t="s">
        <v>5741</v>
      </c>
      <c r="F143" s="1" t="s">
        <v>5366</v>
      </c>
      <c r="G143" s="1" t="s">
        <v>5742</v>
      </c>
      <c r="H143" s="1" t="s">
        <v>5743</v>
      </c>
      <c r="I143" s="1" t="s">
        <v>120</v>
      </c>
      <c r="J143" s="1" t="s">
        <v>5744</v>
      </c>
      <c r="K143" s="1" t="s">
        <v>5745</v>
      </c>
    </row>
    <row r="144" spans="1:11" ht="101.5" x14ac:dyDescent="0.35">
      <c r="A144" s="61"/>
      <c r="B144" s="61"/>
      <c r="C144" s="61"/>
      <c r="D144" s="1" t="s">
        <v>5746</v>
      </c>
      <c r="E144" s="1" t="s">
        <v>5747</v>
      </c>
      <c r="F144" s="1" t="s">
        <v>5366</v>
      </c>
      <c r="G144" s="1" t="s">
        <v>5748</v>
      </c>
      <c r="H144" s="1" t="s">
        <v>5749</v>
      </c>
      <c r="I144" s="1" t="s">
        <v>4856</v>
      </c>
      <c r="J144" s="1" t="s">
        <v>5750</v>
      </c>
      <c r="K144" s="1" t="s">
        <v>5751</v>
      </c>
    </row>
    <row r="145" spans="1:11" ht="116" x14ac:dyDescent="0.35">
      <c r="A145" s="61"/>
      <c r="B145" s="61"/>
      <c r="C145" s="61"/>
      <c r="D145" s="1" t="s">
        <v>5752</v>
      </c>
      <c r="E145" s="1" t="s">
        <v>5753</v>
      </c>
      <c r="F145" s="1" t="s">
        <v>5366</v>
      </c>
      <c r="G145" s="1" t="s">
        <v>5754</v>
      </c>
      <c r="H145" s="1" t="s">
        <v>5755</v>
      </c>
      <c r="I145" s="1" t="s">
        <v>120</v>
      </c>
      <c r="J145" s="1" t="s">
        <v>5756</v>
      </c>
      <c r="K145" s="1" t="s">
        <v>5757</v>
      </c>
    </row>
    <row r="146" spans="1:11" ht="101.5" x14ac:dyDescent="0.35">
      <c r="A146" s="61"/>
      <c r="B146" s="61"/>
      <c r="C146" s="61" t="s">
        <v>5758</v>
      </c>
      <c r="D146" s="1" t="s">
        <v>5759</v>
      </c>
      <c r="E146" s="1" t="s">
        <v>5760</v>
      </c>
      <c r="F146" s="1" t="s">
        <v>5366</v>
      </c>
      <c r="G146" s="1" t="s">
        <v>5761</v>
      </c>
      <c r="H146" s="1" t="s">
        <v>5762</v>
      </c>
      <c r="I146" s="1" t="s">
        <v>4856</v>
      </c>
      <c r="J146" s="1" t="s">
        <v>5763</v>
      </c>
      <c r="K146" s="1" t="s">
        <v>5764</v>
      </c>
    </row>
    <row r="147" spans="1:11" ht="101.5" x14ac:dyDescent="0.35">
      <c r="A147" s="61"/>
      <c r="B147" s="61"/>
      <c r="C147" s="61"/>
      <c r="D147" s="1" t="s">
        <v>5765</v>
      </c>
      <c r="E147" s="1" t="s">
        <v>5766</v>
      </c>
      <c r="F147" s="1" t="s">
        <v>5366</v>
      </c>
      <c r="G147" s="1" t="s">
        <v>5767</v>
      </c>
      <c r="H147" s="1" t="s">
        <v>5768</v>
      </c>
      <c r="I147" s="1" t="s">
        <v>4856</v>
      </c>
      <c r="J147" s="1" t="s">
        <v>5769</v>
      </c>
      <c r="K147" s="1" t="s">
        <v>5770</v>
      </c>
    </row>
    <row r="148" spans="1:11" ht="101.5" x14ac:dyDescent="0.35">
      <c r="A148" s="61"/>
      <c r="B148" s="61"/>
      <c r="C148" s="61"/>
      <c r="D148" s="1" t="s">
        <v>5771</v>
      </c>
      <c r="E148" s="1" t="s">
        <v>5772</v>
      </c>
      <c r="F148" s="1" t="s">
        <v>5366</v>
      </c>
      <c r="G148" s="1" t="s">
        <v>5773</v>
      </c>
      <c r="H148" s="1" t="s">
        <v>5774</v>
      </c>
      <c r="I148" s="1" t="s">
        <v>5381</v>
      </c>
      <c r="J148" s="1" t="s">
        <v>5775</v>
      </c>
      <c r="K148" s="1" t="s">
        <v>5776</v>
      </c>
    </row>
    <row r="149" spans="1:11" ht="101.5" x14ac:dyDescent="0.35">
      <c r="A149" s="61"/>
      <c r="B149" s="61"/>
      <c r="C149" s="61"/>
      <c r="D149" s="1" t="s">
        <v>5777</v>
      </c>
      <c r="E149" s="1" t="s">
        <v>5778</v>
      </c>
      <c r="F149" s="1" t="s">
        <v>5366</v>
      </c>
      <c r="G149" s="1" t="s">
        <v>5779</v>
      </c>
      <c r="H149" s="1" t="s">
        <v>5780</v>
      </c>
      <c r="I149" s="1" t="s">
        <v>120</v>
      </c>
      <c r="J149" s="1" t="s">
        <v>5781</v>
      </c>
      <c r="K149" s="1" t="s">
        <v>5782</v>
      </c>
    </row>
    <row r="150" spans="1:11" ht="116" x14ac:dyDescent="0.35">
      <c r="A150" s="61"/>
      <c r="B150" s="61"/>
      <c r="C150" s="61"/>
      <c r="D150" s="1" t="s">
        <v>5783</v>
      </c>
      <c r="E150" s="1" t="s">
        <v>5784</v>
      </c>
      <c r="F150" s="1" t="s">
        <v>5366</v>
      </c>
      <c r="G150" s="1" t="s">
        <v>5785</v>
      </c>
      <c r="H150" s="1" t="s">
        <v>5786</v>
      </c>
      <c r="I150" s="1" t="s">
        <v>120</v>
      </c>
      <c r="J150" s="1" t="s">
        <v>5787</v>
      </c>
      <c r="K150" s="1" t="s">
        <v>5788</v>
      </c>
    </row>
    <row r="151" spans="1:11" ht="130.5" x14ac:dyDescent="0.35">
      <c r="A151" s="61"/>
      <c r="B151" s="61"/>
      <c r="C151" s="61" t="s">
        <v>5789</v>
      </c>
      <c r="D151" s="1" t="s">
        <v>5790</v>
      </c>
      <c r="E151" s="1" t="s">
        <v>5791</v>
      </c>
      <c r="F151" s="1" t="s">
        <v>5366</v>
      </c>
      <c r="G151" s="1" t="s">
        <v>5792</v>
      </c>
      <c r="H151" s="1" t="s">
        <v>5793</v>
      </c>
      <c r="I151" s="1" t="s">
        <v>4856</v>
      </c>
      <c r="J151" s="1" t="s">
        <v>5794</v>
      </c>
      <c r="K151" s="1" t="s">
        <v>5795</v>
      </c>
    </row>
    <row r="152" spans="1:11" ht="116" x14ac:dyDescent="0.35">
      <c r="A152" s="61"/>
      <c r="B152" s="61"/>
      <c r="C152" s="61"/>
      <c r="D152" s="1" t="s">
        <v>5796</v>
      </c>
      <c r="E152" s="1" t="s">
        <v>5797</v>
      </c>
      <c r="F152" s="1" t="s">
        <v>5366</v>
      </c>
      <c r="G152" s="1" t="s">
        <v>5798</v>
      </c>
      <c r="H152" s="1" t="s">
        <v>5799</v>
      </c>
      <c r="I152" s="1" t="s">
        <v>5381</v>
      </c>
      <c r="J152" s="1" t="s">
        <v>5800</v>
      </c>
      <c r="K152" s="1" t="s">
        <v>5801</v>
      </c>
    </row>
    <row r="153" spans="1:11" ht="116" x14ac:dyDescent="0.35">
      <c r="A153" s="61"/>
      <c r="B153" s="61"/>
      <c r="C153" s="61"/>
      <c r="D153" s="1" t="s">
        <v>5802</v>
      </c>
      <c r="E153" s="1" t="s">
        <v>5803</v>
      </c>
      <c r="F153" s="1" t="s">
        <v>5366</v>
      </c>
      <c r="G153" s="1" t="s">
        <v>5804</v>
      </c>
      <c r="H153" s="1" t="s">
        <v>5805</v>
      </c>
      <c r="I153" s="1" t="s">
        <v>120</v>
      </c>
      <c r="J153" s="1" t="s">
        <v>5806</v>
      </c>
      <c r="K153" s="1" t="s">
        <v>5807</v>
      </c>
    </row>
    <row r="154" spans="1:11" ht="101.5" x14ac:dyDescent="0.35">
      <c r="A154" s="61"/>
      <c r="B154" s="61"/>
      <c r="C154" s="61"/>
      <c r="D154" s="1" t="s">
        <v>5808</v>
      </c>
      <c r="E154" s="1" t="s">
        <v>5809</v>
      </c>
      <c r="F154" s="1" t="s">
        <v>5366</v>
      </c>
      <c r="G154" s="1" t="s">
        <v>5810</v>
      </c>
      <c r="H154" s="1" t="s">
        <v>5811</v>
      </c>
      <c r="I154" s="1" t="s">
        <v>120</v>
      </c>
      <c r="J154" s="1" t="s">
        <v>5812</v>
      </c>
      <c r="K154" s="1" t="s">
        <v>5813</v>
      </c>
    </row>
    <row r="155" spans="1:11" ht="101.5" x14ac:dyDescent="0.35">
      <c r="A155" s="61"/>
      <c r="B155" s="61"/>
      <c r="C155" s="61"/>
      <c r="D155" s="1" t="s">
        <v>5814</v>
      </c>
      <c r="E155" s="1" t="s">
        <v>5815</v>
      </c>
      <c r="F155" s="1" t="s">
        <v>5366</v>
      </c>
      <c r="G155" s="1" t="s">
        <v>5816</v>
      </c>
      <c r="H155" s="1" t="s">
        <v>5817</v>
      </c>
    </row>
    <row r="156" spans="1:11" ht="87" x14ac:dyDescent="0.35">
      <c r="A156" s="61"/>
      <c r="B156" s="61"/>
      <c r="C156" s="61" t="s">
        <v>5818</v>
      </c>
      <c r="D156" s="1" t="s">
        <v>5819</v>
      </c>
      <c r="E156" s="1" t="s">
        <v>5820</v>
      </c>
      <c r="F156" s="1" t="s">
        <v>5366</v>
      </c>
      <c r="G156" s="1" t="s">
        <v>5821</v>
      </c>
      <c r="H156" s="1" t="s">
        <v>5822</v>
      </c>
      <c r="I156" s="1" t="s">
        <v>4856</v>
      </c>
      <c r="J156" s="1" t="s">
        <v>5823</v>
      </c>
      <c r="K156" s="1" t="s">
        <v>5824</v>
      </c>
    </row>
    <row r="157" spans="1:11" ht="87" x14ac:dyDescent="0.35">
      <c r="A157" s="61"/>
      <c r="B157" s="61"/>
      <c r="C157" s="61"/>
      <c r="D157" s="1" t="s">
        <v>5825</v>
      </c>
      <c r="E157" s="1" t="s">
        <v>5826</v>
      </c>
      <c r="F157" s="1" t="s">
        <v>5366</v>
      </c>
      <c r="G157" s="1" t="s">
        <v>5827</v>
      </c>
      <c r="H157" s="1" t="s">
        <v>5828</v>
      </c>
      <c r="I157" s="1" t="s">
        <v>5381</v>
      </c>
      <c r="J157" s="1" t="s">
        <v>5829</v>
      </c>
      <c r="K157" s="1" t="s">
        <v>5830</v>
      </c>
    </row>
    <row r="158" spans="1:11" ht="116" x14ac:dyDescent="0.35">
      <c r="A158" s="61"/>
      <c r="B158" s="61"/>
      <c r="C158" s="61"/>
      <c r="D158" s="1" t="s">
        <v>5831</v>
      </c>
      <c r="E158" s="1" t="s">
        <v>5832</v>
      </c>
      <c r="F158" s="1" t="s">
        <v>5366</v>
      </c>
      <c r="G158" s="1" t="s">
        <v>5833</v>
      </c>
      <c r="H158" s="1" t="s">
        <v>5834</v>
      </c>
      <c r="I158" s="1" t="s">
        <v>120</v>
      </c>
      <c r="J158" s="1" t="s">
        <v>5835</v>
      </c>
      <c r="K158" s="1" t="s">
        <v>5836</v>
      </c>
    </row>
    <row r="159" spans="1:11" ht="101.5" x14ac:dyDescent="0.35">
      <c r="A159" s="61"/>
      <c r="B159" s="61"/>
      <c r="C159" s="61"/>
      <c r="D159" s="1" t="s">
        <v>5837</v>
      </c>
      <c r="E159" s="1" t="s">
        <v>5838</v>
      </c>
      <c r="F159" s="1" t="s">
        <v>5366</v>
      </c>
      <c r="G159" s="1" t="s">
        <v>5839</v>
      </c>
      <c r="H159" s="1" t="s">
        <v>5840</v>
      </c>
      <c r="I159" s="1" t="s">
        <v>120</v>
      </c>
      <c r="J159" s="1" t="s">
        <v>5841</v>
      </c>
      <c r="K159" s="1" t="s">
        <v>5842</v>
      </c>
    </row>
    <row r="160" spans="1:11" ht="116" x14ac:dyDescent="0.35">
      <c r="A160" s="61"/>
      <c r="B160" s="61"/>
      <c r="C160" s="61"/>
      <c r="D160" s="1" t="s">
        <v>5843</v>
      </c>
      <c r="E160" s="1" t="s">
        <v>5844</v>
      </c>
      <c r="F160" s="1" t="s">
        <v>5366</v>
      </c>
      <c r="G160" s="1" t="s">
        <v>5845</v>
      </c>
      <c r="H160" s="1" t="s">
        <v>5846</v>
      </c>
      <c r="I160" s="1" t="s">
        <v>120</v>
      </c>
      <c r="J160" s="1" t="s">
        <v>5847</v>
      </c>
      <c r="K160" s="1" t="s">
        <v>5848</v>
      </c>
    </row>
    <row r="161" spans="1:11" ht="87" x14ac:dyDescent="0.35">
      <c r="A161" s="61"/>
      <c r="B161" s="61" t="s">
        <v>5849</v>
      </c>
      <c r="C161" s="62" t="s">
        <v>5850</v>
      </c>
      <c r="D161" s="1" t="s">
        <v>5851</v>
      </c>
      <c r="E161" s="1" t="s">
        <v>5852</v>
      </c>
      <c r="F161" s="1" t="s">
        <v>5366</v>
      </c>
      <c r="G161" s="1" t="s">
        <v>5853</v>
      </c>
      <c r="H161" s="1" t="s">
        <v>5854</v>
      </c>
      <c r="I161" s="1" t="s">
        <v>4856</v>
      </c>
      <c r="J161" s="1" t="s">
        <v>5855</v>
      </c>
      <c r="K161" s="1" t="s">
        <v>5856</v>
      </c>
    </row>
    <row r="162" spans="1:11" ht="101.5" x14ac:dyDescent="0.35">
      <c r="A162" s="61"/>
      <c r="B162" s="61"/>
      <c r="C162" s="61"/>
      <c r="D162" s="1" t="s">
        <v>5857</v>
      </c>
      <c r="E162" s="1" t="s">
        <v>5858</v>
      </c>
      <c r="F162" s="1" t="s">
        <v>5366</v>
      </c>
      <c r="G162" s="1" t="s">
        <v>5859</v>
      </c>
      <c r="H162" s="1" t="s">
        <v>5860</v>
      </c>
      <c r="I162" s="1" t="s">
        <v>5381</v>
      </c>
      <c r="J162" s="1" t="s">
        <v>5861</v>
      </c>
      <c r="K162" s="1" t="s">
        <v>5862</v>
      </c>
    </row>
    <row r="163" spans="1:11" ht="101.5" x14ac:dyDescent="0.35">
      <c r="A163" s="61"/>
      <c r="B163" s="61"/>
      <c r="C163" s="61"/>
      <c r="D163" s="1" t="s">
        <v>5863</v>
      </c>
      <c r="E163" s="1" t="s">
        <v>5864</v>
      </c>
      <c r="F163" s="1" t="s">
        <v>5366</v>
      </c>
      <c r="G163" s="1" t="s">
        <v>5865</v>
      </c>
      <c r="H163" s="1" t="s">
        <v>5866</v>
      </c>
      <c r="I163" s="1" t="s">
        <v>120</v>
      </c>
      <c r="J163" s="1" t="s">
        <v>5867</v>
      </c>
      <c r="K163" s="1" t="s">
        <v>5868</v>
      </c>
    </row>
    <row r="164" spans="1:11" ht="116" x14ac:dyDescent="0.35">
      <c r="A164" s="61"/>
      <c r="B164" s="61"/>
      <c r="C164" s="61"/>
      <c r="D164" s="1" t="s">
        <v>5869</v>
      </c>
      <c r="E164" s="1" t="s">
        <v>5870</v>
      </c>
      <c r="F164" s="1" t="s">
        <v>5366</v>
      </c>
      <c r="G164" s="1" t="s">
        <v>5871</v>
      </c>
      <c r="H164" s="1" t="s">
        <v>5872</v>
      </c>
      <c r="I164" s="1" t="s">
        <v>120</v>
      </c>
      <c r="J164" s="1" t="s">
        <v>5873</v>
      </c>
      <c r="K164" s="1" t="s">
        <v>5874</v>
      </c>
    </row>
    <row r="165" spans="1:11" ht="130.5" x14ac:dyDescent="0.35">
      <c r="A165" s="61"/>
      <c r="B165" s="61"/>
      <c r="C165" s="61"/>
      <c r="D165" s="1" t="s">
        <v>5875</v>
      </c>
      <c r="E165" s="1" t="s">
        <v>5876</v>
      </c>
      <c r="F165" s="1" t="s">
        <v>5366</v>
      </c>
      <c r="G165" s="1" t="s">
        <v>5877</v>
      </c>
      <c r="H165" s="1" t="s">
        <v>5878</v>
      </c>
      <c r="I165" s="1" t="s">
        <v>120</v>
      </c>
      <c r="J165" s="1" t="s">
        <v>5879</v>
      </c>
      <c r="K165" s="1" t="s">
        <v>5880</v>
      </c>
    </row>
    <row r="166" spans="1:11" ht="116" x14ac:dyDescent="0.35">
      <c r="A166" s="61"/>
      <c r="B166" s="61"/>
      <c r="C166" s="62" t="s">
        <v>5881</v>
      </c>
      <c r="D166" s="1" t="s">
        <v>5882</v>
      </c>
      <c r="E166" s="1" t="s">
        <v>5883</v>
      </c>
      <c r="F166" s="1" t="s">
        <v>5366</v>
      </c>
      <c r="G166" s="1" t="s">
        <v>5884</v>
      </c>
      <c r="H166" s="1" t="s">
        <v>5885</v>
      </c>
      <c r="I166" s="1" t="s">
        <v>4856</v>
      </c>
      <c r="J166" s="1" t="s">
        <v>5886</v>
      </c>
      <c r="K166" s="1" t="s">
        <v>5887</v>
      </c>
    </row>
    <row r="167" spans="1:11" ht="101.5" x14ac:dyDescent="0.35">
      <c r="A167" s="61"/>
      <c r="B167" s="61"/>
      <c r="C167" s="61"/>
      <c r="D167" s="1" t="s">
        <v>5888</v>
      </c>
      <c r="E167" s="1" t="s">
        <v>5889</v>
      </c>
      <c r="F167" s="1" t="s">
        <v>5366</v>
      </c>
      <c r="G167" s="1" t="s">
        <v>5890</v>
      </c>
      <c r="H167" s="1" t="s">
        <v>5891</v>
      </c>
      <c r="I167" s="1" t="s">
        <v>5381</v>
      </c>
      <c r="J167" s="1" t="s">
        <v>5892</v>
      </c>
      <c r="K167" s="1" t="s">
        <v>5893</v>
      </c>
    </row>
    <row r="168" spans="1:11" ht="130.5" x14ac:dyDescent="0.35">
      <c r="A168" s="61"/>
      <c r="B168" s="61"/>
      <c r="C168" s="61"/>
      <c r="D168" s="1" t="s">
        <v>5894</v>
      </c>
      <c r="E168" s="1" t="s">
        <v>5895</v>
      </c>
      <c r="F168" s="1" t="s">
        <v>5366</v>
      </c>
      <c r="G168" s="1" t="s">
        <v>5896</v>
      </c>
      <c r="H168" s="1" t="s">
        <v>5897</v>
      </c>
      <c r="I168" s="1" t="s">
        <v>120</v>
      </c>
      <c r="J168" s="1" t="s">
        <v>5898</v>
      </c>
      <c r="K168" s="1" t="s">
        <v>5899</v>
      </c>
    </row>
    <row r="169" spans="1:11" ht="101.5" x14ac:dyDescent="0.35">
      <c r="A169" s="61"/>
      <c r="B169" s="61"/>
      <c r="C169" s="61"/>
      <c r="D169" s="1" t="s">
        <v>5900</v>
      </c>
      <c r="E169" s="1" t="s">
        <v>5901</v>
      </c>
      <c r="F169" s="1" t="s">
        <v>5366</v>
      </c>
      <c r="G169" s="1" t="s">
        <v>5902</v>
      </c>
      <c r="H169" s="1" t="s">
        <v>5903</v>
      </c>
      <c r="I169" s="1" t="s">
        <v>120</v>
      </c>
      <c r="J169" s="1" t="s">
        <v>5904</v>
      </c>
      <c r="K169" s="1" t="s">
        <v>5905</v>
      </c>
    </row>
    <row r="170" spans="1:11" ht="101.5" x14ac:dyDescent="0.35">
      <c r="A170" s="61"/>
      <c r="B170" s="61"/>
      <c r="C170" s="61"/>
      <c r="D170" s="1" t="s">
        <v>5906</v>
      </c>
      <c r="E170" s="1" t="s">
        <v>5907</v>
      </c>
      <c r="F170" s="1" t="s">
        <v>5366</v>
      </c>
      <c r="G170" s="1" t="s">
        <v>5908</v>
      </c>
      <c r="H170" s="1" t="s">
        <v>5909</v>
      </c>
      <c r="I170" s="1" t="s">
        <v>120</v>
      </c>
      <c r="J170" s="1" t="s">
        <v>5910</v>
      </c>
      <c r="K170" s="1" t="s">
        <v>5911</v>
      </c>
    </row>
    <row r="171" spans="1:11" ht="145" x14ac:dyDescent="0.35">
      <c r="A171" s="61"/>
      <c r="B171" s="61"/>
      <c r="C171" s="62" t="s">
        <v>5912</v>
      </c>
      <c r="D171" s="1" t="s">
        <v>5913</v>
      </c>
      <c r="E171" s="1" t="s">
        <v>5914</v>
      </c>
      <c r="F171" s="1" t="s">
        <v>5366</v>
      </c>
      <c r="G171" s="1" t="s">
        <v>5915</v>
      </c>
      <c r="H171" s="1" t="s">
        <v>5916</v>
      </c>
      <c r="I171" s="1" t="s">
        <v>4856</v>
      </c>
      <c r="J171" s="1" t="s">
        <v>5917</v>
      </c>
      <c r="K171" s="1" t="s">
        <v>5918</v>
      </c>
    </row>
    <row r="172" spans="1:11" ht="116" x14ac:dyDescent="0.35">
      <c r="A172" s="61"/>
      <c r="B172" s="61"/>
      <c r="C172" s="61"/>
      <c r="D172" s="1" t="s">
        <v>5919</v>
      </c>
      <c r="E172" s="1" t="s">
        <v>5920</v>
      </c>
      <c r="F172" s="1" t="s">
        <v>5366</v>
      </c>
      <c r="G172" s="1" t="s">
        <v>5921</v>
      </c>
      <c r="H172" s="1" t="s">
        <v>5922</v>
      </c>
      <c r="I172" s="1" t="s">
        <v>5381</v>
      </c>
      <c r="J172" s="1" t="s">
        <v>5923</v>
      </c>
      <c r="K172" s="1" t="s">
        <v>5924</v>
      </c>
    </row>
    <row r="173" spans="1:11" ht="116" x14ac:dyDescent="0.35">
      <c r="A173" s="61"/>
      <c r="B173" s="61"/>
      <c r="C173" s="61"/>
      <c r="D173" s="1" t="s">
        <v>5925</v>
      </c>
      <c r="E173" s="1" t="s">
        <v>5926</v>
      </c>
      <c r="F173" s="1" t="s">
        <v>5366</v>
      </c>
      <c r="G173" s="1" t="s">
        <v>5927</v>
      </c>
      <c r="H173" s="1" t="s">
        <v>5928</v>
      </c>
      <c r="I173" s="1" t="s">
        <v>120</v>
      </c>
      <c r="J173" s="1" t="s">
        <v>5929</v>
      </c>
      <c r="K173" s="1" t="s">
        <v>5930</v>
      </c>
    </row>
    <row r="174" spans="1:11" ht="116" x14ac:dyDescent="0.35">
      <c r="A174" s="61"/>
      <c r="B174" s="61"/>
      <c r="C174" s="61"/>
      <c r="D174" s="1" t="s">
        <v>5931</v>
      </c>
      <c r="E174" s="1" t="s">
        <v>5932</v>
      </c>
      <c r="F174" s="1" t="s">
        <v>5366</v>
      </c>
      <c r="G174" s="1" t="s">
        <v>5933</v>
      </c>
      <c r="H174" s="1" t="s">
        <v>5934</v>
      </c>
      <c r="I174" s="1" t="s">
        <v>120</v>
      </c>
      <c r="J174" s="1" t="s">
        <v>5935</v>
      </c>
      <c r="K174" s="1" t="s">
        <v>5936</v>
      </c>
    </row>
    <row r="175" spans="1:11" ht="145" x14ac:dyDescent="0.35">
      <c r="A175" s="61"/>
      <c r="B175" s="61"/>
      <c r="C175" s="61"/>
      <c r="D175" s="1" t="s">
        <v>5937</v>
      </c>
      <c r="E175" s="1" t="s">
        <v>5938</v>
      </c>
      <c r="F175" s="1" t="s">
        <v>5366</v>
      </c>
      <c r="G175" s="1" t="s">
        <v>5939</v>
      </c>
      <c r="H175" s="1" t="s">
        <v>5940</v>
      </c>
      <c r="I175" s="1" t="s">
        <v>120</v>
      </c>
      <c r="J175" s="1" t="s">
        <v>5941</v>
      </c>
      <c r="K175" s="1" t="s">
        <v>5942</v>
      </c>
    </row>
    <row r="176" spans="1:11" ht="87" x14ac:dyDescent="0.35">
      <c r="A176" s="61"/>
      <c r="B176" s="61"/>
      <c r="C176" s="61" t="s">
        <v>5943</v>
      </c>
      <c r="D176" s="1" t="s">
        <v>5944</v>
      </c>
      <c r="E176" s="1" t="s">
        <v>5945</v>
      </c>
      <c r="F176" s="1" t="s">
        <v>5366</v>
      </c>
      <c r="G176" s="1" t="s">
        <v>5946</v>
      </c>
      <c r="H176" s="1" t="s">
        <v>5947</v>
      </c>
      <c r="I176" s="1" t="s">
        <v>4856</v>
      </c>
      <c r="J176" s="1" t="s">
        <v>5948</v>
      </c>
      <c r="K176" s="1" t="s">
        <v>5949</v>
      </c>
    </row>
    <row r="177" spans="1:11" ht="87" x14ac:dyDescent="0.35">
      <c r="A177" s="61"/>
      <c r="B177" s="61"/>
      <c r="C177" s="61"/>
      <c r="D177" s="1" t="s">
        <v>5950</v>
      </c>
      <c r="E177" s="1" t="s">
        <v>5951</v>
      </c>
      <c r="F177" s="1" t="s">
        <v>5366</v>
      </c>
      <c r="G177" s="1" t="s">
        <v>5952</v>
      </c>
      <c r="H177" s="1" t="s">
        <v>5953</v>
      </c>
      <c r="I177" s="1" t="s">
        <v>5381</v>
      </c>
      <c r="J177" s="1" t="s">
        <v>5954</v>
      </c>
      <c r="K177" s="1" t="s">
        <v>5955</v>
      </c>
    </row>
    <row r="178" spans="1:11" ht="101.5" x14ac:dyDescent="0.35">
      <c r="A178" s="61"/>
      <c r="B178" s="61"/>
      <c r="C178" s="61"/>
      <c r="D178" s="1" t="s">
        <v>5956</v>
      </c>
      <c r="E178" s="1" t="s">
        <v>5957</v>
      </c>
      <c r="F178" s="1" t="s">
        <v>5366</v>
      </c>
      <c r="G178" s="1" t="s">
        <v>5958</v>
      </c>
      <c r="H178" s="1" t="s">
        <v>5959</v>
      </c>
      <c r="I178" s="1" t="s">
        <v>120</v>
      </c>
      <c r="J178" s="1" t="s">
        <v>5960</v>
      </c>
      <c r="K178" s="1" t="s">
        <v>5961</v>
      </c>
    </row>
    <row r="179" spans="1:11" ht="87" x14ac:dyDescent="0.35">
      <c r="A179" s="61"/>
      <c r="B179" s="61"/>
      <c r="C179" s="61"/>
      <c r="D179" s="1" t="s">
        <v>5962</v>
      </c>
      <c r="E179" s="1" t="s">
        <v>5963</v>
      </c>
      <c r="F179" s="1" t="s">
        <v>5366</v>
      </c>
      <c r="G179" s="1" t="s">
        <v>5964</v>
      </c>
      <c r="H179" s="1" t="s">
        <v>5965</v>
      </c>
      <c r="I179" s="1" t="s">
        <v>120</v>
      </c>
      <c r="J179" s="1" t="s">
        <v>5966</v>
      </c>
      <c r="K179" s="1" t="s">
        <v>5967</v>
      </c>
    </row>
    <row r="180" spans="1:11" ht="101.5" x14ac:dyDescent="0.35">
      <c r="A180" s="61"/>
      <c r="B180" s="61"/>
      <c r="C180" s="61"/>
      <c r="D180" s="1" t="s">
        <v>5968</v>
      </c>
      <c r="E180" s="1" t="s">
        <v>5969</v>
      </c>
      <c r="F180" s="1" t="s">
        <v>5366</v>
      </c>
      <c r="G180" s="1" t="s">
        <v>5970</v>
      </c>
      <c r="H180" s="1" t="s">
        <v>5971</v>
      </c>
      <c r="I180" s="1" t="s">
        <v>120</v>
      </c>
      <c r="J180" s="1" t="s">
        <v>5972</v>
      </c>
      <c r="K180" s="1" t="s">
        <v>5973</v>
      </c>
    </row>
    <row r="181" spans="1:11" ht="87" x14ac:dyDescent="0.35">
      <c r="A181" s="61"/>
      <c r="B181" s="61"/>
      <c r="C181" s="61" t="s">
        <v>5974</v>
      </c>
      <c r="D181" s="1" t="s">
        <v>5975</v>
      </c>
      <c r="E181" s="1" t="s">
        <v>5976</v>
      </c>
      <c r="F181" s="1" t="s">
        <v>5366</v>
      </c>
      <c r="G181" s="1" t="s">
        <v>5977</v>
      </c>
      <c r="H181" s="1" t="s">
        <v>5978</v>
      </c>
      <c r="I181" s="1" t="s">
        <v>4856</v>
      </c>
      <c r="J181" s="1" t="s">
        <v>5979</v>
      </c>
      <c r="K181" s="1" t="s">
        <v>5980</v>
      </c>
    </row>
    <row r="182" spans="1:11" ht="101.5" x14ac:dyDescent="0.35">
      <c r="A182" s="61"/>
      <c r="B182" s="61"/>
      <c r="C182" s="61"/>
      <c r="D182" s="1" t="s">
        <v>5981</v>
      </c>
      <c r="E182" s="1" t="s">
        <v>5982</v>
      </c>
      <c r="F182" s="1" t="s">
        <v>5366</v>
      </c>
      <c r="G182" s="1" t="s">
        <v>5983</v>
      </c>
      <c r="H182" s="1" t="s">
        <v>5984</v>
      </c>
      <c r="I182" s="1" t="s">
        <v>5381</v>
      </c>
      <c r="J182" s="1" t="s">
        <v>5985</v>
      </c>
      <c r="K182" s="1" t="s">
        <v>5986</v>
      </c>
    </row>
    <row r="183" spans="1:11" ht="116" x14ac:dyDescent="0.35">
      <c r="A183" s="61"/>
      <c r="B183" s="61"/>
      <c r="C183" s="61"/>
      <c r="D183" s="1" t="s">
        <v>5987</v>
      </c>
      <c r="E183" s="1" t="s">
        <v>5988</v>
      </c>
      <c r="F183" s="1" t="s">
        <v>5366</v>
      </c>
      <c r="G183" s="1" t="s">
        <v>5989</v>
      </c>
      <c r="H183" s="1" t="s">
        <v>5990</v>
      </c>
      <c r="I183" s="1" t="s">
        <v>120</v>
      </c>
      <c r="J183" s="1" t="s">
        <v>5991</v>
      </c>
      <c r="K183" s="1" t="s">
        <v>5992</v>
      </c>
    </row>
    <row r="184" spans="1:11" ht="130.5" x14ac:dyDescent="0.35">
      <c r="A184" s="61"/>
      <c r="B184" s="61"/>
      <c r="C184" s="61"/>
      <c r="D184" s="1" t="s">
        <v>5993</v>
      </c>
      <c r="E184" s="1" t="s">
        <v>5994</v>
      </c>
      <c r="F184" s="1" t="s">
        <v>5366</v>
      </c>
      <c r="G184" s="1" t="s">
        <v>5995</v>
      </c>
      <c r="H184" s="1" t="s">
        <v>5996</v>
      </c>
      <c r="I184" s="1" t="s">
        <v>120</v>
      </c>
      <c r="J184" s="1" t="s">
        <v>5997</v>
      </c>
      <c r="K184" s="1" t="s">
        <v>5998</v>
      </c>
    </row>
    <row r="185" spans="1:11" ht="130.5" x14ac:dyDescent="0.35">
      <c r="A185" s="61"/>
      <c r="B185" s="61"/>
      <c r="C185" s="61"/>
      <c r="D185" s="1" t="s">
        <v>5999</v>
      </c>
      <c r="E185" s="1" t="s">
        <v>6000</v>
      </c>
      <c r="F185" s="1" t="s">
        <v>5366</v>
      </c>
      <c r="G185" s="1" t="s">
        <v>6001</v>
      </c>
      <c r="H185" s="1" t="s">
        <v>6002</v>
      </c>
      <c r="I185" s="1" t="s">
        <v>120</v>
      </c>
      <c r="J185" s="1" t="s">
        <v>6003</v>
      </c>
      <c r="K185" s="1" t="s">
        <v>6004</v>
      </c>
    </row>
    <row r="186" spans="1:11" ht="101.5" x14ac:dyDescent="0.35">
      <c r="A186" s="61"/>
      <c r="B186" s="61"/>
      <c r="C186" s="62" t="s">
        <v>6005</v>
      </c>
      <c r="D186" s="1" t="s">
        <v>6006</v>
      </c>
      <c r="E186" s="1" t="s">
        <v>6007</v>
      </c>
      <c r="F186" s="1" t="s">
        <v>5366</v>
      </c>
      <c r="G186" s="1" t="s">
        <v>6008</v>
      </c>
      <c r="H186" s="1" t="s">
        <v>6009</v>
      </c>
      <c r="I186" s="1" t="s">
        <v>4856</v>
      </c>
      <c r="J186" s="1" t="s">
        <v>6010</v>
      </c>
      <c r="K186" s="1" t="s">
        <v>6011</v>
      </c>
    </row>
    <row r="187" spans="1:11" ht="116" x14ac:dyDescent="0.35">
      <c r="A187" s="61"/>
      <c r="B187" s="61"/>
      <c r="C187" s="61"/>
      <c r="D187" s="1" t="s">
        <v>6012</v>
      </c>
      <c r="E187" s="1" t="s">
        <v>6013</v>
      </c>
      <c r="F187" s="1" t="s">
        <v>5366</v>
      </c>
      <c r="G187" s="1" t="s">
        <v>6014</v>
      </c>
      <c r="H187" s="1" t="s">
        <v>6015</v>
      </c>
      <c r="I187" s="1" t="s">
        <v>5381</v>
      </c>
      <c r="J187" s="1" t="s">
        <v>6016</v>
      </c>
      <c r="K187" s="1" t="s">
        <v>6017</v>
      </c>
    </row>
    <row r="188" spans="1:11" ht="116" x14ac:dyDescent="0.35">
      <c r="A188" s="61"/>
      <c r="B188" s="61"/>
      <c r="C188" s="61"/>
      <c r="D188" s="1" t="s">
        <v>6018</v>
      </c>
      <c r="E188" s="1" t="s">
        <v>6019</v>
      </c>
      <c r="F188" s="1" t="s">
        <v>5366</v>
      </c>
      <c r="G188" s="1" t="s">
        <v>6020</v>
      </c>
      <c r="H188" s="1" t="s">
        <v>6021</v>
      </c>
      <c r="I188" s="1" t="s">
        <v>120</v>
      </c>
      <c r="J188" s="1" t="s">
        <v>6022</v>
      </c>
      <c r="K188" s="1" t="s">
        <v>6023</v>
      </c>
    </row>
    <row r="189" spans="1:11" ht="130.5" x14ac:dyDescent="0.35">
      <c r="A189" s="61"/>
      <c r="B189" s="61"/>
      <c r="C189" s="61"/>
      <c r="D189" s="1" t="s">
        <v>6024</v>
      </c>
      <c r="E189" s="1" t="s">
        <v>6025</v>
      </c>
      <c r="F189" s="1" t="s">
        <v>5366</v>
      </c>
      <c r="G189" s="1" t="s">
        <v>6026</v>
      </c>
      <c r="H189" s="1" t="s">
        <v>6027</v>
      </c>
      <c r="I189" s="1" t="s">
        <v>120</v>
      </c>
      <c r="J189" s="1" t="s">
        <v>6028</v>
      </c>
      <c r="K189" s="1" t="s">
        <v>6029</v>
      </c>
    </row>
    <row r="190" spans="1:11" ht="145" x14ac:dyDescent="0.35">
      <c r="A190" s="61"/>
      <c r="B190" s="61"/>
      <c r="C190" s="61"/>
      <c r="D190" s="1" t="s">
        <v>6030</v>
      </c>
      <c r="E190" s="1" t="s">
        <v>6031</v>
      </c>
      <c r="F190" s="1" t="s">
        <v>5366</v>
      </c>
      <c r="G190" s="1" t="s">
        <v>6032</v>
      </c>
      <c r="H190" s="1" t="s">
        <v>6033</v>
      </c>
      <c r="I190" s="1" t="s">
        <v>120</v>
      </c>
      <c r="J190" s="1" t="s">
        <v>6034</v>
      </c>
      <c r="K190" s="1" t="s">
        <v>6035</v>
      </c>
    </row>
    <row r="191" spans="1:11" ht="145" x14ac:dyDescent="0.35">
      <c r="A191" s="61"/>
      <c r="B191" s="61"/>
      <c r="C191" s="61" t="s">
        <v>6036</v>
      </c>
      <c r="D191" s="1" t="s">
        <v>6037</v>
      </c>
      <c r="E191" s="1" t="s">
        <v>6038</v>
      </c>
      <c r="F191" s="1" t="s">
        <v>5366</v>
      </c>
      <c r="G191" s="1" t="s">
        <v>5952</v>
      </c>
      <c r="H191" s="1" t="s">
        <v>6039</v>
      </c>
      <c r="I191" s="1" t="s">
        <v>5381</v>
      </c>
      <c r="J191" s="1" t="s">
        <v>6040</v>
      </c>
      <c r="K191" s="1" t="s">
        <v>6041</v>
      </c>
    </row>
    <row r="192" spans="1:11" ht="145" x14ac:dyDescent="0.35">
      <c r="A192" s="61"/>
      <c r="B192" s="61"/>
      <c r="C192" s="61"/>
      <c r="D192" s="1" t="s">
        <v>6042</v>
      </c>
      <c r="E192" s="1" t="s">
        <v>6043</v>
      </c>
      <c r="F192" s="1" t="s">
        <v>5366</v>
      </c>
      <c r="G192" s="1" t="s">
        <v>6044</v>
      </c>
      <c r="H192" s="1" t="s">
        <v>6045</v>
      </c>
      <c r="I192" s="1" t="s">
        <v>4856</v>
      </c>
      <c r="J192" s="1" t="s">
        <v>6046</v>
      </c>
      <c r="K192" s="1" t="s">
        <v>6047</v>
      </c>
    </row>
    <row r="193" spans="1:11" ht="174" x14ac:dyDescent="0.35">
      <c r="A193" s="61"/>
      <c r="B193" s="61"/>
      <c r="C193" s="61"/>
      <c r="D193" s="1" t="s">
        <v>6048</v>
      </c>
      <c r="E193" s="1" t="s">
        <v>6049</v>
      </c>
      <c r="F193" s="1" t="s">
        <v>5366</v>
      </c>
      <c r="G193" s="1" t="s">
        <v>6050</v>
      </c>
      <c r="H193" s="1" t="s">
        <v>6051</v>
      </c>
      <c r="I193" s="1" t="s">
        <v>120</v>
      </c>
      <c r="J193" s="1" t="s">
        <v>6052</v>
      </c>
      <c r="K193" s="1" t="s">
        <v>6053</v>
      </c>
    </row>
    <row r="194" spans="1:11" ht="130.5" x14ac:dyDescent="0.35">
      <c r="A194" s="61"/>
      <c r="B194" s="61"/>
      <c r="C194" s="61"/>
      <c r="D194" s="1" t="s">
        <v>6054</v>
      </c>
      <c r="E194" s="1" t="s">
        <v>6055</v>
      </c>
      <c r="F194" s="1" t="s">
        <v>5366</v>
      </c>
      <c r="G194" s="1" t="s">
        <v>6056</v>
      </c>
      <c r="H194" s="1" t="s">
        <v>6057</v>
      </c>
      <c r="I194" s="1" t="s">
        <v>4856</v>
      </c>
      <c r="J194" s="1" t="s">
        <v>6058</v>
      </c>
      <c r="K194" s="1" t="s">
        <v>6059</v>
      </c>
    </row>
    <row r="195" spans="1:11" ht="145" x14ac:dyDescent="0.35">
      <c r="A195" s="61"/>
      <c r="B195" s="61"/>
      <c r="C195" s="61"/>
      <c r="D195" s="1" t="s">
        <v>6060</v>
      </c>
      <c r="E195" s="1" t="s">
        <v>6061</v>
      </c>
      <c r="F195" s="1" t="s">
        <v>5366</v>
      </c>
      <c r="G195" s="1" t="s">
        <v>6062</v>
      </c>
      <c r="H195" s="1" t="s">
        <v>6063</v>
      </c>
      <c r="I195" s="1" t="s">
        <v>120</v>
      </c>
      <c r="J195" s="1" t="s">
        <v>6064</v>
      </c>
      <c r="K195" s="1" t="s">
        <v>6065</v>
      </c>
    </row>
    <row r="196" spans="1:11" ht="145" x14ac:dyDescent="0.35">
      <c r="A196" s="61"/>
      <c r="B196" s="61"/>
      <c r="C196" s="62" t="s">
        <v>6066</v>
      </c>
      <c r="D196" s="1" t="s">
        <v>6067</v>
      </c>
      <c r="E196" s="1" t="s">
        <v>6068</v>
      </c>
      <c r="F196" s="1" t="s">
        <v>5366</v>
      </c>
      <c r="G196" s="1" t="s">
        <v>6069</v>
      </c>
      <c r="H196" s="1" t="s">
        <v>6070</v>
      </c>
      <c r="I196" s="1" t="s">
        <v>4856</v>
      </c>
      <c r="J196" s="1" t="s">
        <v>6071</v>
      </c>
      <c r="K196" s="1" t="s">
        <v>6072</v>
      </c>
    </row>
    <row r="197" spans="1:11" ht="116" x14ac:dyDescent="0.35">
      <c r="A197" s="61"/>
      <c r="B197" s="61"/>
      <c r="C197" s="61"/>
      <c r="D197" s="1" t="s">
        <v>6073</v>
      </c>
      <c r="E197" s="1" t="s">
        <v>6074</v>
      </c>
      <c r="F197" s="1" t="s">
        <v>5366</v>
      </c>
      <c r="G197" s="1" t="s">
        <v>6075</v>
      </c>
      <c r="H197" s="1" t="s">
        <v>6076</v>
      </c>
      <c r="I197" s="1" t="s">
        <v>120</v>
      </c>
      <c r="J197" s="1" t="s">
        <v>6077</v>
      </c>
      <c r="K197" s="1" t="s">
        <v>6078</v>
      </c>
    </row>
    <row r="198" spans="1:11" ht="130.5" x14ac:dyDescent="0.35">
      <c r="A198" s="61"/>
      <c r="B198" s="61"/>
      <c r="C198" s="61"/>
      <c r="D198" s="1" t="s">
        <v>6079</v>
      </c>
      <c r="E198" s="1" t="s">
        <v>6080</v>
      </c>
      <c r="F198" s="1" t="s">
        <v>5366</v>
      </c>
      <c r="G198" s="1" t="s">
        <v>6081</v>
      </c>
      <c r="H198" s="1" t="s">
        <v>6082</v>
      </c>
      <c r="I198" s="1" t="s">
        <v>120</v>
      </c>
      <c r="J198" s="1" t="s">
        <v>6083</v>
      </c>
      <c r="K198" s="1" t="s">
        <v>6084</v>
      </c>
    </row>
    <row r="199" spans="1:11" ht="145" x14ac:dyDescent="0.35">
      <c r="A199" s="61"/>
      <c r="B199" s="61"/>
      <c r="C199" s="61"/>
      <c r="D199" s="1" t="s">
        <v>6085</v>
      </c>
      <c r="E199" s="1" t="s">
        <v>6086</v>
      </c>
      <c r="F199" s="1" t="s">
        <v>5366</v>
      </c>
      <c r="G199" s="1" t="s">
        <v>6087</v>
      </c>
      <c r="H199" s="1" t="s">
        <v>6088</v>
      </c>
      <c r="I199" s="1" t="s">
        <v>4856</v>
      </c>
      <c r="J199" s="1" t="s">
        <v>6089</v>
      </c>
      <c r="K199" s="1" t="s">
        <v>6090</v>
      </c>
    </row>
    <row r="200" spans="1:11" ht="159.5" x14ac:dyDescent="0.35">
      <c r="A200" s="61"/>
      <c r="B200" s="61"/>
      <c r="C200" s="61"/>
      <c r="D200" s="1" t="s">
        <v>6091</v>
      </c>
      <c r="E200" s="1" t="s">
        <v>6092</v>
      </c>
      <c r="F200" s="1" t="s">
        <v>5366</v>
      </c>
      <c r="G200" s="1" t="s">
        <v>6093</v>
      </c>
      <c r="H200" s="1" t="s">
        <v>6094</v>
      </c>
      <c r="I200" s="1" t="s">
        <v>120</v>
      </c>
      <c r="J200" s="1" t="s">
        <v>6095</v>
      </c>
      <c r="K200" s="1" t="s">
        <v>6096</v>
      </c>
    </row>
    <row r="201" spans="1:11" ht="130.5" x14ac:dyDescent="0.35">
      <c r="A201" s="61"/>
      <c r="B201" s="61"/>
      <c r="C201" s="62" t="s">
        <v>6097</v>
      </c>
      <c r="D201" s="1" t="s">
        <v>6098</v>
      </c>
      <c r="E201" s="1" t="s">
        <v>6099</v>
      </c>
      <c r="F201" s="1" t="s">
        <v>5366</v>
      </c>
      <c r="G201" s="1" t="s">
        <v>6100</v>
      </c>
      <c r="H201" s="1" t="s">
        <v>6101</v>
      </c>
      <c r="I201" s="1" t="s">
        <v>120</v>
      </c>
      <c r="J201" s="1" t="s">
        <v>6102</v>
      </c>
      <c r="K201" s="1" t="s">
        <v>6103</v>
      </c>
    </row>
    <row r="202" spans="1:11" ht="130.5" x14ac:dyDescent="0.35">
      <c r="A202" s="61"/>
      <c r="B202" s="61"/>
      <c r="C202" s="61"/>
      <c r="D202" s="1" t="s">
        <v>6104</v>
      </c>
      <c r="E202" s="1" t="s">
        <v>6105</v>
      </c>
      <c r="F202" s="1" t="s">
        <v>5366</v>
      </c>
      <c r="G202" s="1" t="s">
        <v>5884</v>
      </c>
      <c r="H202" s="1" t="s">
        <v>6106</v>
      </c>
      <c r="I202" s="1" t="s">
        <v>120</v>
      </c>
      <c r="J202" s="1" t="s">
        <v>6107</v>
      </c>
      <c r="K202" s="1" t="s">
        <v>6108</v>
      </c>
    </row>
    <row r="203" spans="1:11" ht="145" x14ac:dyDescent="0.35">
      <c r="A203" s="61"/>
      <c r="B203" s="61"/>
      <c r="C203" s="61"/>
      <c r="D203" s="1" t="s">
        <v>6109</v>
      </c>
      <c r="E203" s="1" t="s">
        <v>6110</v>
      </c>
      <c r="F203" s="1" t="s">
        <v>5366</v>
      </c>
      <c r="G203" s="1" t="s">
        <v>6111</v>
      </c>
      <c r="H203" s="1" t="s">
        <v>6112</v>
      </c>
      <c r="I203" s="1" t="s">
        <v>4856</v>
      </c>
      <c r="J203" s="1" t="s">
        <v>6113</v>
      </c>
      <c r="K203" s="1" t="s">
        <v>6114</v>
      </c>
    </row>
    <row r="204" spans="1:11" ht="174" x14ac:dyDescent="0.35">
      <c r="A204" s="61"/>
      <c r="B204" s="61"/>
      <c r="C204" s="61"/>
      <c r="D204" s="1" t="s">
        <v>6115</v>
      </c>
      <c r="E204" s="1" t="s">
        <v>6116</v>
      </c>
      <c r="F204" s="1" t="s">
        <v>5366</v>
      </c>
      <c r="G204" s="1" t="s">
        <v>6117</v>
      </c>
      <c r="H204" s="1" t="s">
        <v>6118</v>
      </c>
      <c r="I204" s="1" t="s">
        <v>120</v>
      </c>
      <c r="J204" s="1" t="s">
        <v>6119</v>
      </c>
      <c r="K204" s="1" t="s">
        <v>6120</v>
      </c>
    </row>
    <row r="205" spans="1:11" ht="130.5" x14ac:dyDescent="0.35">
      <c r="A205" s="61"/>
      <c r="B205" s="61"/>
      <c r="C205" s="61"/>
      <c r="D205" s="1" t="s">
        <v>6121</v>
      </c>
      <c r="E205" s="1" t="s">
        <v>6122</v>
      </c>
      <c r="F205" s="1" t="s">
        <v>5366</v>
      </c>
      <c r="G205" s="1" t="s">
        <v>6123</v>
      </c>
      <c r="H205" s="1" t="s">
        <v>6124</v>
      </c>
      <c r="I205" s="1" t="s">
        <v>120</v>
      </c>
      <c r="J205" s="1" t="s">
        <v>6125</v>
      </c>
      <c r="K205" s="1" t="s">
        <v>6126</v>
      </c>
    </row>
    <row r="206" spans="1:11" ht="145" x14ac:dyDescent="0.35">
      <c r="A206" s="61"/>
      <c r="B206" s="61"/>
      <c r="C206" s="62" t="s">
        <v>6127</v>
      </c>
      <c r="D206" s="1" t="s">
        <v>6128</v>
      </c>
      <c r="E206" s="1" t="s">
        <v>6129</v>
      </c>
      <c r="F206" s="1" t="s">
        <v>5366</v>
      </c>
      <c r="G206" s="1" t="s">
        <v>6130</v>
      </c>
      <c r="H206" s="1" t="s">
        <v>6131</v>
      </c>
      <c r="I206" s="1" t="s">
        <v>120</v>
      </c>
      <c r="J206" s="1" t="s">
        <v>6132</v>
      </c>
      <c r="K206" s="1" t="s">
        <v>6133</v>
      </c>
    </row>
    <row r="207" spans="1:11" ht="130.5" x14ac:dyDescent="0.35">
      <c r="A207" s="61"/>
      <c r="B207" s="61"/>
      <c r="C207" s="61"/>
      <c r="D207" s="1" t="s">
        <v>6134</v>
      </c>
      <c r="E207" s="1" t="s">
        <v>6135</v>
      </c>
      <c r="F207" s="1" t="s">
        <v>5366</v>
      </c>
      <c r="G207" s="1" t="s">
        <v>6136</v>
      </c>
      <c r="H207" s="1" t="s">
        <v>6137</v>
      </c>
      <c r="I207" s="1" t="s">
        <v>120</v>
      </c>
      <c r="J207" s="1" t="s">
        <v>6138</v>
      </c>
      <c r="K207" s="1" t="s">
        <v>6139</v>
      </c>
    </row>
    <row r="208" spans="1:11" ht="101.5" x14ac:dyDescent="0.35">
      <c r="A208" s="61"/>
      <c r="B208" s="61"/>
      <c r="C208" s="61"/>
      <c r="D208" s="1" t="s">
        <v>6140</v>
      </c>
      <c r="E208" s="1" t="s">
        <v>6141</v>
      </c>
      <c r="F208" s="1" t="s">
        <v>5366</v>
      </c>
      <c r="G208" s="1" t="s">
        <v>6142</v>
      </c>
      <c r="H208" s="1" t="s">
        <v>6143</v>
      </c>
      <c r="I208" s="1" t="s">
        <v>5381</v>
      </c>
      <c r="J208" s="1" t="s">
        <v>6144</v>
      </c>
      <c r="K208" s="1" t="s">
        <v>6145</v>
      </c>
    </row>
    <row r="209" spans="1:11" ht="145" x14ac:dyDescent="0.35">
      <c r="A209" s="61"/>
      <c r="B209" s="61"/>
      <c r="C209" s="61"/>
      <c r="D209" s="1" t="s">
        <v>6146</v>
      </c>
      <c r="E209" s="1" t="s">
        <v>6147</v>
      </c>
      <c r="F209" s="1" t="s">
        <v>5366</v>
      </c>
      <c r="G209" s="1" t="s">
        <v>6148</v>
      </c>
      <c r="H209" s="1" t="s">
        <v>6149</v>
      </c>
      <c r="I209" s="1" t="s">
        <v>120</v>
      </c>
      <c r="J209" s="1" t="s">
        <v>6150</v>
      </c>
      <c r="K209" s="1" t="s">
        <v>6151</v>
      </c>
    </row>
    <row r="210" spans="1:11" ht="159.5" x14ac:dyDescent="0.35">
      <c r="A210" s="61"/>
      <c r="B210" s="61"/>
      <c r="C210" s="61"/>
      <c r="D210" s="1" t="s">
        <v>6152</v>
      </c>
      <c r="E210" s="1" t="s">
        <v>6153</v>
      </c>
      <c r="F210" s="1" t="s">
        <v>5366</v>
      </c>
      <c r="G210" s="1" t="s">
        <v>6154</v>
      </c>
      <c r="H210" s="1" t="s">
        <v>6155</v>
      </c>
      <c r="I210" s="1" t="s">
        <v>120</v>
      </c>
      <c r="J210" s="1" t="s">
        <v>6156</v>
      </c>
      <c r="K210" s="1" t="s">
        <v>6157</v>
      </c>
    </row>
    <row r="211" spans="1:11" ht="116" x14ac:dyDescent="0.35">
      <c r="A211" s="61"/>
      <c r="B211" s="61"/>
      <c r="C211" s="61" t="s">
        <v>6158</v>
      </c>
      <c r="D211" s="1" t="s">
        <v>6159</v>
      </c>
      <c r="E211" s="1" t="s">
        <v>6160</v>
      </c>
      <c r="F211" s="1" t="s">
        <v>5366</v>
      </c>
      <c r="G211" s="1" t="s">
        <v>6161</v>
      </c>
      <c r="H211" s="1" t="s">
        <v>6162</v>
      </c>
      <c r="I211" s="1" t="s">
        <v>4856</v>
      </c>
      <c r="J211" s="1" t="s">
        <v>6163</v>
      </c>
      <c r="K211" s="1" t="s">
        <v>6164</v>
      </c>
    </row>
    <row r="212" spans="1:11" ht="130.5" x14ac:dyDescent="0.35">
      <c r="A212" s="61"/>
      <c r="B212" s="61"/>
      <c r="C212" s="61"/>
      <c r="D212" s="1" t="s">
        <v>6165</v>
      </c>
      <c r="E212" s="1" t="s">
        <v>6166</v>
      </c>
      <c r="F212" s="1" t="s">
        <v>5366</v>
      </c>
      <c r="G212" s="1" t="s">
        <v>6130</v>
      </c>
      <c r="H212" s="1" t="s">
        <v>6167</v>
      </c>
      <c r="I212" s="1" t="s">
        <v>120</v>
      </c>
      <c r="J212" s="1" t="s">
        <v>6168</v>
      </c>
      <c r="K212" s="1" t="s">
        <v>6169</v>
      </c>
    </row>
    <row r="213" spans="1:11" ht="130.5" x14ac:dyDescent="0.35">
      <c r="A213" s="61"/>
      <c r="B213" s="61"/>
      <c r="C213" s="61"/>
      <c r="D213" s="1" t="s">
        <v>6170</v>
      </c>
      <c r="E213" s="1" t="s">
        <v>6171</v>
      </c>
      <c r="F213" s="1" t="s">
        <v>5366</v>
      </c>
      <c r="G213" s="1" t="s">
        <v>6172</v>
      </c>
      <c r="H213" s="1" t="s">
        <v>6173</v>
      </c>
      <c r="I213" s="1" t="s">
        <v>5381</v>
      </c>
      <c r="J213" s="1" t="s">
        <v>6174</v>
      </c>
      <c r="K213" s="1" t="s">
        <v>6175</v>
      </c>
    </row>
    <row r="214" spans="1:11" ht="116" x14ac:dyDescent="0.35">
      <c r="A214" s="61"/>
      <c r="B214" s="61"/>
      <c r="C214" s="61"/>
      <c r="D214" s="1" t="s">
        <v>4910</v>
      </c>
      <c r="E214" s="1" t="s">
        <v>6176</v>
      </c>
      <c r="F214" s="1" t="s">
        <v>5366</v>
      </c>
      <c r="G214" s="1" t="s">
        <v>6148</v>
      </c>
      <c r="H214" s="1" t="s">
        <v>6177</v>
      </c>
      <c r="I214" s="1" t="s">
        <v>120</v>
      </c>
      <c r="J214" s="1" t="s">
        <v>6178</v>
      </c>
      <c r="K214" s="1" t="s">
        <v>6179</v>
      </c>
    </row>
    <row r="215" spans="1:11" ht="145" x14ac:dyDescent="0.35">
      <c r="A215" s="61"/>
      <c r="B215" s="61"/>
      <c r="C215" s="61"/>
      <c r="D215" s="1" t="s">
        <v>6180</v>
      </c>
      <c r="E215" s="1" t="s">
        <v>6181</v>
      </c>
      <c r="F215" s="1" t="s">
        <v>5366</v>
      </c>
      <c r="G215" s="1" t="s">
        <v>6182</v>
      </c>
      <c r="H215" s="1" t="s">
        <v>6183</v>
      </c>
      <c r="I215" s="1" t="s">
        <v>5381</v>
      </c>
      <c r="J215" s="1" t="s">
        <v>6184</v>
      </c>
      <c r="K215" s="1" t="s">
        <v>6185</v>
      </c>
    </row>
    <row r="216" spans="1:11" ht="159.5" x14ac:dyDescent="0.35">
      <c r="A216" s="61"/>
      <c r="B216" s="61"/>
      <c r="C216" s="61" t="s">
        <v>6186</v>
      </c>
      <c r="D216" s="1" t="s">
        <v>6187</v>
      </c>
      <c r="E216" s="1" t="s">
        <v>6188</v>
      </c>
      <c r="F216" s="1" t="s">
        <v>5366</v>
      </c>
      <c r="G216" s="1" t="s">
        <v>6189</v>
      </c>
      <c r="H216" s="1" t="s">
        <v>6190</v>
      </c>
      <c r="I216" s="1" t="s">
        <v>4856</v>
      </c>
      <c r="J216" s="1" t="s">
        <v>6191</v>
      </c>
      <c r="K216" s="1" t="s">
        <v>6192</v>
      </c>
    </row>
    <row r="217" spans="1:11" ht="130.5" x14ac:dyDescent="0.35">
      <c r="A217" s="61"/>
      <c r="B217" s="61"/>
      <c r="C217" s="61"/>
      <c r="D217" s="1" t="s">
        <v>6193</v>
      </c>
      <c r="E217" s="1" t="s">
        <v>6194</v>
      </c>
      <c r="F217" s="1" t="s">
        <v>5366</v>
      </c>
      <c r="G217" s="1" t="s">
        <v>6195</v>
      </c>
      <c r="H217" s="1" t="s">
        <v>6196</v>
      </c>
      <c r="I217" s="1" t="s">
        <v>4856</v>
      </c>
      <c r="J217" s="1" t="s">
        <v>6197</v>
      </c>
      <c r="K217" s="1" t="s">
        <v>6198</v>
      </c>
    </row>
    <row r="218" spans="1:11" ht="159.5" x14ac:dyDescent="0.35">
      <c r="A218" s="61"/>
      <c r="B218" s="61"/>
      <c r="C218" s="61"/>
      <c r="D218" s="1" t="s">
        <v>6199</v>
      </c>
      <c r="E218" s="1" t="s">
        <v>6200</v>
      </c>
      <c r="F218" s="1" t="s">
        <v>5366</v>
      </c>
      <c r="G218" s="1" t="s">
        <v>6201</v>
      </c>
      <c r="H218" s="1" t="s">
        <v>6202</v>
      </c>
      <c r="I218" s="1" t="s">
        <v>5381</v>
      </c>
      <c r="J218" s="1" t="s">
        <v>6203</v>
      </c>
      <c r="K218" s="1" t="s">
        <v>6204</v>
      </c>
    </row>
    <row r="219" spans="1:11" ht="174" x14ac:dyDescent="0.35">
      <c r="A219" s="61"/>
      <c r="B219" s="61"/>
      <c r="C219" s="61"/>
      <c r="D219" s="1" t="s">
        <v>6205</v>
      </c>
      <c r="E219" s="1" t="s">
        <v>6206</v>
      </c>
      <c r="F219" s="1" t="s">
        <v>5366</v>
      </c>
      <c r="G219" s="1" t="s">
        <v>6207</v>
      </c>
      <c r="H219" s="1" t="s">
        <v>6208</v>
      </c>
      <c r="I219" s="1" t="s">
        <v>120</v>
      </c>
      <c r="J219" s="1" t="s">
        <v>6209</v>
      </c>
      <c r="K219" s="1" t="s">
        <v>6210</v>
      </c>
    </row>
    <row r="220" spans="1:11" ht="188.5" x14ac:dyDescent="0.35">
      <c r="A220" s="61"/>
      <c r="B220" s="61"/>
      <c r="C220" s="61"/>
      <c r="D220" s="1" t="s">
        <v>6211</v>
      </c>
      <c r="E220" s="1" t="s">
        <v>6212</v>
      </c>
      <c r="F220" s="1" t="s">
        <v>5366</v>
      </c>
      <c r="G220" s="1" t="s">
        <v>6213</v>
      </c>
      <c r="H220" s="1" t="s">
        <v>6214</v>
      </c>
      <c r="I220" s="1" t="s">
        <v>5381</v>
      </c>
      <c r="J220" s="1" t="s">
        <v>6215</v>
      </c>
      <c r="K220" s="1" t="s">
        <v>6216</v>
      </c>
    </row>
    <row r="221" spans="1:11" ht="130.5" x14ac:dyDescent="0.35">
      <c r="A221" s="61"/>
      <c r="B221" s="62" t="s">
        <v>6217</v>
      </c>
      <c r="C221" s="62" t="s">
        <v>6218</v>
      </c>
      <c r="D221" s="1" t="s">
        <v>6219</v>
      </c>
      <c r="E221" s="1" t="s">
        <v>6220</v>
      </c>
      <c r="F221" s="1" t="s">
        <v>5366</v>
      </c>
      <c r="G221" s="1" t="s">
        <v>5606</v>
      </c>
      <c r="H221" s="1" t="s">
        <v>6221</v>
      </c>
      <c r="I221" s="1" t="s">
        <v>4856</v>
      </c>
      <c r="J221" s="1" t="s">
        <v>6222</v>
      </c>
      <c r="K221" s="1" t="s">
        <v>6223</v>
      </c>
    </row>
    <row r="222" spans="1:11" ht="116" x14ac:dyDescent="0.35">
      <c r="A222" s="61"/>
      <c r="B222" s="61"/>
      <c r="C222" s="61"/>
      <c r="D222" s="1" t="s">
        <v>6224</v>
      </c>
      <c r="E222" s="1" t="s">
        <v>6225</v>
      </c>
      <c r="F222" s="1" t="s">
        <v>5366</v>
      </c>
      <c r="G222" s="1" t="s">
        <v>6226</v>
      </c>
      <c r="H222" s="1" t="s">
        <v>6227</v>
      </c>
      <c r="I222" s="1" t="s">
        <v>4856</v>
      </c>
      <c r="J222" s="1" t="s">
        <v>6228</v>
      </c>
      <c r="K222" s="1" t="s">
        <v>6229</v>
      </c>
    </row>
    <row r="223" spans="1:11" ht="116" x14ac:dyDescent="0.35">
      <c r="A223" s="61"/>
      <c r="B223" s="61"/>
      <c r="C223" s="61"/>
      <c r="D223" s="1" t="s">
        <v>6230</v>
      </c>
      <c r="E223" s="1" t="s">
        <v>6231</v>
      </c>
      <c r="F223" s="1" t="s">
        <v>5366</v>
      </c>
      <c r="G223" s="1" t="s">
        <v>6232</v>
      </c>
      <c r="H223" s="1" t="s">
        <v>6233</v>
      </c>
      <c r="I223" s="1" t="s">
        <v>120</v>
      </c>
      <c r="J223" s="1" t="s">
        <v>6234</v>
      </c>
      <c r="K223" s="1" t="s">
        <v>6235</v>
      </c>
    </row>
    <row r="224" spans="1:11" ht="130.5" x14ac:dyDescent="0.35">
      <c r="A224" s="61"/>
      <c r="B224" s="61"/>
      <c r="C224" s="61"/>
      <c r="D224" s="1" t="s">
        <v>6236</v>
      </c>
      <c r="E224" s="1" t="s">
        <v>6237</v>
      </c>
      <c r="F224" s="1" t="s">
        <v>5366</v>
      </c>
      <c r="G224" s="1" t="s">
        <v>6238</v>
      </c>
      <c r="H224" s="1" t="s">
        <v>6239</v>
      </c>
      <c r="I224" s="1" t="s">
        <v>120</v>
      </c>
      <c r="J224" s="1" t="s">
        <v>6240</v>
      </c>
      <c r="K224" s="1" t="s">
        <v>6241</v>
      </c>
    </row>
    <row r="225" spans="1:11" ht="130.5" x14ac:dyDescent="0.35">
      <c r="A225" s="61"/>
      <c r="B225" s="61"/>
      <c r="C225" s="61"/>
      <c r="D225" s="1" t="s">
        <v>6242</v>
      </c>
      <c r="E225" s="1" t="s">
        <v>6243</v>
      </c>
      <c r="F225" s="1" t="s">
        <v>5366</v>
      </c>
      <c r="G225" s="1" t="s">
        <v>6244</v>
      </c>
      <c r="H225" s="1" t="s">
        <v>6245</v>
      </c>
      <c r="I225" s="1" t="s">
        <v>120</v>
      </c>
      <c r="J225" s="1" t="s">
        <v>6246</v>
      </c>
      <c r="K225" s="1" t="s">
        <v>6247</v>
      </c>
    </row>
    <row r="226" spans="1:11" ht="116" x14ac:dyDescent="0.35">
      <c r="A226" s="61"/>
      <c r="B226" s="61"/>
      <c r="C226" s="62" t="s">
        <v>6248</v>
      </c>
      <c r="D226" s="1" t="s">
        <v>6249</v>
      </c>
      <c r="E226" s="1" t="s">
        <v>6250</v>
      </c>
      <c r="F226" s="1" t="s">
        <v>5366</v>
      </c>
      <c r="G226" s="1" t="s">
        <v>6251</v>
      </c>
      <c r="H226" s="1" t="s">
        <v>6252</v>
      </c>
      <c r="I226" s="1" t="s">
        <v>4856</v>
      </c>
      <c r="J226" s="1" t="s">
        <v>6253</v>
      </c>
      <c r="K226" s="1" t="s">
        <v>6254</v>
      </c>
    </row>
    <row r="227" spans="1:11" ht="145" x14ac:dyDescent="0.35">
      <c r="A227" s="61"/>
      <c r="B227" s="61"/>
      <c r="C227" s="61"/>
      <c r="D227" s="1" t="s">
        <v>6255</v>
      </c>
      <c r="E227" s="1" t="s">
        <v>6256</v>
      </c>
      <c r="F227" s="1" t="s">
        <v>5366</v>
      </c>
      <c r="G227" s="1" t="s">
        <v>6257</v>
      </c>
      <c r="H227" s="1" t="s">
        <v>6258</v>
      </c>
      <c r="I227" s="1" t="s">
        <v>120</v>
      </c>
      <c r="J227" s="1" t="s">
        <v>6259</v>
      </c>
      <c r="K227" s="1" t="s">
        <v>6260</v>
      </c>
    </row>
    <row r="228" spans="1:11" ht="116" x14ac:dyDescent="0.35">
      <c r="A228" s="61"/>
      <c r="B228" s="61"/>
      <c r="C228" s="61"/>
      <c r="D228" s="1" t="s">
        <v>6261</v>
      </c>
      <c r="E228" s="1" t="s">
        <v>6262</v>
      </c>
      <c r="F228" s="1" t="s">
        <v>5366</v>
      </c>
      <c r="G228" s="1" t="s">
        <v>6263</v>
      </c>
      <c r="H228" s="1" t="s">
        <v>6264</v>
      </c>
      <c r="I228" s="1" t="s">
        <v>120</v>
      </c>
      <c r="J228" s="1" t="s">
        <v>6265</v>
      </c>
      <c r="K228" s="1" t="s">
        <v>6266</v>
      </c>
    </row>
    <row r="229" spans="1:11" ht="116" x14ac:dyDescent="0.35">
      <c r="A229" s="61"/>
      <c r="B229" s="61"/>
      <c r="C229" s="61"/>
      <c r="D229" s="1" t="s">
        <v>6267</v>
      </c>
      <c r="E229" s="1" t="s">
        <v>6268</v>
      </c>
      <c r="F229" s="1" t="s">
        <v>5366</v>
      </c>
      <c r="G229" s="1" t="s">
        <v>6269</v>
      </c>
      <c r="H229" s="1" t="s">
        <v>6270</v>
      </c>
      <c r="I229" s="1" t="s">
        <v>4856</v>
      </c>
      <c r="J229" s="1" t="s">
        <v>6271</v>
      </c>
      <c r="K229" s="1" t="s">
        <v>6272</v>
      </c>
    </row>
    <row r="230" spans="1:11" ht="145" x14ac:dyDescent="0.35">
      <c r="A230" s="61"/>
      <c r="B230" s="61"/>
      <c r="C230" s="61"/>
      <c r="D230" s="1" t="s">
        <v>6273</v>
      </c>
      <c r="E230" s="1" t="s">
        <v>6274</v>
      </c>
      <c r="F230" s="1" t="s">
        <v>5366</v>
      </c>
      <c r="G230" s="1" t="s">
        <v>6275</v>
      </c>
      <c r="H230" s="1" t="s">
        <v>6276</v>
      </c>
      <c r="I230" s="1" t="s">
        <v>120</v>
      </c>
      <c r="J230" s="1" t="s">
        <v>6277</v>
      </c>
      <c r="K230" s="1" t="s">
        <v>6278</v>
      </c>
    </row>
    <row r="231" spans="1:11" ht="145" x14ac:dyDescent="0.35">
      <c r="A231" s="61"/>
      <c r="B231" s="61"/>
      <c r="C231" s="61" t="s">
        <v>6279</v>
      </c>
      <c r="D231" s="1" t="s">
        <v>6280</v>
      </c>
      <c r="E231" s="1" t="s">
        <v>6281</v>
      </c>
      <c r="F231" s="1" t="s">
        <v>5366</v>
      </c>
      <c r="G231" s="1" t="s">
        <v>6282</v>
      </c>
      <c r="H231" s="1" t="s">
        <v>6283</v>
      </c>
      <c r="I231" s="1" t="s">
        <v>4856</v>
      </c>
      <c r="J231" s="1" t="s">
        <v>6284</v>
      </c>
      <c r="K231" s="1" t="s">
        <v>6285</v>
      </c>
    </row>
    <row r="232" spans="1:11" ht="116" x14ac:dyDescent="0.35">
      <c r="A232" s="61"/>
      <c r="B232" s="61"/>
      <c r="C232" s="61"/>
      <c r="D232" s="1" t="s">
        <v>6286</v>
      </c>
      <c r="E232" s="1" t="s">
        <v>6287</v>
      </c>
      <c r="F232" s="1" t="s">
        <v>5366</v>
      </c>
      <c r="G232" s="1" t="s">
        <v>6288</v>
      </c>
      <c r="H232" s="1" t="s">
        <v>6289</v>
      </c>
      <c r="I232" s="1" t="s">
        <v>120</v>
      </c>
      <c r="J232" s="1" t="s">
        <v>6290</v>
      </c>
      <c r="K232" s="1" t="s">
        <v>6291</v>
      </c>
    </row>
    <row r="233" spans="1:11" ht="130.5" x14ac:dyDescent="0.35">
      <c r="A233" s="61"/>
      <c r="B233" s="61"/>
      <c r="C233" s="61"/>
      <c r="D233" s="1" t="s">
        <v>6292</v>
      </c>
      <c r="E233" s="1" t="s">
        <v>6293</v>
      </c>
      <c r="F233" s="1" t="s">
        <v>5366</v>
      </c>
      <c r="G233" s="1" t="s">
        <v>6294</v>
      </c>
      <c r="H233" s="1" t="s">
        <v>6295</v>
      </c>
      <c r="I233" s="1" t="s">
        <v>120</v>
      </c>
      <c r="J233" s="1" t="s">
        <v>6296</v>
      </c>
      <c r="K233" s="1" t="s">
        <v>6297</v>
      </c>
    </row>
    <row r="234" spans="1:11" ht="130.5" x14ac:dyDescent="0.35">
      <c r="A234" s="61"/>
      <c r="B234" s="61"/>
      <c r="C234" s="61"/>
      <c r="D234" s="1" t="s">
        <v>6298</v>
      </c>
      <c r="E234" s="1" t="s">
        <v>6299</v>
      </c>
      <c r="F234" s="1" t="s">
        <v>5366</v>
      </c>
      <c r="G234" s="1" t="s">
        <v>6300</v>
      </c>
      <c r="H234" s="1" t="s">
        <v>6301</v>
      </c>
      <c r="I234" s="1" t="s">
        <v>120</v>
      </c>
      <c r="J234" s="1" t="s">
        <v>6302</v>
      </c>
      <c r="K234" s="1" t="s">
        <v>6303</v>
      </c>
    </row>
    <row r="235" spans="1:11" ht="87" x14ac:dyDescent="0.35">
      <c r="A235" s="61"/>
      <c r="B235" s="61"/>
      <c r="C235" s="61"/>
      <c r="D235" s="1" t="s">
        <v>6304</v>
      </c>
      <c r="E235" s="1" t="s">
        <v>6305</v>
      </c>
      <c r="F235" s="1" t="s">
        <v>5366</v>
      </c>
      <c r="G235" s="1" t="s">
        <v>6306</v>
      </c>
    </row>
    <row r="236" spans="1:11" ht="116" x14ac:dyDescent="0.35">
      <c r="A236" s="61"/>
      <c r="B236" s="61"/>
      <c r="C236" s="61" t="s">
        <v>6307</v>
      </c>
      <c r="D236" s="1" t="s">
        <v>6308</v>
      </c>
      <c r="E236" s="1" t="s">
        <v>6309</v>
      </c>
      <c r="F236" s="1" t="s">
        <v>5366</v>
      </c>
      <c r="G236" s="1" t="s">
        <v>6310</v>
      </c>
      <c r="H236" s="1" t="s">
        <v>6311</v>
      </c>
      <c r="I236" s="1" t="s">
        <v>4856</v>
      </c>
      <c r="J236" s="1" t="s">
        <v>6312</v>
      </c>
      <c r="K236" s="1" t="s">
        <v>6313</v>
      </c>
    </row>
    <row r="237" spans="1:11" ht="145" x14ac:dyDescent="0.35">
      <c r="A237" s="61"/>
      <c r="B237" s="61"/>
      <c r="C237" s="61"/>
      <c r="D237" s="1" t="s">
        <v>6314</v>
      </c>
      <c r="E237" s="1" t="s">
        <v>6315</v>
      </c>
      <c r="F237" s="1" t="s">
        <v>5366</v>
      </c>
      <c r="G237" s="1" t="s">
        <v>6316</v>
      </c>
      <c r="H237" s="1" t="s">
        <v>6317</v>
      </c>
      <c r="I237" s="1" t="s">
        <v>4856</v>
      </c>
      <c r="J237" s="1" t="s">
        <v>6318</v>
      </c>
      <c r="K237" s="1" t="s">
        <v>6319</v>
      </c>
    </row>
    <row r="238" spans="1:11" ht="145" x14ac:dyDescent="0.35">
      <c r="A238" s="61"/>
      <c r="B238" s="61"/>
      <c r="C238" s="61"/>
      <c r="D238" s="1" t="s">
        <v>6320</v>
      </c>
      <c r="E238" s="1" t="s">
        <v>6321</v>
      </c>
      <c r="F238" s="1" t="s">
        <v>5366</v>
      </c>
      <c r="G238" s="1" t="s">
        <v>6322</v>
      </c>
      <c r="H238" s="1" t="s">
        <v>6323</v>
      </c>
      <c r="I238" s="1" t="s">
        <v>120</v>
      </c>
      <c r="J238" s="1" t="s">
        <v>6324</v>
      </c>
      <c r="K238" s="1" t="s">
        <v>6325</v>
      </c>
    </row>
    <row r="239" spans="1:11" ht="159.5" x14ac:dyDescent="0.35">
      <c r="A239" s="61"/>
      <c r="B239" s="61"/>
      <c r="C239" s="61"/>
      <c r="D239" s="1" t="s">
        <v>6326</v>
      </c>
      <c r="E239" s="1" t="s">
        <v>6327</v>
      </c>
      <c r="F239" s="1" t="s">
        <v>5366</v>
      </c>
      <c r="G239" s="1" t="s">
        <v>6328</v>
      </c>
      <c r="H239" s="1" t="s">
        <v>6329</v>
      </c>
      <c r="I239" s="1" t="s">
        <v>4856</v>
      </c>
      <c r="J239" s="1" t="s">
        <v>6330</v>
      </c>
      <c r="K239" s="1" t="s">
        <v>6331</v>
      </c>
    </row>
    <row r="240" spans="1:11" ht="174" x14ac:dyDescent="0.35">
      <c r="A240" s="61"/>
      <c r="B240" s="61"/>
      <c r="C240" s="61"/>
      <c r="D240" s="1" t="s">
        <v>6332</v>
      </c>
      <c r="E240" s="1" t="s">
        <v>6333</v>
      </c>
      <c r="F240" s="1" t="s">
        <v>5366</v>
      </c>
      <c r="G240" s="1" t="s">
        <v>6334</v>
      </c>
      <c r="H240" s="1" t="s">
        <v>6335</v>
      </c>
      <c r="I240" s="1" t="s">
        <v>120</v>
      </c>
      <c r="J240" s="1" t="s">
        <v>6336</v>
      </c>
      <c r="K240" s="1" t="s">
        <v>6337</v>
      </c>
    </row>
    <row r="241" spans="1:11" ht="159.5" x14ac:dyDescent="0.35">
      <c r="A241" s="61"/>
      <c r="B241" s="61"/>
      <c r="C241" s="62" t="s">
        <v>6338</v>
      </c>
      <c r="D241" s="1" t="s">
        <v>6339</v>
      </c>
      <c r="E241" s="1" t="s">
        <v>6340</v>
      </c>
      <c r="F241" s="1" t="s">
        <v>5366</v>
      </c>
      <c r="G241" s="1" t="s">
        <v>6341</v>
      </c>
      <c r="H241" s="1" t="s">
        <v>6342</v>
      </c>
      <c r="I241" s="1" t="s">
        <v>120</v>
      </c>
      <c r="J241" s="1" t="s">
        <v>6343</v>
      </c>
      <c r="K241" s="1" t="s">
        <v>6344</v>
      </c>
    </row>
    <row r="242" spans="1:11" ht="116" x14ac:dyDescent="0.35">
      <c r="A242" s="61"/>
      <c r="B242" s="61"/>
      <c r="C242" s="61"/>
      <c r="D242" s="1" t="s">
        <v>6345</v>
      </c>
      <c r="E242" s="1" t="s">
        <v>6346</v>
      </c>
      <c r="F242" s="1" t="s">
        <v>5366</v>
      </c>
      <c r="G242" s="1" t="s">
        <v>6347</v>
      </c>
      <c r="H242" s="1" t="s">
        <v>6348</v>
      </c>
      <c r="I242" s="1" t="s">
        <v>120</v>
      </c>
      <c r="J242" s="1" t="s">
        <v>6349</v>
      </c>
      <c r="K242" s="1" t="s">
        <v>6350</v>
      </c>
    </row>
    <row r="243" spans="1:11" ht="130.5" x14ac:dyDescent="0.35">
      <c r="A243" s="61"/>
      <c r="B243" s="61"/>
      <c r="C243" s="61"/>
      <c r="D243" s="1" t="s">
        <v>6351</v>
      </c>
      <c r="E243" s="1" t="s">
        <v>6352</v>
      </c>
      <c r="F243" s="1" t="s">
        <v>5366</v>
      </c>
      <c r="G243" s="1" t="s">
        <v>6353</v>
      </c>
      <c r="H243" s="1" t="s">
        <v>6354</v>
      </c>
      <c r="I243" s="1" t="s">
        <v>120</v>
      </c>
      <c r="J243" s="1" t="s">
        <v>6355</v>
      </c>
      <c r="K243" s="1" t="s">
        <v>6356</v>
      </c>
    </row>
    <row r="244" spans="1:11" ht="116" x14ac:dyDescent="0.35">
      <c r="A244" s="61"/>
      <c r="B244" s="61"/>
      <c r="C244" s="61"/>
      <c r="D244" s="1" t="s">
        <v>6357</v>
      </c>
      <c r="E244" s="1" t="s">
        <v>6358</v>
      </c>
      <c r="F244" s="1" t="s">
        <v>5366</v>
      </c>
      <c r="G244" s="1" t="s">
        <v>6359</v>
      </c>
      <c r="H244" s="1" t="s">
        <v>6360</v>
      </c>
      <c r="I244" s="1" t="s">
        <v>4856</v>
      </c>
      <c r="J244" s="1" t="s">
        <v>6361</v>
      </c>
      <c r="K244" s="1" t="s">
        <v>6362</v>
      </c>
    </row>
    <row r="245" spans="1:11" ht="159.5" x14ac:dyDescent="0.35">
      <c r="A245" s="61"/>
      <c r="B245" s="61"/>
      <c r="C245" s="61"/>
      <c r="D245" s="1" t="s">
        <v>6363</v>
      </c>
      <c r="E245" s="1" t="s">
        <v>6364</v>
      </c>
      <c r="F245" s="1" t="s">
        <v>5366</v>
      </c>
      <c r="G245" s="1" t="s">
        <v>6365</v>
      </c>
      <c r="H245" s="1" t="s">
        <v>6366</v>
      </c>
      <c r="I245" s="1" t="s">
        <v>120</v>
      </c>
      <c r="J245" s="1" t="s">
        <v>6367</v>
      </c>
      <c r="K245" s="1" t="s">
        <v>6368</v>
      </c>
    </row>
    <row r="246" spans="1:11" ht="159.5" x14ac:dyDescent="0.35">
      <c r="A246" s="61"/>
      <c r="B246" s="61"/>
      <c r="C246" s="61" t="s">
        <v>6369</v>
      </c>
      <c r="D246" s="1" t="s">
        <v>6339</v>
      </c>
      <c r="E246" s="1" t="s">
        <v>6340</v>
      </c>
      <c r="F246" s="1" t="s">
        <v>5366</v>
      </c>
      <c r="G246" s="1" t="s">
        <v>6341</v>
      </c>
      <c r="H246" s="1" t="s">
        <v>6342</v>
      </c>
      <c r="I246" s="1" t="s">
        <v>120</v>
      </c>
      <c r="J246" s="1" t="s">
        <v>6343</v>
      </c>
      <c r="K246" s="1" t="s">
        <v>6344</v>
      </c>
    </row>
    <row r="247" spans="1:11" ht="116" x14ac:dyDescent="0.35">
      <c r="A247" s="61"/>
      <c r="B247" s="61"/>
      <c r="C247" s="61"/>
      <c r="D247" s="1" t="s">
        <v>6345</v>
      </c>
      <c r="E247" s="1" t="s">
        <v>6346</v>
      </c>
      <c r="F247" s="1" t="s">
        <v>5366</v>
      </c>
      <c r="G247" s="1" t="s">
        <v>6347</v>
      </c>
      <c r="H247" s="1" t="s">
        <v>6348</v>
      </c>
      <c r="I247" s="1" t="s">
        <v>120</v>
      </c>
      <c r="J247" s="1" t="s">
        <v>6349</v>
      </c>
      <c r="K247" s="1" t="s">
        <v>6350</v>
      </c>
    </row>
    <row r="248" spans="1:11" ht="130.5" x14ac:dyDescent="0.35">
      <c r="A248" s="61"/>
      <c r="B248" s="61"/>
      <c r="C248" s="61"/>
      <c r="D248" s="1" t="s">
        <v>6351</v>
      </c>
      <c r="E248" s="1" t="s">
        <v>6352</v>
      </c>
      <c r="F248" s="1" t="s">
        <v>5366</v>
      </c>
      <c r="G248" s="1" t="s">
        <v>6353</v>
      </c>
      <c r="H248" s="1" t="s">
        <v>6354</v>
      </c>
      <c r="I248" s="1" t="s">
        <v>120</v>
      </c>
      <c r="J248" s="1" t="s">
        <v>6355</v>
      </c>
      <c r="K248" s="1" t="s">
        <v>6356</v>
      </c>
    </row>
    <row r="249" spans="1:11" ht="116" x14ac:dyDescent="0.35">
      <c r="A249" s="61"/>
      <c r="B249" s="61"/>
      <c r="C249" s="61"/>
      <c r="D249" s="1" t="s">
        <v>6357</v>
      </c>
      <c r="E249" s="1" t="s">
        <v>6358</v>
      </c>
      <c r="F249" s="1" t="s">
        <v>5366</v>
      </c>
      <c r="G249" s="1" t="s">
        <v>6359</v>
      </c>
      <c r="H249" s="1" t="s">
        <v>6360</v>
      </c>
      <c r="I249" s="1" t="s">
        <v>4856</v>
      </c>
      <c r="J249" s="1" t="s">
        <v>6361</v>
      </c>
      <c r="K249" s="1" t="s">
        <v>6362</v>
      </c>
    </row>
    <row r="250" spans="1:11" ht="159.5" x14ac:dyDescent="0.35">
      <c r="A250" s="61"/>
      <c r="B250" s="61"/>
      <c r="C250" s="61"/>
      <c r="D250" s="1" t="s">
        <v>6363</v>
      </c>
      <c r="E250" s="1" t="s">
        <v>6364</v>
      </c>
      <c r="F250" s="1" t="s">
        <v>5366</v>
      </c>
      <c r="G250" s="1" t="s">
        <v>6365</v>
      </c>
      <c r="H250" s="1" t="s">
        <v>6366</v>
      </c>
      <c r="I250" s="1" t="s">
        <v>120</v>
      </c>
      <c r="J250" s="1" t="s">
        <v>6367</v>
      </c>
      <c r="K250" s="1" t="s">
        <v>6368</v>
      </c>
    </row>
    <row r="251" spans="1:11" ht="87" x14ac:dyDescent="0.35">
      <c r="A251" s="61"/>
      <c r="B251" s="61"/>
      <c r="C251" s="62" t="s">
        <v>6370</v>
      </c>
      <c r="D251" s="1" t="s">
        <v>6371</v>
      </c>
      <c r="E251" s="1" t="s">
        <v>6372</v>
      </c>
      <c r="F251" s="1" t="s">
        <v>5366</v>
      </c>
      <c r="G251" s="1" t="s">
        <v>6373</v>
      </c>
      <c r="H251" s="1" t="s">
        <v>6374</v>
      </c>
      <c r="I251" s="1" t="s">
        <v>4856</v>
      </c>
      <c r="J251" s="1" t="s">
        <v>6375</v>
      </c>
      <c r="K251" s="1" t="s">
        <v>6376</v>
      </c>
    </row>
    <row r="252" spans="1:11" ht="116" x14ac:dyDescent="0.35">
      <c r="A252" s="61"/>
      <c r="B252" s="61"/>
      <c r="C252" s="61"/>
      <c r="D252" s="1" t="s">
        <v>6377</v>
      </c>
      <c r="E252" s="1" t="s">
        <v>6378</v>
      </c>
      <c r="F252" s="1" t="s">
        <v>5366</v>
      </c>
      <c r="G252" s="1" t="s">
        <v>6379</v>
      </c>
      <c r="H252" s="1" t="s">
        <v>6380</v>
      </c>
      <c r="I252" s="1" t="s">
        <v>120</v>
      </c>
      <c r="J252" s="1" t="s">
        <v>6381</v>
      </c>
      <c r="K252" s="1" t="s">
        <v>6382</v>
      </c>
    </row>
    <row r="253" spans="1:11" ht="116" x14ac:dyDescent="0.35">
      <c r="A253" s="61"/>
      <c r="B253" s="61"/>
      <c r="C253" s="61"/>
      <c r="D253" s="1" t="s">
        <v>6383</v>
      </c>
      <c r="E253" s="1" t="s">
        <v>6384</v>
      </c>
      <c r="F253" s="1" t="s">
        <v>5366</v>
      </c>
      <c r="G253" s="1" t="s">
        <v>6385</v>
      </c>
      <c r="H253" s="1" t="s">
        <v>6386</v>
      </c>
      <c r="I253" s="1" t="s">
        <v>120</v>
      </c>
      <c r="J253" s="1" t="s">
        <v>6387</v>
      </c>
      <c r="K253" s="1" t="s">
        <v>6388</v>
      </c>
    </row>
    <row r="254" spans="1:11" ht="130.5" x14ac:dyDescent="0.35">
      <c r="A254" s="61"/>
      <c r="B254" s="61"/>
      <c r="C254" s="61"/>
      <c r="D254" s="1" t="s">
        <v>6389</v>
      </c>
      <c r="E254" s="1" t="s">
        <v>6390</v>
      </c>
      <c r="F254" s="1" t="s">
        <v>5366</v>
      </c>
      <c r="G254" s="1" t="s">
        <v>6391</v>
      </c>
      <c r="H254" s="1" t="s">
        <v>6392</v>
      </c>
      <c r="I254" s="1" t="s">
        <v>4856</v>
      </c>
      <c r="J254" s="1" t="s">
        <v>6393</v>
      </c>
      <c r="K254" s="1" t="s">
        <v>6394</v>
      </c>
    </row>
    <row r="255" spans="1:11" ht="130.5" x14ac:dyDescent="0.35">
      <c r="A255" s="61"/>
      <c r="B255" s="61"/>
      <c r="C255" s="61"/>
      <c r="D255" s="1" t="s">
        <v>6395</v>
      </c>
      <c r="E255" s="1" t="s">
        <v>6396</v>
      </c>
      <c r="F255" s="1" t="s">
        <v>5366</v>
      </c>
      <c r="G255" s="1" t="s">
        <v>6397</v>
      </c>
      <c r="H255" s="1" t="s">
        <v>6398</v>
      </c>
      <c r="I255" s="1" t="s">
        <v>120</v>
      </c>
      <c r="J255" s="1" t="s">
        <v>6399</v>
      </c>
      <c r="K255" s="1" t="s">
        <v>6400</v>
      </c>
    </row>
    <row r="256" spans="1:11" ht="116" x14ac:dyDescent="0.35">
      <c r="A256" s="61"/>
      <c r="B256" s="61"/>
      <c r="C256" s="62" t="s">
        <v>6401</v>
      </c>
      <c r="D256" s="1" t="s">
        <v>6402</v>
      </c>
      <c r="E256" s="1" t="s">
        <v>6403</v>
      </c>
      <c r="F256" s="1" t="s">
        <v>5366</v>
      </c>
      <c r="G256" s="1" t="s">
        <v>6404</v>
      </c>
      <c r="H256" s="1" t="s">
        <v>6405</v>
      </c>
      <c r="I256" s="1" t="s">
        <v>4856</v>
      </c>
      <c r="J256" s="1" t="s">
        <v>6406</v>
      </c>
      <c r="K256" s="1" t="s">
        <v>6407</v>
      </c>
    </row>
    <row r="257" spans="1:11" ht="116" x14ac:dyDescent="0.35">
      <c r="A257" s="61"/>
      <c r="B257" s="61"/>
      <c r="C257" s="61"/>
      <c r="D257" s="1" t="s">
        <v>6389</v>
      </c>
      <c r="E257" s="1" t="s">
        <v>6408</v>
      </c>
      <c r="F257" s="1" t="s">
        <v>5366</v>
      </c>
      <c r="G257" s="1" t="s">
        <v>6409</v>
      </c>
      <c r="H257" s="1" t="s">
        <v>6410</v>
      </c>
      <c r="I257" s="1" t="s">
        <v>4856</v>
      </c>
      <c r="J257" s="1" t="s">
        <v>6411</v>
      </c>
      <c r="K257" s="1" t="s">
        <v>6412</v>
      </c>
    </row>
    <row r="258" spans="1:11" ht="130.5" x14ac:dyDescent="0.35">
      <c r="A258" s="61"/>
      <c r="B258" s="61"/>
      <c r="C258" s="61"/>
      <c r="D258" s="1" t="s">
        <v>6413</v>
      </c>
      <c r="E258" s="1" t="s">
        <v>6414</v>
      </c>
      <c r="F258" s="1" t="s">
        <v>5366</v>
      </c>
      <c r="G258" s="1" t="s">
        <v>6415</v>
      </c>
      <c r="H258" s="1" t="s">
        <v>6416</v>
      </c>
      <c r="I258" s="1" t="s">
        <v>120</v>
      </c>
      <c r="J258" s="1" t="s">
        <v>6417</v>
      </c>
      <c r="K258" s="1" t="s">
        <v>6418</v>
      </c>
    </row>
    <row r="259" spans="1:11" ht="130.5" x14ac:dyDescent="0.35">
      <c r="A259" s="61"/>
      <c r="B259" s="61"/>
      <c r="C259" s="61"/>
      <c r="D259" s="1" t="s">
        <v>6419</v>
      </c>
      <c r="E259" s="1" t="s">
        <v>6420</v>
      </c>
      <c r="F259" s="1" t="s">
        <v>5366</v>
      </c>
      <c r="G259" s="1" t="s">
        <v>6421</v>
      </c>
      <c r="H259" s="1" t="s">
        <v>6422</v>
      </c>
      <c r="I259" s="1" t="s">
        <v>4856</v>
      </c>
      <c r="J259" s="1" t="s">
        <v>6423</v>
      </c>
      <c r="K259" s="1" t="s">
        <v>6424</v>
      </c>
    </row>
    <row r="260" spans="1:11" ht="130.5" x14ac:dyDescent="0.35">
      <c r="A260" s="61"/>
      <c r="B260" s="61"/>
      <c r="C260" s="61"/>
      <c r="D260" s="1" t="s">
        <v>6425</v>
      </c>
      <c r="E260" s="1" t="s">
        <v>6426</v>
      </c>
      <c r="F260" s="1" t="s">
        <v>5366</v>
      </c>
      <c r="G260" s="1" t="s">
        <v>6427</v>
      </c>
      <c r="H260" s="1" t="s">
        <v>6428</v>
      </c>
      <c r="I260" s="1" t="s">
        <v>120</v>
      </c>
      <c r="J260" s="1" t="s">
        <v>6429</v>
      </c>
      <c r="K260" s="1" t="s">
        <v>6430</v>
      </c>
    </row>
    <row r="261" spans="1:11" ht="87" x14ac:dyDescent="0.35">
      <c r="A261" s="61"/>
      <c r="B261" s="61"/>
      <c r="C261" s="61" t="s">
        <v>6431</v>
      </c>
      <c r="D261" s="1" t="s">
        <v>6432</v>
      </c>
      <c r="E261" s="1" t="s">
        <v>6433</v>
      </c>
      <c r="F261" s="1" t="s">
        <v>5366</v>
      </c>
      <c r="G261" s="1" t="s">
        <v>6434</v>
      </c>
      <c r="H261" s="1" t="s">
        <v>6435</v>
      </c>
      <c r="I261" s="1" t="s">
        <v>4856</v>
      </c>
      <c r="J261" s="1" t="s">
        <v>6436</v>
      </c>
      <c r="K261" s="1" t="s">
        <v>6437</v>
      </c>
    </row>
    <row r="262" spans="1:11" ht="145" x14ac:dyDescent="0.35">
      <c r="A262" s="61"/>
      <c r="B262" s="61"/>
      <c r="C262" s="61"/>
      <c r="D262" s="1" t="s">
        <v>6438</v>
      </c>
      <c r="E262" s="1" t="s">
        <v>6439</v>
      </c>
      <c r="F262" s="1" t="s">
        <v>5366</v>
      </c>
      <c r="G262" s="1" t="s">
        <v>6440</v>
      </c>
      <c r="H262" s="1" t="s">
        <v>6441</v>
      </c>
      <c r="I262" s="1" t="s">
        <v>120</v>
      </c>
      <c r="J262" s="1" t="s">
        <v>6442</v>
      </c>
      <c r="K262" s="1" t="s">
        <v>6443</v>
      </c>
    </row>
    <row r="263" spans="1:11" ht="101.5" x14ac:dyDescent="0.35">
      <c r="A263" s="61"/>
      <c r="B263" s="61"/>
      <c r="C263" s="61"/>
      <c r="D263" s="1" t="s">
        <v>6444</v>
      </c>
      <c r="E263" s="1" t="s">
        <v>6445</v>
      </c>
      <c r="F263" s="1" t="s">
        <v>5366</v>
      </c>
      <c r="G263" s="1" t="s">
        <v>6446</v>
      </c>
      <c r="H263" s="1" t="s">
        <v>6447</v>
      </c>
      <c r="I263" s="1" t="s">
        <v>4856</v>
      </c>
      <c r="J263" s="1" t="s">
        <v>6448</v>
      </c>
      <c r="K263" s="1" t="s">
        <v>6449</v>
      </c>
    </row>
    <row r="264" spans="1:11" ht="130.5" x14ac:dyDescent="0.35">
      <c r="A264" s="61"/>
      <c r="B264" s="61"/>
      <c r="C264" s="61"/>
      <c r="D264" s="1" t="s">
        <v>6450</v>
      </c>
      <c r="E264" s="1" t="s">
        <v>6451</v>
      </c>
      <c r="F264" s="1" t="s">
        <v>5366</v>
      </c>
      <c r="G264" s="1" t="s">
        <v>6452</v>
      </c>
      <c r="H264" s="1" t="s">
        <v>6453</v>
      </c>
      <c r="I264" s="1" t="s">
        <v>4856</v>
      </c>
      <c r="J264" s="1" t="s">
        <v>6454</v>
      </c>
      <c r="K264" s="1" t="s">
        <v>6455</v>
      </c>
    </row>
    <row r="265" spans="1:11" ht="130.5" x14ac:dyDescent="0.35">
      <c r="A265" s="61"/>
      <c r="B265" s="61"/>
      <c r="C265" s="61"/>
      <c r="D265" s="1" t="s">
        <v>6456</v>
      </c>
      <c r="E265" s="1" t="s">
        <v>6457</v>
      </c>
      <c r="F265" s="1" t="s">
        <v>5366</v>
      </c>
      <c r="G265" s="1" t="s">
        <v>6458</v>
      </c>
      <c r="H265" s="1" t="s">
        <v>6459</v>
      </c>
      <c r="I265" s="1" t="s">
        <v>120</v>
      </c>
      <c r="J265" s="1" t="s">
        <v>6460</v>
      </c>
      <c r="K265" s="1" t="s">
        <v>6461</v>
      </c>
    </row>
    <row r="266" spans="1:11" ht="116" x14ac:dyDescent="0.35">
      <c r="A266" s="61"/>
      <c r="B266" s="61"/>
      <c r="C266" s="61" t="s">
        <v>6462</v>
      </c>
      <c r="D266" s="1" t="s">
        <v>6463</v>
      </c>
      <c r="E266" s="1" t="s">
        <v>6464</v>
      </c>
      <c r="F266" s="1" t="s">
        <v>5366</v>
      </c>
      <c r="G266" s="1" t="s">
        <v>6465</v>
      </c>
      <c r="H266" s="1" t="s">
        <v>6466</v>
      </c>
      <c r="I266" s="1" t="s">
        <v>4856</v>
      </c>
      <c r="J266" s="1" t="s">
        <v>6467</v>
      </c>
      <c r="K266" s="1" t="s">
        <v>6468</v>
      </c>
    </row>
    <row r="267" spans="1:11" ht="116" x14ac:dyDescent="0.35">
      <c r="A267" s="61"/>
      <c r="B267" s="61"/>
      <c r="C267" s="61"/>
      <c r="D267" s="1" t="s">
        <v>6469</v>
      </c>
      <c r="E267" s="1" t="s">
        <v>6470</v>
      </c>
      <c r="F267" s="1" t="s">
        <v>5366</v>
      </c>
      <c r="G267" s="1" t="s">
        <v>6471</v>
      </c>
      <c r="H267" s="1" t="s">
        <v>6472</v>
      </c>
      <c r="I267" s="1" t="s">
        <v>120</v>
      </c>
      <c r="J267" s="1" t="s">
        <v>6473</v>
      </c>
      <c r="K267" s="1" t="s">
        <v>6474</v>
      </c>
    </row>
    <row r="268" spans="1:11" ht="130.5" x14ac:dyDescent="0.35">
      <c r="A268" s="61"/>
      <c r="B268" s="61"/>
      <c r="C268" s="61"/>
      <c r="D268" s="1" t="s">
        <v>6475</v>
      </c>
      <c r="E268" s="1" t="s">
        <v>6476</v>
      </c>
      <c r="F268" s="1" t="s">
        <v>5366</v>
      </c>
      <c r="G268" s="1" t="s">
        <v>6477</v>
      </c>
      <c r="H268" s="1" t="s">
        <v>6478</v>
      </c>
      <c r="I268" s="1" t="s">
        <v>4856</v>
      </c>
      <c r="J268" s="1" t="s">
        <v>6479</v>
      </c>
      <c r="K268" s="1" t="s">
        <v>6480</v>
      </c>
    </row>
    <row r="269" spans="1:11" ht="145" x14ac:dyDescent="0.35">
      <c r="A269" s="61"/>
      <c r="B269" s="61"/>
      <c r="C269" s="61"/>
      <c r="D269" s="1" t="s">
        <v>6481</v>
      </c>
      <c r="E269" s="1" t="s">
        <v>6482</v>
      </c>
      <c r="F269" s="1" t="s">
        <v>5366</v>
      </c>
      <c r="G269" s="1" t="s">
        <v>6483</v>
      </c>
      <c r="H269" s="1" t="s">
        <v>6484</v>
      </c>
      <c r="I269" s="1" t="s">
        <v>120</v>
      </c>
      <c r="J269" s="1" t="s">
        <v>6485</v>
      </c>
      <c r="K269" s="1" t="s">
        <v>6486</v>
      </c>
    </row>
    <row r="270" spans="1:11" ht="145" x14ac:dyDescent="0.35">
      <c r="A270" s="61"/>
      <c r="B270" s="61"/>
      <c r="C270" s="61"/>
      <c r="D270" s="1" t="s">
        <v>6487</v>
      </c>
      <c r="E270" s="1" t="s">
        <v>6488</v>
      </c>
      <c r="F270" s="1" t="s">
        <v>5366</v>
      </c>
      <c r="G270" s="1" t="s">
        <v>6489</v>
      </c>
      <c r="H270" s="1" t="s">
        <v>6490</v>
      </c>
      <c r="I270" s="1" t="s">
        <v>4856</v>
      </c>
      <c r="J270" s="1" t="s">
        <v>6491</v>
      </c>
      <c r="K270" s="1" t="s">
        <v>6492</v>
      </c>
    </row>
    <row r="271" spans="1:11" ht="130.5" x14ac:dyDescent="0.35">
      <c r="A271" s="61"/>
      <c r="B271" s="61"/>
      <c r="C271" s="61" t="s">
        <v>6493</v>
      </c>
      <c r="D271" s="1" t="s">
        <v>6463</v>
      </c>
      <c r="E271" s="1" t="s">
        <v>6464</v>
      </c>
      <c r="F271" s="1" t="s">
        <v>5366</v>
      </c>
      <c r="G271" s="1" t="s">
        <v>6465</v>
      </c>
      <c r="H271" s="1" t="s">
        <v>6466</v>
      </c>
      <c r="I271" s="1" t="s">
        <v>4856</v>
      </c>
      <c r="J271" s="1" t="s">
        <v>6467</v>
      </c>
      <c r="K271" s="1" t="s">
        <v>6494</v>
      </c>
    </row>
    <row r="272" spans="1:11" ht="130.5" x14ac:dyDescent="0.35">
      <c r="A272" s="61"/>
      <c r="B272" s="61"/>
      <c r="C272" s="61"/>
      <c r="D272" s="1" t="s">
        <v>6469</v>
      </c>
      <c r="E272" s="1" t="s">
        <v>6470</v>
      </c>
      <c r="F272" s="1" t="s">
        <v>5366</v>
      </c>
      <c r="G272" s="1" t="s">
        <v>6495</v>
      </c>
      <c r="H272" s="1" t="s">
        <v>6496</v>
      </c>
      <c r="I272" s="1" t="s">
        <v>120</v>
      </c>
      <c r="J272" s="1" t="s">
        <v>6497</v>
      </c>
      <c r="K272" s="1" t="s">
        <v>6498</v>
      </c>
    </row>
    <row r="273" spans="1:11" ht="145" x14ac:dyDescent="0.35">
      <c r="A273" s="61"/>
      <c r="B273" s="61"/>
      <c r="C273" s="61"/>
      <c r="D273" s="1" t="s">
        <v>6475</v>
      </c>
      <c r="E273" s="1" t="s">
        <v>6476</v>
      </c>
      <c r="F273" s="1" t="s">
        <v>5366</v>
      </c>
      <c r="G273" s="1" t="s">
        <v>6499</v>
      </c>
      <c r="H273" s="1" t="s">
        <v>6500</v>
      </c>
      <c r="I273" s="1" t="s">
        <v>4856</v>
      </c>
      <c r="J273" s="1" t="s">
        <v>6501</v>
      </c>
      <c r="K273" s="1" t="s">
        <v>6502</v>
      </c>
    </row>
    <row r="274" spans="1:11" ht="116" x14ac:dyDescent="0.35">
      <c r="A274" s="61"/>
      <c r="B274" s="61"/>
      <c r="C274" s="61"/>
      <c r="D274" s="1" t="s">
        <v>6481</v>
      </c>
      <c r="E274" s="1" t="s">
        <v>6482</v>
      </c>
      <c r="F274" s="1" t="s">
        <v>5366</v>
      </c>
      <c r="G274" s="1" t="s">
        <v>6483</v>
      </c>
      <c r="H274" s="1" t="s">
        <v>6503</v>
      </c>
      <c r="I274" s="1" t="s">
        <v>120</v>
      </c>
      <c r="J274" s="1" t="s">
        <v>6504</v>
      </c>
      <c r="K274" s="1" t="s">
        <v>6505</v>
      </c>
    </row>
    <row r="275" spans="1:11" ht="188.5" x14ac:dyDescent="0.35">
      <c r="A275" s="61"/>
      <c r="B275" s="61"/>
      <c r="C275" s="61"/>
      <c r="D275" s="1" t="s">
        <v>6487</v>
      </c>
      <c r="E275" s="1" t="s">
        <v>6488</v>
      </c>
      <c r="F275" s="1" t="s">
        <v>5366</v>
      </c>
      <c r="G275" s="1" t="s">
        <v>6489</v>
      </c>
      <c r="H275" s="1" t="s">
        <v>6506</v>
      </c>
      <c r="I275" s="1" t="s">
        <v>4856</v>
      </c>
      <c r="J275" s="1" t="s">
        <v>6507</v>
      </c>
      <c r="K275" s="1" t="s">
        <v>6508</v>
      </c>
    </row>
    <row r="276" spans="1:11" ht="130.5" x14ac:dyDescent="0.35">
      <c r="A276" s="61"/>
      <c r="B276" s="61" t="s">
        <v>6509</v>
      </c>
      <c r="C276" s="61" t="s">
        <v>6510</v>
      </c>
      <c r="D276" s="1" t="s">
        <v>6511</v>
      </c>
      <c r="E276" s="1" t="s">
        <v>6512</v>
      </c>
      <c r="F276" s="1" t="s">
        <v>5366</v>
      </c>
      <c r="G276" s="1" t="s">
        <v>6513</v>
      </c>
      <c r="H276" s="1" t="s">
        <v>6514</v>
      </c>
      <c r="I276" s="1" t="s">
        <v>4856</v>
      </c>
      <c r="J276" s="1" t="s">
        <v>6515</v>
      </c>
      <c r="K276" s="1" t="s">
        <v>6516</v>
      </c>
    </row>
    <row r="277" spans="1:11" ht="130.5" x14ac:dyDescent="0.35">
      <c r="A277" s="61"/>
      <c r="B277" s="61"/>
      <c r="C277" s="61"/>
      <c r="D277" s="1" t="s">
        <v>6517</v>
      </c>
      <c r="E277" s="1" t="s">
        <v>6518</v>
      </c>
      <c r="F277" s="1" t="s">
        <v>5366</v>
      </c>
      <c r="G277" s="1" t="s">
        <v>6519</v>
      </c>
      <c r="H277" s="1" t="s">
        <v>6520</v>
      </c>
      <c r="I277" s="1" t="s">
        <v>120</v>
      </c>
      <c r="J277" s="1" t="s">
        <v>6521</v>
      </c>
      <c r="K277" s="1" t="s">
        <v>6522</v>
      </c>
    </row>
    <row r="278" spans="1:11" ht="130.5" x14ac:dyDescent="0.35">
      <c r="A278" s="61"/>
      <c r="B278" s="61"/>
      <c r="C278" s="61"/>
      <c r="D278" s="1" t="s">
        <v>6523</v>
      </c>
      <c r="E278" s="1" t="s">
        <v>6524</v>
      </c>
      <c r="F278" s="1" t="s">
        <v>5366</v>
      </c>
      <c r="G278" s="1" t="s">
        <v>6525</v>
      </c>
      <c r="H278" s="1" t="s">
        <v>6526</v>
      </c>
      <c r="I278" s="1" t="s">
        <v>4856</v>
      </c>
      <c r="J278" s="1" t="s">
        <v>6527</v>
      </c>
      <c r="K278" s="1" t="s">
        <v>6528</v>
      </c>
    </row>
    <row r="279" spans="1:11" ht="130.5" x14ac:dyDescent="0.35">
      <c r="A279" s="61"/>
      <c r="B279" s="61"/>
      <c r="C279" s="61"/>
      <c r="D279" s="1" t="s">
        <v>6529</v>
      </c>
      <c r="E279" s="1" t="s">
        <v>6530</v>
      </c>
      <c r="F279" s="1" t="s">
        <v>5366</v>
      </c>
      <c r="G279" s="1" t="s">
        <v>6531</v>
      </c>
      <c r="H279" s="1" t="s">
        <v>6532</v>
      </c>
      <c r="I279" s="1" t="s">
        <v>120</v>
      </c>
      <c r="J279" s="1" t="s">
        <v>6533</v>
      </c>
      <c r="K279" s="1" t="s">
        <v>6534</v>
      </c>
    </row>
    <row r="280" spans="1:11" ht="101.5" x14ac:dyDescent="0.35">
      <c r="A280" s="61"/>
      <c r="B280" s="61"/>
      <c r="C280" s="61"/>
      <c r="D280" s="1" t="s">
        <v>6535</v>
      </c>
      <c r="E280" s="1" t="s">
        <v>6536</v>
      </c>
      <c r="F280" s="1" t="s">
        <v>5366</v>
      </c>
      <c r="G280" s="1" t="s">
        <v>6537</v>
      </c>
      <c r="H280" s="1" t="s">
        <v>6538</v>
      </c>
      <c r="I280" s="1" t="s">
        <v>4856</v>
      </c>
      <c r="J280" s="1" t="s">
        <v>6539</v>
      </c>
      <c r="K280" s="1" t="s">
        <v>6540</v>
      </c>
    </row>
    <row r="281" spans="1:11" ht="116" x14ac:dyDescent="0.35">
      <c r="A281" s="61"/>
      <c r="B281" s="61"/>
      <c r="C281" s="62" t="s">
        <v>6541</v>
      </c>
      <c r="D281" s="1" t="s">
        <v>6542</v>
      </c>
      <c r="E281" s="1" t="s">
        <v>6543</v>
      </c>
      <c r="F281" s="1" t="s">
        <v>5366</v>
      </c>
      <c r="G281" s="1" t="s">
        <v>6544</v>
      </c>
      <c r="H281" s="1" t="s">
        <v>6545</v>
      </c>
      <c r="I281" s="1" t="s">
        <v>4856</v>
      </c>
      <c r="J281" s="1" t="s">
        <v>6546</v>
      </c>
      <c r="K281" s="1" t="s">
        <v>6547</v>
      </c>
    </row>
    <row r="282" spans="1:11" ht="130.5" x14ac:dyDescent="0.35">
      <c r="A282" s="61"/>
      <c r="B282" s="61"/>
      <c r="C282" s="61"/>
      <c r="D282" s="1" t="s">
        <v>6548</v>
      </c>
      <c r="E282" s="1" t="s">
        <v>6549</v>
      </c>
      <c r="F282" s="1" t="s">
        <v>5366</v>
      </c>
      <c r="G282" s="1" t="s">
        <v>6550</v>
      </c>
      <c r="H282" s="1" t="s">
        <v>6551</v>
      </c>
      <c r="I282" s="1" t="s">
        <v>120</v>
      </c>
      <c r="J282" s="1" t="s">
        <v>6552</v>
      </c>
      <c r="K282" s="1" t="s">
        <v>6553</v>
      </c>
    </row>
    <row r="283" spans="1:11" ht="145" x14ac:dyDescent="0.35">
      <c r="A283" s="61"/>
      <c r="B283" s="61"/>
      <c r="C283" s="61"/>
      <c r="D283" s="1" t="s">
        <v>6554</v>
      </c>
      <c r="E283" s="1" t="s">
        <v>6555</v>
      </c>
      <c r="F283" s="1" t="s">
        <v>5366</v>
      </c>
      <c r="G283" s="1" t="s">
        <v>6556</v>
      </c>
      <c r="H283" s="1" t="s">
        <v>6557</v>
      </c>
      <c r="I283" s="1" t="s">
        <v>4856</v>
      </c>
      <c r="J283" s="1" t="s">
        <v>6558</v>
      </c>
      <c r="K283" s="1" t="s">
        <v>6559</v>
      </c>
    </row>
    <row r="284" spans="1:11" ht="130.5" x14ac:dyDescent="0.35">
      <c r="A284" s="61"/>
      <c r="B284" s="61"/>
      <c r="C284" s="61"/>
      <c r="D284" s="1" t="s">
        <v>6560</v>
      </c>
      <c r="E284" s="1" t="s">
        <v>6561</v>
      </c>
      <c r="F284" s="1" t="s">
        <v>5366</v>
      </c>
      <c r="G284" s="1" t="s">
        <v>6562</v>
      </c>
      <c r="H284" s="1" t="s">
        <v>6563</v>
      </c>
      <c r="I284" s="1" t="s">
        <v>4856</v>
      </c>
      <c r="J284" s="1" t="s">
        <v>6564</v>
      </c>
      <c r="K284" s="1" t="s">
        <v>6565</v>
      </c>
    </row>
    <row r="285" spans="1:11" ht="130.5" x14ac:dyDescent="0.35">
      <c r="A285" s="61"/>
      <c r="B285" s="61"/>
      <c r="C285" s="61"/>
      <c r="D285" s="1" t="s">
        <v>6566</v>
      </c>
      <c r="E285" s="1" t="s">
        <v>6567</v>
      </c>
      <c r="F285" s="1" t="s">
        <v>5366</v>
      </c>
      <c r="G285" s="1" t="s">
        <v>6568</v>
      </c>
      <c r="H285" s="1" t="s">
        <v>6569</v>
      </c>
      <c r="I285" s="1" t="s">
        <v>120</v>
      </c>
      <c r="J285" s="1" t="s">
        <v>6570</v>
      </c>
      <c r="K285" s="1" t="s">
        <v>6571</v>
      </c>
    </row>
    <row r="286" spans="1:11" ht="101.5" x14ac:dyDescent="0.35">
      <c r="A286" s="61"/>
      <c r="B286" s="61"/>
      <c r="C286" s="61" t="s">
        <v>6572</v>
      </c>
      <c r="D286" s="1" t="s">
        <v>6573</v>
      </c>
      <c r="E286" s="1" t="s">
        <v>6574</v>
      </c>
      <c r="F286" s="1" t="s">
        <v>5366</v>
      </c>
      <c r="G286" s="1" t="s">
        <v>6575</v>
      </c>
      <c r="H286" s="1" t="s">
        <v>6576</v>
      </c>
      <c r="I286" s="1" t="s">
        <v>4856</v>
      </c>
      <c r="J286" s="1" t="s">
        <v>6577</v>
      </c>
      <c r="K286" s="1" t="s">
        <v>6578</v>
      </c>
    </row>
    <row r="287" spans="1:11" ht="101.5" x14ac:dyDescent="0.35">
      <c r="A287" s="61"/>
      <c r="B287" s="61"/>
      <c r="C287" s="61"/>
      <c r="D287" s="1" t="s">
        <v>6579</v>
      </c>
      <c r="E287" s="1" t="s">
        <v>6580</v>
      </c>
      <c r="F287" s="1" t="s">
        <v>5366</v>
      </c>
      <c r="G287" s="1" t="s">
        <v>6581</v>
      </c>
      <c r="H287" s="1" t="s">
        <v>6582</v>
      </c>
      <c r="I287" s="1" t="s">
        <v>120</v>
      </c>
      <c r="J287" s="1" t="s">
        <v>6583</v>
      </c>
      <c r="K287" s="1" t="s">
        <v>6584</v>
      </c>
    </row>
    <row r="288" spans="1:11" ht="145" x14ac:dyDescent="0.35">
      <c r="A288" s="61"/>
      <c r="B288" s="61"/>
      <c r="C288" s="61"/>
      <c r="D288" s="1" t="s">
        <v>6585</v>
      </c>
      <c r="E288" s="1" t="s">
        <v>6586</v>
      </c>
      <c r="F288" s="1" t="s">
        <v>5366</v>
      </c>
      <c r="G288" s="1" t="s">
        <v>6587</v>
      </c>
      <c r="H288" s="1" t="s">
        <v>6588</v>
      </c>
      <c r="I288" s="1" t="s">
        <v>4856</v>
      </c>
      <c r="J288" s="1" t="s">
        <v>6589</v>
      </c>
      <c r="K288" s="1" t="s">
        <v>6590</v>
      </c>
    </row>
    <row r="289" spans="1:11" ht="101.5" x14ac:dyDescent="0.35">
      <c r="A289" s="61"/>
      <c r="B289" s="61"/>
      <c r="C289" s="61"/>
      <c r="D289" s="1" t="s">
        <v>6591</v>
      </c>
      <c r="E289" s="1" t="s">
        <v>6592</v>
      </c>
      <c r="F289" s="1" t="s">
        <v>5366</v>
      </c>
      <c r="G289" s="1" t="s">
        <v>6593</v>
      </c>
      <c r="H289" s="1" t="s">
        <v>6594</v>
      </c>
      <c r="I289" s="1" t="s">
        <v>4856</v>
      </c>
      <c r="J289" s="1" t="s">
        <v>6595</v>
      </c>
      <c r="K289" s="1" t="s">
        <v>6596</v>
      </c>
    </row>
    <row r="290" spans="1:11" ht="145" x14ac:dyDescent="0.35">
      <c r="A290" s="61"/>
      <c r="B290" s="61"/>
      <c r="C290" s="61"/>
      <c r="D290" s="1" t="s">
        <v>6597</v>
      </c>
      <c r="E290" s="1" t="s">
        <v>6598</v>
      </c>
      <c r="F290" s="1" t="s">
        <v>5366</v>
      </c>
      <c r="G290" s="1" t="s">
        <v>6599</v>
      </c>
      <c r="H290" s="1" t="s">
        <v>6600</v>
      </c>
      <c r="I290" s="1" t="s">
        <v>120</v>
      </c>
      <c r="J290" s="1" t="s">
        <v>6601</v>
      </c>
      <c r="K290" s="1" t="s">
        <v>6602</v>
      </c>
    </row>
    <row r="291" spans="1:11" ht="116" x14ac:dyDescent="0.35">
      <c r="A291" s="61"/>
      <c r="B291" s="61"/>
      <c r="C291" s="62" t="s">
        <v>6603</v>
      </c>
      <c r="D291" s="1" t="s">
        <v>6604</v>
      </c>
      <c r="E291" s="1" t="s">
        <v>6605</v>
      </c>
      <c r="F291" s="1" t="s">
        <v>5366</v>
      </c>
      <c r="G291" s="1" t="s">
        <v>6606</v>
      </c>
      <c r="H291" s="1" t="s">
        <v>6607</v>
      </c>
      <c r="I291" s="1" t="s">
        <v>4856</v>
      </c>
      <c r="J291" s="1" t="s">
        <v>6608</v>
      </c>
      <c r="K291" s="1" t="s">
        <v>6609</v>
      </c>
    </row>
    <row r="292" spans="1:11" ht="116" x14ac:dyDescent="0.35">
      <c r="A292" s="61"/>
      <c r="B292" s="61"/>
      <c r="C292" s="61"/>
      <c r="D292" s="1" t="s">
        <v>6610</v>
      </c>
      <c r="E292" s="1" t="s">
        <v>6611</v>
      </c>
      <c r="F292" s="1" t="s">
        <v>5366</v>
      </c>
      <c r="G292" s="1" t="s">
        <v>6612</v>
      </c>
      <c r="H292" s="1" t="s">
        <v>6613</v>
      </c>
      <c r="I292" s="1" t="s">
        <v>4856</v>
      </c>
      <c r="J292" s="1" t="s">
        <v>6614</v>
      </c>
      <c r="K292" s="1" t="s">
        <v>6615</v>
      </c>
    </row>
    <row r="293" spans="1:11" ht="101.5" x14ac:dyDescent="0.35">
      <c r="A293" s="61"/>
      <c r="B293" s="61"/>
      <c r="C293" s="61"/>
      <c r="D293" s="1" t="s">
        <v>6616</v>
      </c>
      <c r="E293" s="1" t="s">
        <v>6617</v>
      </c>
      <c r="F293" s="1" t="s">
        <v>5366</v>
      </c>
      <c r="G293" s="1" t="s">
        <v>6618</v>
      </c>
      <c r="H293" s="1" t="s">
        <v>6619</v>
      </c>
      <c r="I293" s="1" t="s">
        <v>120</v>
      </c>
      <c r="J293" s="1" t="s">
        <v>6620</v>
      </c>
      <c r="K293" s="1" t="s">
        <v>6621</v>
      </c>
    </row>
    <row r="294" spans="1:11" ht="116" x14ac:dyDescent="0.35">
      <c r="A294" s="61"/>
      <c r="B294" s="61"/>
      <c r="C294" s="61"/>
      <c r="D294" s="1" t="s">
        <v>6622</v>
      </c>
      <c r="E294" s="1" t="s">
        <v>6623</v>
      </c>
      <c r="F294" s="1" t="s">
        <v>5366</v>
      </c>
      <c r="G294" s="1" t="s">
        <v>6624</v>
      </c>
      <c r="H294" s="1" t="s">
        <v>6625</v>
      </c>
      <c r="I294" s="1" t="s">
        <v>4856</v>
      </c>
      <c r="J294" s="1" t="s">
        <v>6626</v>
      </c>
      <c r="K294" s="1" t="s">
        <v>6627</v>
      </c>
    </row>
    <row r="295" spans="1:11" ht="145" x14ac:dyDescent="0.35">
      <c r="A295" s="61"/>
      <c r="B295" s="61"/>
      <c r="C295" s="61"/>
      <c r="D295" s="1" t="s">
        <v>6628</v>
      </c>
      <c r="E295" s="1" t="s">
        <v>6629</v>
      </c>
      <c r="F295" s="1" t="s">
        <v>5366</v>
      </c>
      <c r="G295" s="1" t="s">
        <v>6630</v>
      </c>
      <c r="H295" s="1" t="s">
        <v>6631</v>
      </c>
      <c r="I295" s="1" t="s">
        <v>120</v>
      </c>
      <c r="J295" s="1" t="s">
        <v>6632</v>
      </c>
      <c r="K295" s="1" t="s">
        <v>6633</v>
      </c>
    </row>
    <row r="296" spans="1:11" ht="130.5" x14ac:dyDescent="0.35">
      <c r="A296" s="61"/>
      <c r="B296" s="61"/>
      <c r="C296" s="61" t="s">
        <v>6634</v>
      </c>
      <c r="D296" s="1" t="s">
        <v>6635</v>
      </c>
      <c r="E296" s="1" t="s">
        <v>6636</v>
      </c>
      <c r="F296" s="1" t="s">
        <v>5366</v>
      </c>
      <c r="G296" s="1" t="s">
        <v>6637</v>
      </c>
      <c r="H296" s="1" t="s">
        <v>6638</v>
      </c>
      <c r="I296" s="1" t="s">
        <v>4856</v>
      </c>
      <c r="J296" s="1" t="s">
        <v>6639</v>
      </c>
      <c r="K296" s="1" t="s">
        <v>6640</v>
      </c>
    </row>
    <row r="297" spans="1:11" ht="130.5" x14ac:dyDescent="0.35">
      <c r="A297" s="61"/>
      <c r="B297" s="61"/>
      <c r="C297" s="61"/>
      <c r="D297" s="1" t="s">
        <v>6641</v>
      </c>
      <c r="E297" s="1" t="s">
        <v>6642</v>
      </c>
      <c r="F297" s="1" t="s">
        <v>5366</v>
      </c>
      <c r="G297" s="1" t="s">
        <v>6643</v>
      </c>
      <c r="H297" s="1" t="s">
        <v>6644</v>
      </c>
      <c r="I297" s="1" t="s">
        <v>4856</v>
      </c>
      <c r="J297" s="1" t="s">
        <v>6645</v>
      </c>
      <c r="K297" s="1" t="s">
        <v>6646</v>
      </c>
    </row>
    <row r="298" spans="1:11" ht="130.5" x14ac:dyDescent="0.35">
      <c r="A298" s="61"/>
      <c r="B298" s="61"/>
      <c r="C298" s="61"/>
      <c r="D298" s="1" t="s">
        <v>6647</v>
      </c>
      <c r="E298" s="1" t="s">
        <v>6648</v>
      </c>
      <c r="F298" s="1" t="s">
        <v>5366</v>
      </c>
      <c r="G298" s="1" t="s">
        <v>6618</v>
      </c>
      <c r="H298" s="1" t="s">
        <v>6649</v>
      </c>
      <c r="I298" s="1" t="s">
        <v>120</v>
      </c>
      <c r="J298" s="1" t="s">
        <v>6650</v>
      </c>
      <c r="K298" s="1" t="s">
        <v>6651</v>
      </c>
    </row>
    <row r="299" spans="1:11" ht="116" x14ac:dyDescent="0.35">
      <c r="A299" s="61"/>
      <c r="B299" s="61"/>
      <c r="C299" s="61"/>
      <c r="D299" s="1" t="s">
        <v>6652</v>
      </c>
      <c r="E299" s="1" t="s">
        <v>6653</v>
      </c>
      <c r="F299" s="1" t="s">
        <v>5366</v>
      </c>
      <c r="G299" s="1" t="s">
        <v>6654</v>
      </c>
      <c r="H299" s="1" t="s">
        <v>6655</v>
      </c>
      <c r="I299" s="1" t="s">
        <v>4856</v>
      </c>
      <c r="J299" s="1" t="s">
        <v>6656</v>
      </c>
      <c r="K299" s="1" t="s">
        <v>6657</v>
      </c>
    </row>
    <row r="300" spans="1:11" ht="130.5" x14ac:dyDescent="0.35">
      <c r="A300" s="61"/>
      <c r="B300" s="61"/>
      <c r="C300" s="61"/>
      <c r="D300" s="1" t="s">
        <v>6658</v>
      </c>
      <c r="E300" s="1" t="s">
        <v>6659</v>
      </c>
      <c r="F300" s="1" t="s">
        <v>5366</v>
      </c>
      <c r="G300" s="1" t="s">
        <v>6660</v>
      </c>
      <c r="H300" s="1" t="s">
        <v>6661</v>
      </c>
      <c r="I300" s="1" t="s">
        <v>120</v>
      </c>
      <c r="J300" s="1" t="s">
        <v>6662</v>
      </c>
      <c r="K300" s="1" t="s">
        <v>6663</v>
      </c>
    </row>
    <row r="301" spans="1:11" ht="130.5" x14ac:dyDescent="0.35">
      <c r="A301" s="61"/>
      <c r="B301" s="61"/>
      <c r="C301" s="62" t="s">
        <v>6664</v>
      </c>
      <c r="D301" s="1" t="s">
        <v>6665</v>
      </c>
      <c r="E301" s="1" t="s">
        <v>6666</v>
      </c>
      <c r="F301" s="1" t="s">
        <v>5366</v>
      </c>
      <c r="G301" s="1" t="s">
        <v>6667</v>
      </c>
      <c r="H301" s="1" t="s">
        <v>6668</v>
      </c>
      <c r="I301" s="1" t="s">
        <v>4856</v>
      </c>
      <c r="J301" s="1" t="s">
        <v>6669</v>
      </c>
      <c r="K301" s="1" t="s">
        <v>6670</v>
      </c>
    </row>
    <row r="302" spans="1:11" ht="145" x14ac:dyDescent="0.35">
      <c r="A302" s="61"/>
      <c r="B302" s="61"/>
      <c r="C302" s="61"/>
      <c r="D302" s="1" t="s">
        <v>6671</v>
      </c>
      <c r="E302" s="1" t="s">
        <v>6672</v>
      </c>
      <c r="F302" s="1" t="s">
        <v>5366</v>
      </c>
      <c r="G302" s="1" t="s">
        <v>6673</v>
      </c>
      <c r="H302" s="1" t="s">
        <v>6674</v>
      </c>
      <c r="I302" s="1" t="s">
        <v>120</v>
      </c>
      <c r="J302" s="1" t="s">
        <v>6675</v>
      </c>
      <c r="K302" s="1" t="s">
        <v>6676</v>
      </c>
    </row>
    <row r="303" spans="1:11" ht="159.5" x14ac:dyDescent="0.35">
      <c r="A303" s="61"/>
      <c r="B303" s="61"/>
      <c r="C303" s="61"/>
      <c r="D303" s="1" t="s">
        <v>6677</v>
      </c>
      <c r="E303" s="1" t="s">
        <v>6678</v>
      </c>
      <c r="F303" s="1" t="s">
        <v>5366</v>
      </c>
      <c r="G303" s="1" t="s">
        <v>6679</v>
      </c>
      <c r="H303" s="1" t="s">
        <v>6680</v>
      </c>
      <c r="I303" s="1" t="s">
        <v>120</v>
      </c>
      <c r="J303" s="1" t="s">
        <v>6681</v>
      </c>
      <c r="K303" s="1" t="s">
        <v>6682</v>
      </c>
    </row>
    <row r="304" spans="1:11" ht="174" x14ac:dyDescent="0.35">
      <c r="A304" s="61"/>
      <c r="B304" s="61"/>
      <c r="C304" s="61"/>
      <c r="D304" s="1" t="s">
        <v>6683</v>
      </c>
      <c r="E304" s="1" t="s">
        <v>6684</v>
      </c>
      <c r="F304" s="1" t="s">
        <v>5366</v>
      </c>
      <c r="G304" s="1" t="s">
        <v>6685</v>
      </c>
      <c r="H304" s="1" t="s">
        <v>6686</v>
      </c>
      <c r="I304" s="1" t="s">
        <v>4856</v>
      </c>
      <c r="J304" s="1" t="s">
        <v>6687</v>
      </c>
      <c r="K304" s="1" t="s">
        <v>6688</v>
      </c>
    </row>
    <row r="305" spans="1:11" ht="174" x14ac:dyDescent="0.35">
      <c r="A305" s="61"/>
      <c r="B305" s="61"/>
      <c r="C305" s="61"/>
      <c r="D305" s="1" t="s">
        <v>6689</v>
      </c>
      <c r="E305" s="1" t="s">
        <v>6690</v>
      </c>
      <c r="F305" s="1" t="s">
        <v>5366</v>
      </c>
      <c r="G305" s="1" t="s">
        <v>6691</v>
      </c>
      <c r="H305" s="1" t="s">
        <v>6692</v>
      </c>
      <c r="I305" s="1" t="s">
        <v>120</v>
      </c>
      <c r="J305" s="1" t="s">
        <v>6693</v>
      </c>
      <c r="K305" s="1" t="s">
        <v>6694</v>
      </c>
    </row>
    <row r="306" spans="1:11" ht="130.5" x14ac:dyDescent="0.35">
      <c r="A306" s="61"/>
      <c r="B306" s="61"/>
      <c r="C306" s="61" t="s">
        <v>6695</v>
      </c>
      <c r="D306" s="1" t="s">
        <v>6696</v>
      </c>
      <c r="E306" s="1" t="s">
        <v>6697</v>
      </c>
      <c r="F306" s="1" t="s">
        <v>5366</v>
      </c>
      <c r="G306" s="1" t="s">
        <v>6698</v>
      </c>
      <c r="H306" s="1" t="s">
        <v>6699</v>
      </c>
      <c r="I306" s="1" t="s">
        <v>4856</v>
      </c>
      <c r="J306" s="1" t="s">
        <v>6700</v>
      </c>
      <c r="K306" s="1" t="s">
        <v>6701</v>
      </c>
    </row>
    <row r="307" spans="1:11" ht="145" x14ac:dyDescent="0.35">
      <c r="A307" s="61"/>
      <c r="B307" s="61"/>
      <c r="C307" s="61"/>
      <c r="D307" s="1" t="s">
        <v>6702</v>
      </c>
      <c r="E307" s="1" t="s">
        <v>6703</v>
      </c>
      <c r="F307" s="1" t="s">
        <v>5366</v>
      </c>
      <c r="G307" s="1" t="s">
        <v>6704</v>
      </c>
      <c r="H307" s="1" t="s">
        <v>6705</v>
      </c>
      <c r="I307" s="1" t="s">
        <v>120</v>
      </c>
      <c r="J307" s="1" t="s">
        <v>6706</v>
      </c>
      <c r="K307" s="1" t="s">
        <v>6707</v>
      </c>
    </row>
    <row r="308" spans="1:11" ht="159.5" x14ac:dyDescent="0.35">
      <c r="A308" s="61"/>
      <c r="B308" s="61"/>
      <c r="C308" s="61"/>
      <c r="D308" s="1" t="s">
        <v>6708</v>
      </c>
      <c r="E308" s="1" t="s">
        <v>6709</v>
      </c>
      <c r="F308" s="1" t="s">
        <v>5366</v>
      </c>
      <c r="G308" s="1" t="s">
        <v>6710</v>
      </c>
      <c r="H308" s="1" t="s">
        <v>6711</v>
      </c>
      <c r="I308" s="1" t="s">
        <v>120</v>
      </c>
      <c r="J308" s="1" t="s">
        <v>6712</v>
      </c>
      <c r="K308" s="1" t="s">
        <v>6713</v>
      </c>
    </row>
    <row r="309" spans="1:11" ht="130.5" x14ac:dyDescent="0.35">
      <c r="A309" s="61"/>
      <c r="B309" s="61"/>
      <c r="C309" s="61"/>
      <c r="D309" s="1" t="s">
        <v>6714</v>
      </c>
      <c r="E309" s="1" t="s">
        <v>6715</v>
      </c>
      <c r="F309" s="1" t="s">
        <v>5366</v>
      </c>
      <c r="G309" s="1" t="s">
        <v>6716</v>
      </c>
      <c r="H309" s="1" t="s">
        <v>6717</v>
      </c>
      <c r="I309" s="1" t="s">
        <v>4856</v>
      </c>
      <c r="J309" s="1" t="s">
        <v>6718</v>
      </c>
      <c r="K309" s="1" t="s">
        <v>6719</v>
      </c>
    </row>
    <row r="310" spans="1:11" ht="159.5" x14ac:dyDescent="0.35">
      <c r="A310" s="61"/>
      <c r="B310" s="61"/>
      <c r="C310" s="61"/>
      <c r="D310" s="1" t="s">
        <v>6720</v>
      </c>
      <c r="E310" s="1" t="s">
        <v>6721</v>
      </c>
      <c r="F310" s="1" t="s">
        <v>5366</v>
      </c>
      <c r="G310" s="1" t="s">
        <v>6722</v>
      </c>
      <c r="H310" s="1" t="s">
        <v>6723</v>
      </c>
      <c r="I310" s="1" t="s">
        <v>4856</v>
      </c>
      <c r="J310" s="1" t="s">
        <v>6724</v>
      </c>
      <c r="K310" s="1" t="s">
        <v>6725</v>
      </c>
    </row>
    <row r="311" spans="1:11" ht="159.5" x14ac:dyDescent="0.35">
      <c r="A311" s="61"/>
      <c r="B311" s="61"/>
      <c r="C311" s="61" t="s">
        <v>6726</v>
      </c>
      <c r="D311" s="1" t="s">
        <v>6727</v>
      </c>
      <c r="E311" s="1" t="s">
        <v>6728</v>
      </c>
      <c r="F311" s="1" t="s">
        <v>5366</v>
      </c>
      <c r="G311" s="1" t="s">
        <v>6729</v>
      </c>
      <c r="H311" s="1" t="s">
        <v>6730</v>
      </c>
      <c r="I311" s="1" t="s">
        <v>4856</v>
      </c>
      <c r="J311" s="1" t="s">
        <v>6731</v>
      </c>
      <c r="K311" s="1" t="s">
        <v>6732</v>
      </c>
    </row>
    <row r="312" spans="1:11" ht="145" x14ac:dyDescent="0.35">
      <c r="A312" s="61"/>
      <c r="B312" s="61"/>
      <c r="C312" s="61"/>
      <c r="D312" s="1" t="s">
        <v>6733</v>
      </c>
      <c r="E312" s="1" t="s">
        <v>6734</v>
      </c>
      <c r="F312" s="1" t="s">
        <v>5366</v>
      </c>
      <c r="G312" s="1" t="s">
        <v>6735</v>
      </c>
      <c r="H312" s="1" t="s">
        <v>6736</v>
      </c>
      <c r="I312" s="1" t="s">
        <v>120</v>
      </c>
      <c r="J312" s="1" t="s">
        <v>6737</v>
      </c>
      <c r="K312" s="1" t="s">
        <v>6738</v>
      </c>
    </row>
    <row r="313" spans="1:11" ht="145" x14ac:dyDescent="0.35">
      <c r="A313" s="61"/>
      <c r="B313" s="61"/>
      <c r="C313" s="61"/>
      <c r="D313" s="1" t="s">
        <v>6739</v>
      </c>
      <c r="E313" s="1" t="s">
        <v>6740</v>
      </c>
      <c r="F313" s="1" t="s">
        <v>5366</v>
      </c>
      <c r="G313" s="1" t="s">
        <v>6741</v>
      </c>
      <c r="H313" s="1" t="s">
        <v>6742</v>
      </c>
      <c r="I313" s="1" t="s">
        <v>120</v>
      </c>
      <c r="J313" s="1" t="s">
        <v>6743</v>
      </c>
      <c r="K313" s="1" t="s">
        <v>6744</v>
      </c>
    </row>
    <row r="314" spans="1:11" ht="145" x14ac:dyDescent="0.35">
      <c r="A314" s="61"/>
      <c r="B314" s="61"/>
      <c r="C314" s="61"/>
      <c r="D314" s="1" t="s">
        <v>6745</v>
      </c>
      <c r="E314" s="1" t="s">
        <v>6746</v>
      </c>
      <c r="F314" s="1" t="s">
        <v>5366</v>
      </c>
      <c r="G314" s="1" t="s">
        <v>6747</v>
      </c>
      <c r="H314" s="1" t="s">
        <v>6748</v>
      </c>
      <c r="I314" s="1" t="s">
        <v>4856</v>
      </c>
      <c r="J314" s="1" t="s">
        <v>6749</v>
      </c>
      <c r="K314" s="1" t="s">
        <v>6750</v>
      </c>
    </row>
    <row r="315" spans="1:11" ht="174" x14ac:dyDescent="0.35">
      <c r="A315" s="61"/>
      <c r="B315" s="61"/>
      <c r="C315" s="61"/>
      <c r="D315" s="1" t="s">
        <v>6751</v>
      </c>
      <c r="E315" s="1" t="s">
        <v>6752</v>
      </c>
      <c r="F315" s="1" t="s">
        <v>5366</v>
      </c>
      <c r="G315" s="1" t="s">
        <v>6753</v>
      </c>
      <c r="H315" s="1" t="s">
        <v>6754</v>
      </c>
      <c r="I315" s="1" t="s">
        <v>120</v>
      </c>
      <c r="J315" s="1" t="s">
        <v>6755</v>
      </c>
      <c r="K315" s="1" t="s">
        <v>6756</v>
      </c>
    </row>
    <row r="316" spans="1:11" ht="116" x14ac:dyDescent="0.35">
      <c r="A316" s="61"/>
      <c r="B316" s="61"/>
      <c r="C316" s="61" t="s">
        <v>6757</v>
      </c>
      <c r="D316" s="1" t="s">
        <v>6758</v>
      </c>
      <c r="E316" s="1" t="s">
        <v>6759</v>
      </c>
      <c r="F316" s="1" t="s">
        <v>5366</v>
      </c>
      <c r="G316" s="1" t="s">
        <v>6760</v>
      </c>
      <c r="H316" s="1" t="s">
        <v>6761</v>
      </c>
      <c r="I316" s="1" t="s">
        <v>4856</v>
      </c>
      <c r="J316" s="1" t="s">
        <v>6762</v>
      </c>
      <c r="K316" s="1" t="s">
        <v>6763</v>
      </c>
    </row>
    <row r="317" spans="1:11" ht="145" x14ac:dyDescent="0.35">
      <c r="A317" s="61"/>
      <c r="B317" s="61"/>
      <c r="C317" s="61"/>
      <c r="D317" s="1" t="s">
        <v>6764</v>
      </c>
      <c r="E317" s="1" t="s">
        <v>6765</v>
      </c>
      <c r="F317" s="1" t="s">
        <v>5366</v>
      </c>
      <c r="G317" s="1" t="s">
        <v>6766</v>
      </c>
      <c r="H317" s="1" t="s">
        <v>6767</v>
      </c>
      <c r="I317" s="1" t="s">
        <v>120</v>
      </c>
      <c r="J317" s="1" t="s">
        <v>6768</v>
      </c>
      <c r="K317" s="1" t="s">
        <v>6769</v>
      </c>
    </row>
    <row r="318" spans="1:11" ht="101.5" x14ac:dyDescent="0.35">
      <c r="A318" s="61"/>
      <c r="B318" s="61"/>
      <c r="C318" s="61"/>
      <c r="D318" s="1" t="s">
        <v>6770</v>
      </c>
      <c r="E318" s="1" t="s">
        <v>6771</v>
      </c>
      <c r="F318" s="1" t="s">
        <v>5366</v>
      </c>
      <c r="G318" s="1" t="s">
        <v>6772</v>
      </c>
      <c r="H318" s="1" t="s">
        <v>6773</v>
      </c>
      <c r="I318" s="1" t="s">
        <v>120</v>
      </c>
      <c r="J318" s="1" t="s">
        <v>6774</v>
      </c>
      <c r="K318" s="1" t="s">
        <v>6775</v>
      </c>
    </row>
    <row r="319" spans="1:11" ht="159.5" x14ac:dyDescent="0.35">
      <c r="A319" s="61"/>
      <c r="B319" s="61"/>
      <c r="C319" s="61"/>
      <c r="D319" s="1" t="s">
        <v>6776</v>
      </c>
      <c r="E319" s="1" t="s">
        <v>6777</v>
      </c>
      <c r="F319" s="1" t="s">
        <v>5366</v>
      </c>
      <c r="G319" s="1" t="s">
        <v>6778</v>
      </c>
      <c r="H319" s="1" t="s">
        <v>6779</v>
      </c>
      <c r="I319" s="1" t="s">
        <v>4856</v>
      </c>
      <c r="J319" s="1" t="s">
        <v>6780</v>
      </c>
      <c r="K319" s="1" t="s">
        <v>6781</v>
      </c>
    </row>
    <row r="320" spans="1:11" ht="188.5" x14ac:dyDescent="0.35">
      <c r="A320" s="61"/>
      <c r="B320" s="61"/>
      <c r="C320" s="61"/>
      <c r="D320" s="1" t="s">
        <v>6782</v>
      </c>
      <c r="E320" s="1" t="s">
        <v>6783</v>
      </c>
      <c r="F320" s="1" t="s">
        <v>5366</v>
      </c>
      <c r="G320" s="1" t="s">
        <v>6784</v>
      </c>
      <c r="H320" s="1" t="s">
        <v>6785</v>
      </c>
      <c r="I320" s="1" t="s">
        <v>4856</v>
      </c>
      <c r="J320" s="1" t="s">
        <v>6786</v>
      </c>
      <c r="K320" s="1" t="s">
        <v>6787</v>
      </c>
    </row>
    <row r="321" spans="1:11" ht="116" x14ac:dyDescent="0.35">
      <c r="A321" s="61"/>
      <c r="B321" s="61"/>
      <c r="C321" s="62" t="s">
        <v>6788</v>
      </c>
      <c r="D321" s="1" t="s">
        <v>6789</v>
      </c>
      <c r="E321" s="1" t="s">
        <v>6790</v>
      </c>
      <c r="F321" s="1" t="s">
        <v>5366</v>
      </c>
      <c r="G321" s="1" t="s">
        <v>6791</v>
      </c>
      <c r="H321" s="1" t="s">
        <v>6792</v>
      </c>
      <c r="I321" s="1" t="s">
        <v>4856</v>
      </c>
      <c r="J321" s="1" t="s">
        <v>6793</v>
      </c>
      <c r="K321" s="1" t="s">
        <v>6794</v>
      </c>
    </row>
    <row r="322" spans="1:11" ht="101.5" x14ac:dyDescent="0.35">
      <c r="A322" s="61"/>
      <c r="B322" s="61"/>
      <c r="C322" s="61"/>
      <c r="D322" s="1" t="s">
        <v>6795</v>
      </c>
      <c r="E322" s="1" t="s">
        <v>6796</v>
      </c>
      <c r="F322" s="1" t="s">
        <v>5366</v>
      </c>
      <c r="G322" s="1" t="s">
        <v>6797</v>
      </c>
      <c r="H322" s="1" t="s">
        <v>6798</v>
      </c>
      <c r="I322" s="1" t="s">
        <v>120</v>
      </c>
      <c r="J322" s="1" t="s">
        <v>6799</v>
      </c>
      <c r="K322" s="1" t="s">
        <v>6800</v>
      </c>
    </row>
    <row r="323" spans="1:11" ht="145" x14ac:dyDescent="0.35">
      <c r="A323" s="61"/>
      <c r="B323" s="61"/>
      <c r="C323" s="61"/>
      <c r="D323" s="1" t="s">
        <v>6801</v>
      </c>
      <c r="E323" s="1" t="s">
        <v>6802</v>
      </c>
      <c r="F323" s="1" t="s">
        <v>5366</v>
      </c>
      <c r="G323" s="1" t="s">
        <v>6803</v>
      </c>
      <c r="H323" s="1" t="s">
        <v>6804</v>
      </c>
      <c r="I323" s="1" t="s">
        <v>5381</v>
      </c>
      <c r="J323" s="1" t="s">
        <v>6805</v>
      </c>
      <c r="K323" s="1" t="s">
        <v>6806</v>
      </c>
    </row>
    <row r="324" spans="1:11" ht="116" x14ac:dyDescent="0.35">
      <c r="A324" s="61"/>
      <c r="B324" s="61"/>
      <c r="C324" s="61"/>
      <c r="D324" s="1" t="s">
        <v>6807</v>
      </c>
      <c r="E324" s="1" t="s">
        <v>6808</v>
      </c>
      <c r="F324" s="1" t="s">
        <v>5366</v>
      </c>
      <c r="G324" s="1" t="s">
        <v>6809</v>
      </c>
      <c r="H324" s="1" t="s">
        <v>6810</v>
      </c>
      <c r="I324" s="1" t="s">
        <v>120</v>
      </c>
      <c r="J324" s="1" t="s">
        <v>6811</v>
      </c>
      <c r="K324" s="1" t="s">
        <v>6812</v>
      </c>
    </row>
    <row r="325" spans="1:11" ht="159.5" x14ac:dyDescent="0.35">
      <c r="A325" s="61"/>
      <c r="B325" s="61"/>
      <c r="C325" s="61"/>
      <c r="D325" s="1" t="s">
        <v>6813</v>
      </c>
      <c r="E325" s="1" t="s">
        <v>6814</v>
      </c>
      <c r="F325" s="1" t="s">
        <v>5366</v>
      </c>
      <c r="G325" s="1" t="s">
        <v>6815</v>
      </c>
      <c r="H325" s="1" t="s">
        <v>6816</v>
      </c>
      <c r="I325" s="1" t="s">
        <v>120</v>
      </c>
      <c r="J325" s="1" t="s">
        <v>6817</v>
      </c>
      <c r="K325" s="1" t="s">
        <v>6818</v>
      </c>
    </row>
    <row r="326" spans="1:11" ht="116" x14ac:dyDescent="0.35">
      <c r="A326" s="61"/>
      <c r="B326" s="61"/>
      <c r="C326" s="61" t="s">
        <v>6819</v>
      </c>
      <c r="D326" s="1" t="s">
        <v>6820</v>
      </c>
      <c r="E326" s="1" t="s">
        <v>6821</v>
      </c>
      <c r="F326" s="1" t="s">
        <v>5366</v>
      </c>
      <c r="G326" s="1" t="s">
        <v>6822</v>
      </c>
      <c r="H326" s="1" t="s">
        <v>6823</v>
      </c>
      <c r="I326" s="1" t="s">
        <v>4856</v>
      </c>
      <c r="J326" s="1" t="s">
        <v>6824</v>
      </c>
      <c r="K326" s="1" t="s">
        <v>6825</v>
      </c>
    </row>
    <row r="327" spans="1:11" ht="130.5" x14ac:dyDescent="0.35">
      <c r="A327" s="61"/>
      <c r="B327" s="61"/>
      <c r="C327" s="61"/>
      <c r="D327" s="1" t="s">
        <v>6826</v>
      </c>
      <c r="E327" s="1" t="s">
        <v>6827</v>
      </c>
      <c r="F327" s="1" t="s">
        <v>5366</v>
      </c>
      <c r="G327" s="1" t="s">
        <v>6828</v>
      </c>
      <c r="H327" s="1" t="s">
        <v>6829</v>
      </c>
      <c r="I327" s="1" t="s">
        <v>4856</v>
      </c>
      <c r="J327" s="1" t="s">
        <v>6830</v>
      </c>
      <c r="K327" s="1" t="s">
        <v>6831</v>
      </c>
    </row>
    <row r="328" spans="1:11" ht="130.5" x14ac:dyDescent="0.35">
      <c r="A328" s="61"/>
      <c r="B328" s="61"/>
      <c r="C328" s="61"/>
      <c r="D328" s="1" t="s">
        <v>6832</v>
      </c>
      <c r="E328" s="1" t="s">
        <v>6833</v>
      </c>
      <c r="F328" s="1" t="s">
        <v>5366</v>
      </c>
      <c r="G328" s="1" t="s">
        <v>6834</v>
      </c>
      <c r="H328" s="1" t="s">
        <v>6835</v>
      </c>
      <c r="I328" s="1" t="s">
        <v>120</v>
      </c>
      <c r="J328" s="1" t="s">
        <v>6836</v>
      </c>
      <c r="K328" s="1" t="s">
        <v>6837</v>
      </c>
    </row>
    <row r="329" spans="1:11" ht="130.5" x14ac:dyDescent="0.35">
      <c r="A329" s="61"/>
      <c r="B329" s="61"/>
      <c r="C329" s="61"/>
      <c r="D329" s="1" t="s">
        <v>6838</v>
      </c>
      <c r="E329" s="1" t="s">
        <v>6839</v>
      </c>
      <c r="F329" s="1" t="s">
        <v>5366</v>
      </c>
      <c r="G329" s="1" t="s">
        <v>6840</v>
      </c>
      <c r="H329" s="1" t="s">
        <v>6841</v>
      </c>
      <c r="I329" s="1" t="s">
        <v>4856</v>
      </c>
      <c r="J329" s="1" t="s">
        <v>6842</v>
      </c>
      <c r="K329" s="1" t="s">
        <v>6843</v>
      </c>
    </row>
    <row r="330" spans="1:11" ht="130.5" x14ac:dyDescent="0.35">
      <c r="A330" s="61"/>
      <c r="B330" s="61"/>
      <c r="C330" s="61"/>
      <c r="D330" s="1" t="s">
        <v>6844</v>
      </c>
      <c r="E330" s="1" t="s">
        <v>6845</v>
      </c>
      <c r="F330" s="1" t="s">
        <v>5366</v>
      </c>
      <c r="G330" s="1" t="s">
        <v>6846</v>
      </c>
      <c r="H330" s="1" t="s">
        <v>6847</v>
      </c>
      <c r="I330" s="1" t="s">
        <v>120</v>
      </c>
      <c r="J330" s="1" t="s">
        <v>6848</v>
      </c>
      <c r="K330" s="1" t="s">
        <v>6849</v>
      </c>
    </row>
    <row r="331" spans="1:11" ht="101.5" x14ac:dyDescent="0.35">
      <c r="A331" s="61"/>
      <c r="B331" s="61" t="s">
        <v>6850</v>
      </c>
      <c r="C331" s="61" t="s">
        <v>6851</v>
      </c>
      <c r="D331" s="1" t="s">
        <v>6852</v>
      </c>
      <c r="E331" s="1" t="s">
        <v>6853</v>
      </c>
      <c r="F331" s="1" t="s">
        <v>5366</v>
      </c>
      <c r="G331" s="1" t="s">
        <v>6854</v>
      </c>
      <c r="H331" s="1" t="s">
        <v>6855</v>
      </c>
      <c r="I331" s="1" t="s">
        <v>4856</v>
      </c>
      <c r="J331" s="1" t="s">
        <v>6856</v>
      </c>
      <c r="K331" s="1" t="s">
        <v>6857</v>
      </c>
    </row>
    <row r="332" spans="1:11" ht="116" x14ac:dyDescent="0.35">
      <c r="A332" s="61"/>
      <c r="B332" s="61"/>
      <c r="C332" s="61"/>
      <c r="D332" s="1" t="s">
        <v>6858</v>
      </c>
      <c r="E332" s="1" t="s">
        <v>6859</v>
      </c>
      <c r="F332" s="1" t="s">
        <v>5366</v>
      </c>
      <c r="G332" s="1" t="s">
        <v>6860</v>
      </c>
      <c r="H332" s="1" t="s">
        <v>6861</v>
      </c>
      <c r="I332" s="1" t="s">
        <v>6862</v>
      </c>
      <c r="J332" s="1" t="s">
        <v>6863</v>
      </c>
      <c r="K332" s="1" t="s">
        <v>6864</v>
      </c>
    </row>
    <row r="333" spans="1:11" ht="130.5" x14ac:dyDescent="0.35">
      <c r="A333" s="61"/>
      <c r="B333" s="61"/>
      <c r="C333" s="61"/>
      <c r="D333" s="1" t="s">
        <v>6865</v>
      </c>
      <c r="E333" s="1" t="s">
        <v>6866</v>
      </c>
      <c r="F333" s="1" t="s">
        <v>5366</v>
      </c>
      <c r="G333" s="1" t="s">
        <v>6867</v>
      </c>
      <c r="H333" s="1" t="s">
        <v>6868</v>
      </c>
      <c r="I333" s="1" t="s">
        <v>4856</v>
      </c>
      <c r="J333" s="1" t="s">
        <v>6869</v>
      </c>
      <c r="K333" s="1" t="s">
        <v>6870</v>
      </c>
    </row>
    <row r="334" spans="1:11" ht="116" x14ac:dyDescent="0.35">
      <c r="A334" s="61"/>
      <c r="B334" s="61"/>
      <c r="C334" s="61"/>
      <c r="D334" s="1" t="s">
        <v>6871</v>
      </c>
      <c r="E334" s="1" t="s">
        <v>6872</v>
      </c>
      <c r="F334" s="1" t="s">
        <v>5366</v>
      </c>
      <c r="G334" s="1" t="s">
        <v>6873</v>
      </c>
      <c r="H334" s="1" t="s">
        <v>6874</v>
      </c>
      <c r="I334" s="1" t="s">
        <v>120</v>
      </c>
      <c r="J334" s="1" t="s">
        <v>6875</v>
      </c>
      <c r="K334" s="1" t="s">
        <v>6876</v>
      </c>
    </row>
    <row r="335" spans="1:11" ht="130.5" x14ac:dyDescent="0.35">
      <c r="A335" s="61"/>
      <c r="B335" s="61"/>
      <c r="C335" s="61"/>
      <c r="D335" s="1" t="s">
        <v>6877</v>
      </c>
      <c r="E335" s="1" t="s">
        <v>6878</v>
      </c>
      <c r="F335" s="1" t="s">
        <v>5366</v>
      </c>
      <c r="G335" s="1" t="s">
        <v>6879</v>
      </c>
      <c r="H335" s="1" t="s">
        <v>6880</v>
      </c>
      <c r="I335" s="1" t="s">
        <v>120</v>
      </c>
      <c r="J335" s="1" t="s">
        <v>6881</v>
      </c>
      <c r="K335" s="1" t="s">
        <v>6882</v>
      </c>
    </row>
    <row r="336" spans="1:11" ht="116" x14ac:dyDescent="0.35">
      <c r="A336" s="61"/>
      <c r="B336" s="61"/>
      <c r="C336" s="61" t="s">
        <v>6883</v>
      </c>
      <c r="D336" s="1" t="s">
        <v>6884</v>
      </c>
      <c r="E336" s="1" t="s">
        <v>6885</v>
      </c>
      <c r="F336" s="1" t="s">
        <v>5366</v>
      </c>
      <c r="G336" s="1" t="s">
        <v>6886</v>
      </c>
      <c r="H336" s="1" t="s">
        <v>6887</v>
      </c>
      <c r="I336" s="1" t="s">
        <v>4856</v>
      </c>
      <c r="J336" s="1" t="s">
        <v>6888</v>
      </c>
      <c r="K336" s="1" t="s">
        <v>6889</v>
      </c>
    </row>
    <row r="337" spans="1:11" ht="145" x14ac:dyDescent="0.35">
      <c r="A337" s="61"/>
      <c r="B337" s="61"/>
      <c r="C337" s="61"/>
      <c r="D337" s="1" t="s">
        <v>6890</v>
      </c>
      <c r="E337" s="1" t="s">
        <v>6891</v>
      </c>
      <c r="F337" s="1" t="s">
        <v>5366</v>
      </c>
      <c r="G337" s="1" t="s">
        <v>6892</v>
      </c>
      <c r="H337" s="1" t="s">
        <v>6893</v>
      </c>
      <c r="I337" s="1" t="s">
        <v>4856</v>
      </c>
      <c r="J337" s="1" t="s">
        <v>6894</v>
      </c>
      <c r="K337" s="1" t="s">
        <v>6895</v>
      </c>
    </row>
    <row r="338" spans="1:11" ht="130.5" x14ac:dyDescent="0.35">
      <c r="A338" s="61"/>
      <c r="B338" s="61"/>
      <c r="C338" s="61"/>
      <c r="D338" s="1" t="s">
        <v>6896</v>
      </c>
      <c r="E338" s="1" t="s">
        <v>6897</v>
      </c>
      <c r="F338" s="1" t="s">
        <v>5366</v>
      </c>
      <c r="G338" s="1" t="s">
        <v>6898</v>
      </c>
      <c r="H338" s="1" t="s">
        <v>6899</v>
      </c>
      <c r="I338" s="1" t="s">
        <v>120</v>
      </c>
      <c r="J338" s="1" t="s">
        <v>6900</v>
      </c>
      <c r="K338" s="1" t="s">
        <v>6901</v>
      </c>
    </row>
    <row r="339" spans="1:11" ht="130.5" x14ac:dyDescent="0.35">
      <c r="A339" s="61"/>
      <c r="B339" s="61"/>
      <c r="C339" s="61"/>
      <c r="D339" s="1" t="s">
        <v>6902</v>
      </c>
      <c r="E339" s="1" t="s">
        <v>6903</v>
      </c>
      <c r="F339" s="1" t="s">
        <v>5366</v>
      </c>
      <c r="G339" s="1" t="s">
        <v>6904</v>
      </c>
      <c r="H339" s="1" t="s">
        <v>6905</v>
      </c>
      <c r="I339" s="1" t="s">
        <v>120</v>
      </c>
      <c r="J339" s="1" t="s">
        <v>6906</v>
      </c>
      <c r="K339" s="1" t="s">
        <v>6907</v>
      </c>
    </row>
    <row r="340" spans="1:11" ht="130.5" x14ac:dyDescent="0.35">
      <c r="A340" s="61"/>
      <c r="B340" s="61"/>
      <c r="C340" s="61"/>
      <c r="D340" s="1" t="s">
        <v>6908</v>
      </c>
      <c r="E340" s="1" t="s">
        <v>6909</v>
      </c>
      <c r="F340" s="1" t="s">
        <v>5366</v>
      </c>
      <c r="G340" s="1" t="s">
        <v>6910</v>
      </c>
      <c r="H340" s="1" t="s">
        <v>6911</v>
      </c>
      <c r="I340" s="1" t="s">
        <v>120</v>
      </c>
      <c r="J340" s="1" t="s">
        <v>6912</v>
      </c>
      <c r="K340" s="1" t="s">
        <v>6913</v>
      </c>
    </row>
    <row r="341" spans="1:11" ht="116" x14ac:dyDescent="0.35">
      <c r="A341" s="61"/>
      <c r="B341" s="61"/>
      <c r="C341" s="61" t="s">
        <v>6914</v>
      </c>
      <c r="D341" s="1" t="s">
        <v>6915</v>
      </c>
      <c r="E341" s="1" t="s">
        <v>6916</v>
      </c>
      <c r="F341" s="1" t="s">
        <v>5366</v>
      </c>
      <c r="G341" s="1" t="s">
        <v>6917</v>
      </c>
      <c r="H341" s="1" t="s">
        <v>6918</v>
      </c>
      <c r="I341" s="1" t="s">
        <v>4856</v>
      </c>
      <c r="J341" s="1" t="s">
        <v>6919</v>
      </c>
      <c r="K341" s="1" t="s">
        <v>6920</v>
      </c>
    </row>
    <row r="342" spans="1:11" ht="130.5" x14ac:dyDescent="0.35">
      <c r="A342" s="61"/>
      <c r="B342" s="61"/>
      <c r="C342" s="61"/>
      <c r="D342" s="1" t="s">
        <v>6921</v>
      </c>
      <c r="E342" s="1" t="s">
        <v>6922</v>
      </c>
      <c r="F342" s="1" t="s">
        <v>5366</v>
      </c>
      <c r="G342" s="1" t="s">
        <v>6923</v>
      </c>
      <c r="H342" s="1" t="s">
        <v>6924</v>
      </c>
      <c r="I342" s="1" t="s">
        <v>120</v>
      </c>
      <c r="J342" s="1" t="s">
        <v>6925</v>
      </c>
      <c r="K342" s="1" t="s">
        <v>6926</v>
      </c>
    </row>
    <row r="343" spans="1:11" ht="130.5" x14ac:dyDescent="0.35">
      <c r="A343" s="61"/>
      <c r="B343" s="61"/>
      <c r="C343" s="61"/>
      <c r="D343" s="1" t="s">
        <v>6927</v>
      </c>
      <c r="E343" s="1" t="s">
        <v>6928</v>
      </c>
      <c r="F343" s="1" t="s">
        <v>5366</v>
      </c>
      <c r="G343" s="1" t="s">
        <v>6929</v>
      </c>
      <c r="H343" s="1" t="s">
        <v>6930</v>
      </c>
      <c r="I343" s="1" t="s">
        <v>4856</v>
      </c>
      <c r="J343" s="1" t="s">
        <v>6931</v>
      </c>
      <c r="K343" s="1" t="s">
        <v>6932</v>
      </c>
    </row>
    <row r="344" spans="1:11" ht="145" x14ac:dyDescent="0.35">
      <c r="A344" s="61"/>
      <c r="B344" s="61"/>
      <c r="C344" s="61"/>
      <c r="D344" s="1" t="s">
        <v>6933</v>
      </c>
      <c r="E344" s="1" t="s">
        <v>6934</v>
      </c>
      <c r="F344" s="1" t="s">
        <v>5366</v>
      </c>
      <c r="G344" s="1" t="s">
        <v>6935</v>
      </c>
      <c r="H344" s="1" t="s">
        <v>6936</v>
      </c>
      <c r="I344" s="1" t="s">
        <v>4856</v>
      </c>
      <c r="J344" s="1" t="s">
        <v>6937</v>
      </c>
      <c r="K344" s="1" t="s">
        <v>6938</v>
      </c>
    </row>
    <row r="345" spans="1:11" ht="159.5" x14ac:dyDescent="0.35">
      <c r="A345" s="61"/>
      <c r="B345" s="61"/>
      <c r="C345" s="61"/>
      <c r="D345" s="1" t="s">
        <v>6939</v>
      </c>
      <c r="E345" s="1" t="s">
        <v>6940</v>
      </c>
      <c r="F345" s="1" t="s">
        <v>5366</v>
      </c>
      <c r="G345" s="1" t="s">
        <v>6941</v>
      </c>
      <c r="H345" s="1" t="s">
        <v>6942</v>
      </c>
      <c r="I345" s="1" t="s">
        <v>4856</v>
      </c>
      <c r="J345" s="1" t="s">
        <v>6943</v>
      </c>
      <c r="K345" s="1" t="s">
        <v>6944</v>
      </c>
    </row>
    <row r="346" spans="1:11" ht="116" x14ac:dyDescent="0.35">
      <c r="A346" s="61"/>
      <c r="B346" s="61"/>
      <c r="C346" s="61" t="s">
        <v>6945</v>
      </c>
      <c r="D346" s="1" t="s">
        <v>6946</v>
      </c>
      <c r="E346" s="1" t="s">
        <v>6947</v>
      </c>
      <c r="F346" s="1" t="s">
        <v>5366</v>
      </c>
      <c r="G346" s="1" t="s">
        <v>6948</v>
      </c>
      <c r="H346" s="1" t="s">
        <v>6949</v>
      </c>
      <c r="I346" s="1" t="s">
        <v>4856</v>
      </c>
      <c r="J346" s="1" t="s">
        <v>6950</v>
      </c>
      <c r="K346" s="1" t="s">
        <v>6951</v>
      </c>
    </row>
    <row r="347" spans="1:11" ht="130.5" x14ac:dyDescent="0.35">
      <c r="A347" s="61"/>
      <c r="B347" s="61"/>
      <c r="C347" s="61"/>
      <c r="D347" s="1" t="s">
        <v>6952</v>
      </c>
      <c r="E347" s="1" t="s">
        <v>6953</v>
      </c>
      <c r="F347" s="1" t="s">
        <v>5366</v>
      </c>
      <c r="G347" s="1" t="s">
        <v>6954</v>
      </c>
      <c r="H347" s="1" t="s">
        <v>6955</v>
      </c>
      <c r="I347" s="1" t="s">
        <v>120</v>
      </c>
      <c r="J347" s="1" t="s">
        <v>6956</v>
      </c>
      <c r="K347" s="1" t="s">
        <v>6957</v>
      </c>
    </row>
    <row r="348" spans="1:11" ht="101.5" x14ac:dyDescent="0.35">
      <c r="A348" s="61"/>
      <c r="B348" s="61"/>
      <c r="C348" s="61"/>
      <c r="D348" s="1" t="s">
        <v>6958</v>
      </c>
      <c r="E348" s="1" t="s">
        <v>6959</v>
      </c>
      <c r="F348" s="1" t="s">
        <v>5366</v>
      </c>
      <c r="G348" s="1" t="s">
        <v>6960</v>
      </c>
      <c r="H348" s="1" t="s">
        <v>6961</v>
      </c>
      <c r="I348" s="1" t="s">
        <v>4856</v>
      </c>
      <c r="J348" s="1" t="s">
        <v>6962</v>
      </c>
      <c r="K348" s="1" t="s">
        <v>6963</v>
      </c>
    </row>
    <row r="349" spans="1:11" ht="116" x14ac:dyDescent="0.35">
      <c r="A349" s="61"/>
      <c r="B349" s="61"/>
      <c r="C349" s="61"/>
      <c r="D349" s="1" t="s">
        <v>6964</v>
      </c>
      <c r="E349" s="1" t="s">
        <v>6965</v>
      </c>
      <c r="F349" s="1" t="s">
        <v>5366</v>
      </c>
      <c r="G349" s="1" t="s">
        <v>6966</v>
      </c>
      <c r="H349" s="1" t="s">
        <v>6967</v>
      </c>
      <c r="I349" s="1" t="s">
        <v>120</v>
      </c>
      <c r="J349" s="1" t="s">
        <v>6968</v>
      </c>
      <c r="K349" s="1" t="s">
        <v>6969</v>
      </c>
    </row>
    <row r="350" spans="1:11" ht="130.5" x14ac:dyDescent="0.35">
      <c r="A350" s="61"/>
      <c r="B350" s="61"/>
      <c r="C350" s="61"/>
      <c r="D350" s="1" t="s">
        <v>6970</v>
      </c>
      <c r="E350" s="1" t="s">
        <v>6971</v>
      </c>
      <c r="F350" s="1" t="s">
        <v>5366</v>
      </c>
      <c r="G350" s="1" t="s">
        <v>6972</v>
      </c>
      <c r="H350" s="1" t="s">
        <v>6973</v>
      </c>
      <c r="I350" s="1" t="s">
        <v>6862</v>
      </c>
      <c r="J350" s="1" t="s">
        <v>6974</v>
      </c>
      <c r="K350" s="1" t="s">
        <v>6975</v>
      </c>
    </row>
    <row r="351" spans="1:11" ht="116" x14ac:dyDescent="0.35">
      <c r="A351" s="61"/>
      <c r="B351" s="61"/>
      <c r="C351" s="62" t="s">
        <v>6976</v>
      </c>
      <c r="D351" s="1" t="s">
        <v>6977</v>
      </c>
      <c r="E351" s="1" t="s">
        <v>6978</v>
      </c>
      <c r="F351" s="1" t="s">
        <v>5366</v>
      </c>
      <c r="G351" s="1" t="s">
        <v>6979</v>
      </c>
      <c r="H351" s="1" t="s">
        <v>6980</v>
      </c>
      <c r="I351" s="1" t="s">
        <v>4856</v>
      </c>
      <c r="J351" s="1" t="s">
        <v>6981</v>
      </c>
      <c r="K351" s="1" t="s">
        <v>6982</v>
      </c>
    </row>
    <row r="352" spans="1:11" ht="130.5" x14ac:dyDescent="0.35">
      <c r="A352" s="61"/>
      <c r="B352" s="61"/>
      <c r="C352" s="61"/>
      <c r="D352" s="1" t="s">
        <v>6983</v>
      </c>
      <c r="E352" s="1" t="s">
        <v>6984</v>
      </c>
      <c r="F352" s="1" t="s">
        <v>5366</v>
      </c>
      <c r="G352" s="1" t="s">
        <v>6985</v>
      </c>
      <c r="H352" s="1" t="s">
        <v>6986</v>
      </c>
      <c r="I352" s="1" t="s">
        <v>4856</v>
      </c>
      <c r="J352" s="1" t="s">
        <v>6987</v>
      </c>
      <c r="K352" s="1" t="s">
        <v>6988</v>
      </c>
    </row>
    <row r="353" spans="1:11" ht="145" x14ac:dyDescent="0.35">
      <c r="A353" s="61"/>
      <c r="B353" s="61"/>
      <c r="C353" s="61"/>
      <c r="D353" s="1" t="s">
        <v>5336</v>
      </c>
      <c r="E353" s="1" t="s">
        <v>6989</v>
      </c>
      <c r="F353" s="1" t="s">
        <v>5366</v>
      </c>
      <c r="G353" s="1" t="s">
        <v>6990</v>
      </c>
      <c r="H353" s="1" t="s">
        <v>6991</v>
      </c>
      <c r="I353" s="1" t="s">
        <v>120</v>
      </c>
      <c r="J353" s="1" t="s">
        <v>6992</v>
      </c>
      <c r="K353" s="1" t="s">
        <v>6993</v>
      </c>
    </row>
    <row r="354" spans="1:11" ht="130.5" x14ac:dyDescent="0.35">
      <c r="A354" s="61"/>
      <c r="B354" s="61"/>
      <c r="C354" s="61"/>
      <c r="D354" s="1" t="s">
        <v>6994</v>
      </c>
      <c r="E354" s="1" t="s">
        <v>6995</v>
      </c>
      <c r="F354" s="1" t="s">
        <v>5366</v>
      </c>
      <c r="G354" s="1" t="s">
        <v>6996</v>
      </c>
      <c r="H354" s="1" t="s">
        <v>6997</v>
      </c>
      <c r="I354" s="1" t="s">
        <v>120</v>
      </c>
      <c r="J354" s="1" t="s">
        <v>6998</v>
      </c>
      <c r="K354" s="1" t="s">
        <v>6999</v>
      </c>
    </row>
    <row r="355" spans="1:11" ht="145" x14ac:dyDescent="0.35">
      <c r="A355" s="61"/>
      <c r="B355" s="61"/>
      <c r="C355" s="61"/>
      <c r="D355" s="1" t="s">
        <v>7000</v>
      </c>
      <c r="E355" s="1" t="s">
        <v>7001</v>
      </c>
      <c r="F355" s="1" t="s">
        <v>5366</v>
      </c>
      <c r="G355" s="1" t="s">
        <v>7002</v>
      </c>
      <c r="H355" s="1" t="s">
        <v>7003</v>
      </c>
      <c r="I355" s="1" t="s">
        <v>120</v>
      </c>
      <c r="J355" s="1" t="s">
        <v>7004</v>
      </c>
      <c r="K355" s="1" t="s">
        <v>7005</v>
      </c>
    </row>
    <row r="356" spans="1:11" ht="101.5" x14ac:dyDescent="0.35">
      <c r="A356" s="61"/>
      <c r="B356" s="61"/>
      <c r="C356" s="61" t="s">
        <v>7006</v>
      </c>
      <c r="D356" s="1" t="s">
        <v>7007</v>
      </c>
      <c r="E356" s="1" t="s">
        <v>7008</v>
      </c>
      <c r="F356" s="1" t="s">
        <v>5366</v>
      </c>
      <c r="G356" s="1" t="s">
        <v>7009</v>
      </c>
      <c r="H356" s="1" t="s">
        <v>7010</v>
      </c>
      <c r="I356" s="1" t="s">
        <v>4856</v>
      </c>
      <c r="J356" s="1" t="s">
        <v>7011</v>
      </c>
      <c r="K356" s="1" t="s">
        <v>7012</v>
      </c>
    </row>
    <row r="357" spans="1:11" ht="130.5" x14ac:dyDescent="0.35">
      <c r="A357" s="61"/>
      <c r="B357" s="61"/>
      <c r="C357" s="61"/>
      <c r="D357" s="1" t="s">
        <v>7013</v>
      </c>
      <c r="E357" s="1" t="s">
        <v>7014</v>
      </c>
      <c r="F357" s="1" t="s">
        <v>5366</v>
      </c>
      <c r="G357" s="1" t="s">
        <v>7015</v>
      </c>
      <c r="H357" s="1" t="s">
        <v>7016</v>
      </c>
      <c r="I357" s="1" t="s">
        <v>4856</v>
      </c>
      <c r="J357" s="1" t="s">
        <v>7017</v>
      </c>
      <c r="K357" s="1" t="s">
        <v>7018</v>
      </c>
    </row>
    <row r="358" spans="1:11" ht="130.5" x14ac:dyDescent="0.35">
      <c r="A358" s="61"/>
      <c r="B358" s="61"/>
      <c r="C358" s="61"/>
      <c r="D358" s="1" t="s">
        <v>7019</v>
      </c>
      <c r="E358" s="1" t="s">
        <v>7020</v>
      </c>
      <c r="F358" s="1" t="s">
        <v>5366</v>
      </c>
      <c r="G358" s="1" t="s">
        <v>7021</v>
      </c>
      <c r="H358" s="1" t="s">
        <v>7022</v>
      </c>
      <c r="I358" s="1" t="s">
        <v>120</v>
      </c>
      <c r="J358" s="1" t="s">
        <v>7023</v>
      </c>
      <c r="K358" s="1" t="s">
        <v>7024</v>
      </c>
    </row>
    <row r="359" spans="1:11" ht="174" x14ac:dyDescent="0.35">
      <c r="A359" s="61"/>
      <c r="B359" s="61"/>
      <c r="C359" s="61"/>
      <c r="D359" s="1" t="s">
        <v>7025</v>
      </c>
      <c r="E359" s="1" t="s">
        <v>7026</v>
      </c>
      <c r="F359" s="1" t="s">
        <v>5366</v>
      </c>
      <c r="G359" s="1" t="s">
        <v>7027</v>
      </c>
      <c r="H359" s="1" t="s">
        <v>7028</v>
      </c>
      <c r="I359" s="1" t="s">
        <v>120</v>
      </c>
      <c r="J359" s="1" t="s">
        <v>7029</v>
      </c>
      <c r="K359" s="1" t="s">
        <v>7030</v>
      </c>
    </row>
    <row r="360" spans="1:11" ht="101.5" x14ac:dyDescent="0.35">
      <c r="A360" s="61"/>
      <c r="B360" s="61"/>
      <c r="C360" s="61"/>
      <c r="D360" s="1" t="s">
        <v>7031</v>
      </c>
      <c r="E360" s="1" t="s">
        <v>7032</v>
      </c>
      <c r="F360" s="1" t="s">
        <v>5366</v>
      </c>
      <c r="G360" s="1" t="s">
        <v>7033</v>
      </c>
      <c r="H360" s="1" t="s">
        <v>7034</v>
      </c>
      <c r="I360" s="1" t="s">
        <v>4856</v>
      </c>
      <c r="J360" s="1" t="s">
        <v>7035</v>
      </c>
      <c r="K360" s="1" t="s">
        <v>7036</v>
      </c>
    </row>
    <row r="361" spans="1:11" ht="130.5" x14ac:dyDescent="0.35">
      <c r="A361" s="61"/>
      <c r="B361" s="61"/>
      <c r="C361" s="61" t="s">
        <v>7037</v>
      </c>
      <c r="D361" s="1" t="s">
        <v>7038</v>
      </c>
      <c r="E361" s="1" t="s">
        <v>7039</v>
      </c>
      <c r="F361" s="1" t="s">
        <v>5366</v>
      </c>
      <c r="G361" s="1" t="s">
        <v>7040</v>
      </c>
      <c r="H361" s="1" t="s">
        <v>7041</v>
      </c>
      <c r="I361" s="1" t="s">
        <v>4856</v>
      </c>
      <c r="J361" s="1" t="s">
        <v>7042</v>
      </c>
      <c r="K361" s="1" t="s">
        <v>7043</v>
      </c>
    </row>
    <row r="362" spans="1:11" ht="159.5" x14ac:dyDescent="0.35">
      <c r="A362" s="61"/>
      <c r="B362" s="61"/>
      <c r="C362" s="61"/>
      <c r="D362" s="1" t="s">
        <v>7044</v>
      </c>
      <c r="E362" s="1" t="s">
        <v>7045</v>
      </c>
      <c r="F362" s="1" t="s">
        <v>5366</v>
      </c>
      <c r="G362" s="1" t="s">
        <v>7046</v>
      </c>
      <c r="H362" s="1" t="s">
        <v>7047</v>
      </c>
      <c r="I362" s="1" t="s">
        <v>4856</v>
      </c>
      <c r="J362" s="1" t="s">
        <v>7048</v>
      </c>
      <c r="K362" s="1" t="s">
        <v>7049</v>
      </c>
    </row>
    <row r="363" spans="1:11" ht="159.5" x14ac:dyDescent="0.35">
      <c r="A363" s="61"/>
      <c r="B363" s="61"/>
      <c r="C363" s="61"/>
      <c r="D363" s="1" t="s">
        <v>7050</v>
      </c>
      <c r="E363" s="1" t="s">
        <v>7051</v>
      </c>
      <c r="F363" s="1" t="s">
        <v>5366</v>
      </c>
      <c r="G363" s="1" t="s">
        <v>7052</v>
      </c>
      <c r="H363" s="1" t="s">
        <v>7053</v>
      </c>
      <c r="I363" s="1" t="s">
        <v>4856</v>
      </c>
      <c r="J363" s="1" t="s">
        <v>7054</v>
      </c>
      <c r="K363" s="1" t="s">
        <v>7055</v>
      </c>
    </row>
    <row r="364" spans="1:11" ht="174" x14ac:dyDescent="0.35">
      <c r="A364" s="61"/>
      <c r="B364" s="61"/>
      <c r="C364" s="61"/>
      <c r="D364" s="1" t="s">
        <v>7056</v>
      </c>
      <c r="E364" s="1" t="s">
        <v>7057</v>
      </c>
      <c r="F364" s="1" t="s">
        <v>5366</v>
      </c>
      <c r="G364" s="1" t="s">
        <v>7058</v>
      </c>
      <c r="H364" s="1" t="s">
        <v>7059</v>
      </c>
      <c r="I364" s="1" t="s">
        <v>120</v>
      </c>
      <c r="J364" s="1" t="s">
        <v>7060</v>
      </c>
      <c r="K364" s="1" t="s">
        <v>7061</v>
      </c>
    </row>
    <row r="365" spans="1:11" ht="159.5" x14ac:dyDescent="0.35">
      <c r="A365" s="61"/>
      <c r="B365" s="61"/>
      <c r="C365" s="61"/>
      <c r="D365" s="1" t="s">
        <v>7062</v>
      </c>
      <c r="E365" s="1" t="s">
        <v>7063</v>
      </c>
      <c r="F365" s="1" t="s">
        <v>5366</v>
      </c>
      <c r="G365" s="1" t="s">
        <v>7064</v>
      </c>
      <c r="H365" s="1" t="s">
        <v>7065</v>
      </c>
      <c r="I365" s="1" t="s">
        <v>120</v>
      </c>
      <c r="J365" s="1" t="s">
        <v>7066</v>
      </c>
      <c r="K365" s="1" t="s">
        <v>7067</v>
      </c>
    </row>
    <row r="366" spans="1:11" ht="159.5" x14ac:dyDescent="0.35">
      <c r="A366" s="61"/>
      <c r="B366" s="61"/>
      <c r="C366" s="61" t="s">
        <v>7068</v>
      </c>
      <c r="D366" s="1" t="s">
        <v>7069</v>
      </c>
      <c r="E366" s="1" t="s">
        <v>7070</v>
      </c>
      <c r="F366" s="1" t="s">
        <v>5366</v>
      </c>
      <c r="G366" s="1" t="s">
        <v>7071</v>
      </c>
      <c r="H366" s="1" t="s">
        <v>7072</v>
      </c>
      <c r="I366" s="1" t="s">
        <v>4856</v>
      </c>
      <c r="J366" s="1" t="s">
        <v>7073</v>
      </c>
      <c r="K366" s="1" t="s">
        <v>7074</v>
      </c>
    </row>
    <row r="367" spans="1:11" ht="159.5" x14ac:dyDescent="0.35">
      <c r="A367" s="61"/>
      <c r="B367" s="61"/>
      <c r="C367" s="61"/>
      <c r="D367" s="1" t="s">
        <v>7075</v>
      </c>
      <c r="E367" s="1" t="s">
        <v>7076</v>
      </c>
      <c r="F367" s="1" t="s">
        <v>5366</v>
      </c>
      <c r="G367" s="1" t="s">
        <v>7077</v>
      </c>
      <c r="H367" s="1" t="s">
        <v>7078</v>
      </c>
      <c r="I367" s="1" t="s">
        <v>4856</v>
      </c>
      <c r="J367" s="1" t="s">
        <v>7079</v>
      </c>
      <c r="K367" s="1" t="s">
        <v>7080</v>
      </c>
    </row>
    <row r="368" spans="1:11" ht="159.5" x14ac:dyDescent="0.35">
      <c r="A368" s="61"/>
      <c r="B368" s="61"/>
      <c r="C368" s="61"/>
      <c r="D368" s="1" t="s">
        <v>7081</v>
      </c>
      <c r="E368" s="1" t="s">
        <v>7082</v>
      </c>
      <c r="F368" s="1" t="s">
        <v>5366</v>
      </c>
      <c r="G368" s="1" t="s">
        <v>7083</v>
      </c>
      <c r="H368" s="1" t="s">
        <v>7084</v>
      </c>
      <c r="I368" s="1" t="s">
        <v>4856</v>
      </c>
      <c r="J368" s="1" t="s">
        <v>7085</v>
      </c>
      <c r="K368" s="1" t="s">
        <v>7086</v>
      </c>
    </row>
    <row r="369" spans="1:11" ht="203" x14ac:dyDescent="0.35">
      <c r="A369" s="61"/>
      <c r="B369" s="61"/>
      <c r="C369" s="61"/>
      <c r="D369" s="1" t="s">
        <v>7087</v>
      </c>
      <c r="E369" s="1" t="s">
        <v>7088</v>
      </c>
      <c r="F369" s="1" t="s">
        <v>5366</v>
      </c>
      <c r="G369" s="1" t="s">
        <v>7089</v>
      </c>
      <c r="H369" s="1" t="s">
        <v>7090</v>
      </c>
      <c r="I369" s="1" t="s">
        <v>120</v>
      </c>
      <c r="J369" s="1" t="s">
        <v>7091</v>
      </c>
      <c r="K369" s="1" t="s">
        <v>7092</v>
      </c>
    </row>
    <row r="370" spans="1:11" ht="101.5" x14ac:dyDescent="0.35">
      <c r="A370" s="61"/>
      <c r="B370" s="61"/>
      <c r="C370" s="61"/>
      <c r="D370" s="1" t="s">
        <v>7093</v>
      </c>
      <c r="E370" s="1" t="s">
        <v>7094</v>
      </c>
      <c r="F370" s="1" t="s">
        <v>5366</v>
      </c>
      <c r="G370" s="1" t="s">
        <v>7095</v>
      </c>
      <c r="H370" s="1" t="s">
        <v>7096</v>
      </c>
      <c r="I370" s="1" t="s">
        <v>120</v>
      </c>
      <c r="J370" s="1" t="s">
        <v>7097</v>
      </c>
      <c r="K370" s="1" t="s">
        <v>7098</v>
      </c>
    </row>
    <row r="371" spans="1:11" ht="159.5" x14ac:dyDescent="0.35">
      <c r="A371" s="61"/>
      <c r="B371" s="61"/>
      <c r="C371" s="61" t="s">
        <v>7099</v>
      </c>
      <c r="D371" s="1" t="s">
        <v>7100</v>
      </c>
      <c r="E371" s="1" t="s">
        <v>7101</v>
      </c>
      <c r="F371" s="1" t="s">
        <v>5366</v>
      </c>
      <c r="G371" s="1" t="s">
        <v>7102</v>
      </c>
      <c r="H371" s="1" t="s">
        <v>7103</v>
      </c>
      <c r="I371" s="1" t="s">
        <v>4856</v>
      </c>
      <c r="J371" s="1" t="s">
        <v>7104</v>
      </c>
      <c r="K371" s="1" t="s">
        <v>7105</v>
      </c>
    </row>
    <row r="372" spans="1:11" ht="188.5" x14ac:dyDescent="0.35">
      <c r="A372" s="61"/>
      <c r="B372" s="61"/>
      <c r="C372" s="61"/>
      <c r="D372" s="1" t="s">
        <v>7106</v>
      </c>
      <c r="E372" s="1" t="s">
        <v>7107</v>
      </c>
      <c r="F372" s="1" t="s">
        <v>5366</v>
      </c>
      <c r="G372" s="1" t="s">
        <v>7108</v>
      </c>
      <c r="H372" s="1" t="s">
        <v>7109</v>
      </c>
      <c r="I372" s="1" t="s">
        <v>4856</v>
      </c>
      <c r="J372" s="1" t="s">
        <v>7110</v>
      </c>
      <c r="K372" s="1" t="s">
        <v>7111</v>
      </c>
    </row>
    <row r="373" spans="1:11" ht="188.5" x14ac:dyDescent="0.35">
      <c r="A373" s="61"/>
      <c r="B373" s="61"/>
      <c r="C373" s="61"/>
      <c r="D373" s="1" t="s">
        <v>7112</v>
      </c>
      <c r="E373" s="1" t="s">
        <v>7113</v>
      </c>
      <c r="F373" s="1" t="s">
        <v>5366</v>
      </c>
      <c r="G373" s="1" t="s">
        <v>7114</v>
      </c>
      <c r="H373" s="1" t="s">
        <v>7115</v>
      </c>
      <c r="I373" s="1" t="s">
        <v>120</v>
      </c>
      <c r="J373" s="1" t="s">
        <v>7116</v>
      </c>
      <c r="K373" s="1" t="s">
        <v>7117</v>
      </c>
    </row>
    <row r="374" spans="1:11" ht="159.5" x14ac:dyDescent="0.35">
      <c r="A374" s="61"/>
      <c r="B374" s="61"/>
      <c r="C374" s="61"/>
      <c r="D374" s="1" t="s">
        <v>7118</v>
      </c>
      <c r="E374" s="1" t="s">
        <v>7119</v>
      </c>
      <c r="F374" s="1" t="s">
        <v>5366</v>
      </c>
      <c r="G374" s="1" t="s">
        <v>7120</v>
      </c>
      <c r="H374" s="1" t="s">
        <v>7121</v>
      </c>
      <c r="I374" s="1" t="s">
        <v>4856</v>
      </c>
      <c r="J374" s="1" t="s">
        <v>7122</v>
      </c>
      <c r="K374" s="1" t="s">
        <v>7123</v>
      </c>
    </row>
    <row r="375" spans="1:11" ht="188.5" x14ac:dyDescent="0.35">
      <c r="A375" s="61"/>
      <c r="B375" s="61"/>
      <c r="C375" s="61"/>
      <c r="D375" s="1" t="s">
        <v>7124</v>
      </c>
      <c r="E375" s="1" t="s">
        <v>7125</v>
      </c>
      <c r="F375" s="1" t="s">
        <v>5366</v>
      </c>
      <c r="G375" s="1" t="s">
        <v>7126</v>
      </c>
      <c r="H375" s="1" t="s">
        <v>7127</v>
      </c>
      <c r="I375" s="1" t="s">
        <v>120</v>
      </c>
      <c r="J375" s="1" t="s">
        <v>7128</v>
      </c>
      <c r="K375" s="1" t="s">
        <v>7129</v>
      </c>
    </row>
    <row r="376" spans="1:11" ht="145" x14ac:dyDescent="0.35">
      <c r="A376" s="61"/>
      <c r="B376" s="61"/>
      <c r="C376" s="61" t="s">
        <v>7130</v>
      </c>
      <c r="D376" s="1" t="s">
        <v>7131</v>
      </c>
      <c r="E376" s="1" t="s">
        <v>7132</v>
      </c>
      <c r="F376" s="1" t="s">
        <v>5366</v>
      </c>
      <c r="G376" s="1" t="s">
        <v>7133</v>
      </c>
      <c r="H376" s="1" t="s">
        <v>7134</v>
      </c>
      <c r="I376" s="1" t="s">
        <v>4856</v>
      </c>
      <c r="J376" s="1" t="s">
        <v>7135</v>
      </c>
      <c r="K376" s="1" t="s">
        <v>7136</v>
      </c>
    </row>
    <row r="377" spans="1:11" ht="174" x14ac:dyDescent="0.35">
      <c r="A377" s="61"/>
      <c r="B377" s="61"/>
      <c r="C377" s="61"/>
      <c r="D377" s="1" t="s">
        <v>7137</v>
      </c>
      <c r="E377" s="1" t="s">
        <v>7138</v>
      </c>
      <c r="F377" s="1" t="s">
        <v>5366</v>
      </c>
      <c r="G377" s="1" t="s">
        <v>7139</v>
      </c>
      <c r="H377" s="1" t="s">
        <v>7140</v>
      </c>
      <c r="I377" s="1" t="s">
        <v>4856</v>
      </c>
      <c r="J377" s="1" t="s">
        <v>7141</v>
      </c>
      <c r="K377" s="1" t="s">
        <v>7142</v>
      </c>
    </row>
    <row r="378" spans="1:11" ht="145" x14ac:dyDescent="0.35">
      <c r="A378" s="61"/>
      <c r="B378" s="61"/>
      <c r="C378" s="61"/>
      <c r="D378" s="1" t="s">
        <v>7143</v>
      </c>
      <c r="E378" s="1" t="s">
        <v>7144</v>
      </c>
      <c r="F378" s="1" t="s">
        <v>5366</v>
      </c>
      <c r="G378" s="1" t="s">
        <v>7145</v>
      </c>
      <c r="H378" s="1" t="s">
        <v>7146</v>
      </c>
      <c r="I378" s="1" t="s">
        <v>120</v>
      </c>
      <c r="J378" s="1" t="s">
        <v>7147</v>
      </c>
      <c r="K378" s="1" t="s">
        <v>7148</v>
      </c>
    </row>
    <row r="379" spans="1:11" ht="145" x14ac:dyDescent="0.35">
      <c r="A379" s="61"/>
      <c r="B379" s="61"/>
      <c r="C379" s="61"/>
      <c r="D379" s="1" t="s">
        <v>7149</v>
      </c>
      <c r="E379" s="1" t="s">
        <v>7150</v>
      </c>
      <c r="F379" s="1" t="s">
        <v>5366</v>
      </c>
      <c r="G379" s="1" t="s">
        <v>7151</v>
      </c>
      <c r="H379" s="1" t="s">
        <v>7152</v>
      </c>
      <c r="I379" s="1" t="s">
        <v>120</v>
      </c>
      <c r="J379" s="1" t="s">
        <v>7153</v>
      </c>
      <c r="K379" s="1" t="s">
        <v>7154</v>
      </c>
    </row>
    <row r="380" spans="1:11" ht="145" x14ac:dyDescent="0.35">
      <c r="A380" s="61"/>
      <c r="B380" s="61"/>
      <c r="C380" s="61"/>
      <c r="D380" s="1" t="s">
        <v>7155</v>
      </c>
      <c r="E380" s="1" t="s">
        <v>7156</v>
      </c>
      <c r="F380" s="1" t="s">
        <v>5366</v>
      </c>
      <c r="G380" s="1" t="s">
        <v>7157</v>
      </c>
      <c r="H380" s="1" t="s">
        <v>7158</v>
      </c>
      <c r="I380" s="1" t="s">
        <v>4856</v>
      </c>
      <c r="J380" s="1" t="s">
        <v>7159</v>
      </c>
      <c r="K380" s="1" t="s">
        <v>7160</v>
      </c>
    </row>
    <row r="381" spans="1:11" ht="116" x14ac:dyDescent="0.35">
      <c r="A381" s="61"/>
      <c r="B381" s="61" t="s">
        <v>7161</v>
      </c>
      <c r="C381" s="61" t="s">
        <v>7162</v>
      </c>
      <c r="D381" s="1" t="s">
        <v>7163</v>
      </c>
      <c r="E381" s="1" t="s">
        <v>7164</v>
      </c>
      <c r="F381" s="1" t="s">
        <v>5366</v>
      </c>
      <c r="G381" s="1" t="s">
        <v>7165</v>
      </c>
      <c r="H381" s="1" t="s">
        <v>7166</v>
      </c>
      <c r="I381" s="1" t="s">
        <v>4856</v>
      </c>
      <c r="J381" s="1" t="s">
        <v>7167</v>
      </c>
      <c r="K381" s="1" t="s">
        <v>7168</v>
      </c>
    </row>
    <row r="382" spans="1:11" ht="130.5" x14ac:dyDescent="0.35">
      <c r="A382" s="61"/>
      <c r="B382" s="61"/>
      <c r="C382" s="61"/>
      <c r="D382" s="1" t="s">
        <v>7169</v>
      </c>
      <c r="E382" s="1" t="s">
        <v>7170</v>
      </c>
      <c r="F382" s="1" t="s">
        <v>5366</v>
      </c>
      <c r="G382" s="1" t="s">
        <v>7171</v>
      </c>
      <c r="H382" s="1" t="s">
        <v>7172</v>
      </c>
      <c r="I382" s="1" t="s">
        <v>120</v>
      </c>
      <c r="J382" s="1" t="s">
        <v>7173</v>
      </c>
      <c r="K382" s="1" t="s">
        <v>7174</v>
      </c>
    </row>
    <row r="383" spans="1:11" ht="145" x14ac:dyDescent="0.35">
      <c r="A383" s="61"/>
      <c r="B383" s="61"/>
      <c r="C383" s="61"/>
      <c r="D383" s="1" t="s">
        <v>7175</v>
      </c>
      <c r="E383" s="1" t="s">
        <v>7176</v>
      </c>
      <c r="F383" s="1" t="s">
        <v>5366</v>
      </c>
      <c r="G383" s="1" t="s">
        <v>7177</v>
      </c>
      <c r="H383" s="1" t="s">
        <v>7178</v>
      </c>
      <c r="I383" s="1" t="s">
        <v>4856</v>
      </c>
      <c r="J383" s="1" t="s">
        <v>7179</v>
      </c>
      <c r="K383" s="1" t="s">
        <v>7180</v>
      </c>
    </row>
    <row r="384" spans="1:11" ht="159.5" x14ac:dyDescent="0.35">
      <c r="A384" s="61"/>
      <c r="B384" s="61"/>
      <c r="C384" s="61"/>
      <c r="D384" s="1" t="s">
        <v>7181</v>
      </c>
      <c r="E384" s="1" t="s">
        <v>7182</v>
      </c>
      <c r="F384" s="1" t="s">
        <v>5366</v>
      </c>
      <c r="G384" s="1" t="s">
        <v>7183</v>
      </c>
      <c r="H384" s="1" t="s">
        <v>7184</v>
      </c>
      <c r="I384" s="1" t="s">
        <v>4856</v>
      </c>
      <c r="J384" s="1" t="s">
        <v>7185</v>
      </c>
      <c r="K384" s="1" t="s">
        <v>7186</v>
      </c>
    </row>
    <row r="385" spans="1:11" ht="145" x14ac:dyDescent="0.35">
      <c r="A385" s="61"/>
      <c r="B385" s="61"/>
      <c r="C385" s="61"/>
      <c r="D385" s="1" t="s">
        <v>7187</v>
      </c>
      <c r="E385" s="1" t="s">
        <v>7188</v>
      </c>
      <c r="F385" s="1" t="s">
        <v>5366</v>
      </c>
      <c r="G385" s="1" t="s">
        <v>7189</v>
      </c>
      <c r="H385" s="1" t="s">
        <v>7190</v>
      </c>
      <c r="I385" s="1" t="s">
        <v>120</v>
      </c>
      <c r="J385" s="1" t="s">
        <v>7191</v>
      </c>
      <c r="K385" s="1" t="s">
        <v>7192</v>
      </c>
    </row>
    <row r="386" spans="1:11" ht="43.5" x14ac:dyDescent="0.35">
      <c r="A386" s="61"/>
      <c r="B386" s="61"/>
      <c r="C386" s="61" t="s">
        <v>7193</v>
      </c>
      <c r="D386" s="63" t="s">
        <v>7194</v>
      </c>
      <c r="E386" s="63" t="s">
        <v>7195</v>
      </c>
      <c r="F386" s="63" t="s">
        <v>7196</v>
      </c>
      <c r="G386" s="63" t="s">
        <v>4841</v>
      </c>
      <c r="H386" s="63" t="s">
        <v>4840</v>
      </c>
      <c r="I386" s="63" t="s">
        <v>7197</v>
      </c>
      <c r="J386" s="63" t="s">
        <v>4838</v>
      </c>
      <c r="K386" s="63" t="s">
        <v>4837</v>
      </c>
    </row>
    <row r="387" spans="1:11" ht="188.5" x14ac:dyDescent="0.35">
      <c r="A387" s="61"/>
      <c r="B387" s="61"/>
      <c r="C387" s="61"/>
      <c r="D387" s="1" t="s">
        <v>7198</v>
      </c>
      <c r="E387" s="1" t="s">
        <v>7199</v>
      </c>
      <c r="F387" s="1" t="s">
        <v>5366</v>
      </c>
      <c r="G387" s="1" t="s">
        <v>7200</v>
      </c>
      <c r="H387" s="1" t="s">
        <v>7201</v>
      </c>
      <c r="I387" s="1" t="s">
        <v>4856</v>
      </c>
      <c r="J387" s="1" t="s">
        <v>7202</v>
      </c>
      <c r="K387" s="1" t="s">
        <v>7203</v>
      </c>
    </row>
    <row r="388" spans="1:11" ht="174" x14ac:dyDescent="0.35">
      <c r="A388" s="61"/>
      <c r="B388" s="61"/>
      <c r="C388" s="61"/>
      <c r="D388" s="1" t="s">
        <v>6236</v>
      </c>
      <c r="E388" s="1" t="s">
        <v>7204</v>
      </c>
      <c r="F388" s="1" t="s">
        <v>5366</v>
      </c>
      <c r="G388" s="1" t="s">
        <v>7205</v>
      </c>
      <c r="H388" s="1" t="s">
        <v>7206</v>
      </c>
      <c r="I388" s="1" t="s">
        <v>120</v>
      </c>
      <c r="J388" s="1" t="s">
        <v>7207</v>
      </c>
      <c r="K388" s="1" t="s">
        <v>7208</v>
      </c>
    </row>
    <row r="389" spans="1:11" ht="203" x14ac:dyDescent="0.35">
      <c r="A389" s="61"/>
      <c r="B389" s="61"/>
      <c r="C389" s="61"/>
      <c r="D389" s="1" t="s">
        <v>7209</v>
      </c>
      <c r="E389" s="1" t="s">
        <v>7210</v>
      </c>
      <c r="F389" s="1" t="s">
        <v>5366</v>
      </c>
      <c r="G389" s="1" t="s">
        <v>7211</v>
      </c>
      <c r="H389" s="1" t="s">
        <v>7212</v>
      </c>
      <c r="I389" s="1" t="s">
        <v>4856</v>
      </c>
      <c r="J389" s="1" t="s">
        <v>7213</v>
      </c>
      <c r="K389" s="1" t="s">
        <v>7214</v>
      </c>
    </row>
    <row r="390" spans="1:11" ht="159.5" x14ac:dyDescent="0.35">
      <c r="A390" s="61"/>
      <c r="B390" s="61"/>
      <c r="C390" s="61"/>
      <c r="D390" s="1" t="s">
        <v>7215</v>
      </c>
      <c r="E390" s="1" t="s">
        <v>7216</v>
      </c>
      <c r="F390" s="1" t="s">
        <v>5366</v>
      </c>
      <c r="G390" s="1" t="s">
        <v>7217</v>
      </c>
      <c r="H390" s="1" t="s">
        <v>7218</v>
      </c>
      <c r="I390" s="1" t="s">
        <v>120</v>
      </c>
      <c r="J390" s="1" t="s">
        <v>7219</v>
      </c>
      <c r="K390" s="1" t="s">
        <v>7220</v>
      </c>
    </row>
    <row r="391" spans="1:11" ht="174" x14ac:dyDescent="0.35">
      <c r="A391" s="61"/>
      <c r="B391" s="61"/>
      <c r="C391" s="62" t="s">
        <v>7221</v>
      </c>
      <c r="D391" s="1" t="s">
        <v>7222</v>
      </c>
      <c r="E391" s="1" t="s">
        <v>7223</v>
      </c>
      <c r="F391" s="1" t="s">
        <v>5366</v>
      </c>
      <c r="G391" s="1" t="s">
        <v>7224</v>
      </c>
      <c r="H391" s="1" t="s">
        <v>7225</v>
      </c>
      <c r="I391" s="1" t="s">
        <v>4856</v>
      </c>
      <c r="J391" s="1" t="s">
        <v>7226</v>
      </c>
      <c r="K391" s="1" t="s">
        <v>7227</v>
      </c>
    </row>
    <row r="392" spans="1:11" ht="174" x14ac:dyDescent="0.35">
      <c r="A392" s="61"/>
      <c r="B392" s="61"/>
      <c r="C392" s="61"/>
      <c r="D392" s="1" t="s">
        <v>7228</v>
      </c>
      <c r="E392" s="1" t="s">
        <v>7229</v>
      </c>
      <c r="F392" s="1" t="s">
        <v>5366</v>
      </c>
      <c r="G392" s="1" t="s">
        <v>7230</v>
      </c>
      <c r="H392" s="1" t="s">
        <v>7231</v>
      </c>
      <c r="I392" s="1" t="s">
        <v>120</v>
      </c>
      <c r="J392" s="1" t="s">
        <v>7232</v>
      </c>
      <c r="K392" s="1" t="s">
        <v>7233</v>
      </c>
    </row>
    <row r="393" spans="1:11" ht="145" x14ac:dyDescent="0.35">
      <c r="A393" s="61"/>
      <c r="B393" s="61"/>
      <c r="C393" s="61"/>
      <c r="D393" s="1" t="s">
        <v>7234</v>
      </c>
      <c r="E393" s="1" t="s">
        <v>7235</v>
      </c>
      <c r="F393" s="1" t="s">
        <v>5366</v>
      </c>
      <c r="G393" s="1" t="s">
        <v>7236</v>
      </c>
      <c r="H393" s="1" t="s">
        <v>7237</v>
      </c>
      <c r="I393" s="1" t="s">
        <v>120</v>
      </c>
      <c r="J393" s="1" t="s">
        <v>7238</v>
      </c>
      <c r="K393" s="1" t="s">
        <v>7239</v>
      </c>
    </row>
    <row r="394" spans="1:11" ht="203" x14ac:dyDescent="0.35">
      <c r="A394" s="61"/>
      <c r="B394" s="61"/>
      <c r="C394" s="61"/>
      <c r="D394" s="1" t="s">
        <v>7240</v>
      </c>
      <c r="E394" s="1" t="s">
        <v>7241</v>
      </c>
      <c r="F394" s="1" t="s">
        <v>5366</v>
      </c>
      <c r="G394" s="1" t="s">
        <v>7242</v>
      </c>
      <c r="H394" s="1" t="s">
        <v>7243</v>
      </c>
      <c r="I394" s="1" t="s">
        <v>4856</v>
      </c>
      <c r="J394" s="1" t="s">
        <v>7244</v>
      </c>
      <c r="K394" s="1" t="s">
        <v>7245</v>
      </c>
    </row>
    <row r="395" spans="1:11" ht="159.5" x14ac:dyDescent="0.35">
      <c r="A395" s="61"/>
      <c r="B395" s="61"/>
      <c r="C395" s="61"/>
      <c r="D395" s="1" t="s">
        <v>7246</v>
      </c>
      <c r="E395" s="1" t="s">
        <v>7247</v>
      </c>
      <c r="F395" s="1" t="s">
        <v>5366</v>
      </c>
      <c r="G395" s="1" t="s">
        <v>7248</v>
      </c>
      <c r="H395" s="1" t="s">
        <v>7249</v>
      </c>
      <c r="I395" s="1" t="s">
        <v>120</v>
      </c>
      <c r="J395" s="1" t="s">
        <v>7250</v>
      </c>
      <c r="K395" s="1" t="s">
        <v>7251</v>
      </c>
    </row>
    <row r="396" spans="1:11" ht="174" x14ac:dyDescent="0.35">
      <c r="A396" s="61"/>
      <c r="B396" s="61"/>
      <c r="C396" s="62" t="s">
        <v>7252</v>
      </c>
      <c r="D396" s="1" t="s">
        <v>7253</v>
      </c>
      <c r="E396" s="1" t="s">
        <v>7254</v>
      </c>
      <c r="F396" s="1" t="s">
        <v>5366</v>
      </c>
      <c r="G396" s="1" t="s">
        <v>7255</v>
      </c>
      <c r="H396" s="1" t="s">
        <v>7256</v>
      </c>
      <c r="I396" s="1" t="s">
        <v>4856</v>
      </c>
      <c r="J396" s="1" t="s">
        <v>7257</v>
      </c>
      <c r="K396" s="1" t="s">
        <v>7258</v>
      </c>
    </row>
    <row r="397" spans="1:11" ht="159.5" x14ac:dyDescent="0.35">
      <c r="A397" s="61"/>
      <c r="B397" s="61"/>
      <c r="C397" s="61"/>
      <c r="D397" s="1" t="s">
        <v>7259</v>
      </c>
      <c r="E397" s="1" t="s">
        <v>7260</v>
      </c>
      <c r="F397" s="1" t="s">
        <v>5366</v>
      </c>
      <c r="G397" s="1" t="s">
        <v>7261</v>
      </c>
      <c r="H397" s="1" t="s">
        <v>7262</v>
      </c>
      <c r="I397" s="1" t="s">
        <v>120</v>
      </c>
      <c r="J397" s="1" t="s">
        <v>7263</v>
      </c>
      <c r="K397" s="1" t="s">
        <v>7264</v>
      </c>
    </row>
    <row r="398" spans="1:11" ht="217.5" x14ac:dyDescent="0.35">
      <c r="A398" s="61"/>
      <c r="B398" s="61"/>
      <c r="C398" s="61"/>
      <c r="D398" s="1" t="s">
        <v>7265</v>
      </c>
      <c r="E398" s="1" t="s">
        <v>7266</v>
      </c>
      <c r="F398" s="1" t="s">
        <v>5366</v>
      </c>
      <c r="G398" s="1" t="s">
        <v>7267</v>
      </c>
      <c r="H398" s="1" t="s">
        <v>7268</v>
      </c>
      <c r="I398" s="1" t="s">
        <v>4856</v>
      </c>
      <c r="J398" s="1" t="s">
        <v>7269</v>
      </c>
      <c r="K398" s="1" t="s">
        <v>7270</v>
      </c>
    </row>
    <row r="399" spans="1:11" ht="130.5" x14ac:dyDescent="0.35">
      <c r="A399" s="61"/>
      <c r="B399" s="61"/>
      <c r="C399" s="61"/>
      <c r="D399" s="1" t="s">
        <v>7271</v>
      </c>
      <c r="E399" s="1" t="s">
        <v>7272</v>
      </c>
      <c r="F399" s="1" t="s">
        <v>5366</v>
      </c>
      <c r="G399" s="1" t="s">
        <v>7273</v>
      </c>
      <c r="H399" s="1" t="s">
        <v>7274</v>
      </c>
      <c r="I399" s="1" t="s">
        <v>120</v>
      </c>
      <c r="J399" s="1" t="s">
        <v>7275</v>
      </c>
      <c r="K399" s="1" t="s">
        <v>7276</v>
      </c>
    </row>
    <row r="400" spans="1:11" ht="188.5" x14ac:dyDescent="0.35">
      <c r="A400" s="61"/>
      <c r="B400" s="61"/>
      <c r="C400" s="61"/>
      <c r="D400" s="1" t="s">
        <v>7277</v>
      </c>
      <c r="E400" s="1" t="s">
        <v>7278</v>
      </c>
      <c r="F400" s="1" t="s">
        <v>5366</v>
      </c>
      <c r="G400" s="1" t="s">
        <v>7279</v>
      </c>
      <c r="H400" s="1" t="s">
        <v>7280</v>
      </c>
      <c r="I400" s="1" t="s">
        <v>4856</v>
      </c>
      <c r="J400" s="1" t="s">
        <v>7281</v>
      </c>
      <c r="K400" s="1" t="s">
        <v>7282</v>
      </c>
    </row>
    <row r="401" spans="1:11" ht="145" x14ac:dyDescent="0.35">
      <c r="A401" s="61"/>
      <c r="B401" s="61"/>
      <c r="C401" s="61" t="s">
        <v>7283</v>
      </c>
      <c r="D401" s="1" t="s">
        <v>7284</v>
      </c>
      <c r="E401" s="1" t="s">
        <v>7285</v>
      </c>
      <c r="F401" s="1" t="s">
        <v>5366</v>
      </c>
      <c r="G401" s="1" t="s">
        <v>7286</v>
      </c>
      <c r="H401" s="1" t="s">
        <v>7287</v>
      </c>
      <c r="I401" s="1" t="s">
        <v>4856</v>
      </c>
      <c r="J401" s="1" t="s">
        <v>7288</v>
      </c>
      <c r="K401" s="1" t="s">
        <v>7289</v>
      </c>
    </row>
    <row r="402" spans="1:11" ht="145" x14ac:dyDescent="0.35">
      <c r="A402" s="61"/>
      <c r="B402" s="61"/>
      <c r="C402" s="61"/>
      <c r="D402" s="1" t="s">
        <v>7290</v>
      </c>
      <c r="E402" s="1" t="s">
        <v>7291</v>
      </c>
      <c r="F402" s="1" t="s">
        <v>5366</v>
      </c>
      <c r="G402" s="1" t="s">
        <v>7292</v>
      </c>
      <c r="H402" s="1" t="s">
        <v>7293</v>
      </c>
      <c r="I402" s="1" t="s">
        <v>4856</v>
      </c>
      <c r="J402" s="1" t="s">
        <v>7294</v>
      </c>
      <c r="K402" s="1" t="s">
        <v>7295</v>
      </c>
    </row>
    <row r="403" spans="1:11" ht="145" x14ac:dyDescent="0.35">
      <c r="A403" s="61"/>
      <c r="B403" s="61"/>
      <c r="C403" s="61"/>
      <c r="D403" s="1" t="s">
        <v>7296</v>
      </c>
      <c r="E403" s="1" t="s">
        <v>7297</v>
      </c>
      <c r="F403" s="1" t="s">
        <v>5366</v>
      </c>
      <c r="G403" s="1" t="s">
        <v>7298</v>
      </c>
      <c r="H403" s="1" t="s">
        <v>7299</v>
      </c>
      <c r="I403" s="1" t="s">
        <v>4856</v>
      </c>
      <c r="J403" s="1" t="s">
        <v>7300</v>
      </c>
      <c r="K403" s="1" t="s">
        <v>7301</v>
      </c>
    </row>
    <row r="404" spans="1:11" ht="130.5" x14ac:dyDescent="0.35">
      <c r="A404" s="61"/>
      <c r="B404" s="61"/>
      <c r="C404" s="61"/>
      <c r="D404" s="1" t="s">
        <v>7302</v>
      </c>
      <c r="E404" s="1" t="s">
        <v>7303</v>
      </c>
      <c r="F404" s="1" t="s">
        <v>5366</v>
      </c>
      <c r="G404" s="1" t="s">
        <v>7304</v>
      </c>
      <c r="H404" s="1" t="s">
        <v>7305</v>
      </c>
      <c r="I404" s="1" t="s">
        <v>120</v>
      </c>
      <c r="J404" s="1" t="s">
        <v>7306</v>
      </c>
      <c r="K404" s="1" t="s">
        <v>7307</v>
      </c>
    </row>
    <row r="405" spans="1:11" ht="188.5" x14ac:dyDescent="0.35">
      <c r="A405" s="61"/>
      <c r="B405" s="61"/>
      <c r="C405" s="61"/>
      <c r="D405" s="1" t="s">
        <v>7308</v>
      </c>
      <c r="E405" s="1" t="s">
        <v>7309</v>
      </c>
      <c r="F405" s="1" t="s">
        <v>5366</v>
      </c>
      <c r="G405" s="1" t="s">
        <v>7310</v>
      </c>
      <c r="H405" s="1" t="s">
        <v>7311</v>
      </c>
      <c r="I405" s="1" t="s">
        <v>120</v>
      </c>
      <c r="J405" s="1" t="s">
        <v>7312</v>
      </c>
      <c r="K405" s="1" t="s">
        <v>7313</v>
      </c>
    </row>
    <row r="406" spans="1:11" ht="116" x14ac:dyDescent="0.35">
      <c r="A406" s="61"/>
      <c r="B406" s="61"/>
      <c r="C406" s="61" t="s">
        <v>7314</v>
      </c>
      <c r="D406" s="1" t="s">
        <v>7315</v>
      </c>
      <c r="E406" s="1" t="s">
        <v>7316</v>
      </c>
      <c r="F406" s="1" t="s">
        <v>5366</v>
      </c>
      <c r="G406" s="1" t="s">
        <v>7317</v>
      </c>
      <c r="H406" s="1" t="s">
        <v>7318</v>
      </c>
      <c r="I406" s="1" t="s">
        <v>4856</v>
      </c>
      <c r="J406" s="1" t="s">
        <v>7319</v>
      </c>
      <c r="K406" s="1" t="s">
        <v>7320</v>
      </c>
    </row>
    <row r="407" spans="1:11" ht="159.5" x14ac:dyDescent="0.35">
      <c r="A407" s="61"/>
      <c r="B407" s="61"/>
      <c r="C407" s="61"/>
      <c r="D407" s="1" t="s">
        <v>7321</v>
      </c>
      <c r="E407" s="1" t="s">
        <v>7322</v>
      </c>
      <c r="F407" s="1" t="s">
        <v>5366</v>
      </c>
      <c r="G407" s="1" t="s">
        <v>7323</v>
      </c>
      <c r="H407" s="1" t="s">
        <v>7324</v>
      </c>
      <c r="I407" s="1" t="s">
        <v>120</v>
      </c>
      <c r="J407" s="1" t="s">
        <v>7325</v>
      </c>
      <c r="K407" s="1" t="s">
        <v>7326</v>
      </c>
    </row>
    <row r="408" spans="1:11" ht="145" x14ac:dyDescent="0.35">
      <c r="A408" s="61"/>
      <c r="B408" s="61"/>
      <c r="C408" s="61"/>
      <c r="D408" s="1" t="s">
        <v>7327</v>
      </c>
      <c r="E408" s="1" t="s">
        <v>7328</v>
      </c>
      <c r="F408" s="1" t="s">
        <v>5366</v>
      </c>
      <c r="G408" s="1" t="s">
        <v>7329</v>
      </c>
      <c r="H408" s="1" t="s">
        <v>7330</v>
      </c>
      <c r="I408" s="1" t="s">
        <v>4856</v>
      </c>
      <c r="J408" s="1" t="s">
        <v>7331</v>
      </c>
      <c r="K408" s="1" t="s">
        <v>7332</v>
      </c>
    </row>
    <row r="409" spans="1:11" ht="232" x14ac:dyDescent="0.35">
      <c r="A409" s="61"/>
      <c r="B409" s="61"/>
      <c r="C409" s="61"/>
      <c r="D409" s="1" t="s">
        <v>7333</v>
      </c>
      <c r="E409" s="1" t="s">
        <v>7334</v>
      </c>
      <c r="F409" s="1" t="s">
        <v>5366</v>
      </c>
      <c r="G409" s="1" t="s">
        <v>7335</v>
      </c>
      <c r="H409" s="1" t="s">
        <v>7336</v>
      </c>
      <c r="I409" s="1" t="s">
        <v>120</v>
      </c>
      <c r="J409" s="1" t="s">
        <v>7337</v>
      </c>
      <c r="K409" s="1" t="s">
        <v>7338</v>
      </c>
    </row>
    <row r="410" spans="1:11" ht="159.5" x14ac:dyDescent="0.35">
      <c r="A410" s="61"/>
      <c r="B410" s="61"/>
      <c r="C410" s="61"/>
      <c r="D410" s="1" t="s">
        <v>7339</v>
      </c>
      <c r="E410" s="1" t="s">
        <v>7340</v>
      </c>
      <c r="F410" s="1" t="s">
        <v>5366</v>
      </c>
      <c r="G410" s="1" t="s">
        <v>7341</v>
      </c>
      <c r="H410" s="1" t="s">
        <v>7342</v>
      </c>
      <c r="I410" s="1" t="s">
        <v>4856</v>
      </c>
      <c r="J410" s="1" t="s">
        <v>7343</v>
      </c>
      <c r="K410" s="1" t="s">
        <v>7344</v>
      </c>
    </row>
    <row r="411" spans="1:11" ht="130.5" x14ac:dyDescent="0.35">
      <c r="A411" s="61"/>
      <c r="B411" s="61"/>
      <c r="C411" s="62" t="s">
        <v>7345</v>
      </c>
      <c r="D411" s="1" t="s">
        <v>7346</v>
      </c>
      <c r="E411" s="1" t="s">
        <v>7347</v>
      </c>
      <c r="F411" s="1" t="s">
        <v>5366</v>
      </c>
      <c r="G411" s="1" t="s">
        <v>7348</v>
      </c>
      <c r="H411" s="1" t="s">
        <v>7349</v>
      </c>
      <c r="I411" s="1" t="s">
        <v>4856</v>
      </c>
      <c r="J411" s="1" t="s">
        <v>7350</v>
      </c>
      <c r="K411" s="1" t="s">
        <v>7351</v>
      </c>
    </row>
    <row r="412" spans="1:11" ht="130.5" x14ac:dyDescent="0.35">
      <c r="A412" s="61"/>
      <c r="B412" s="61"/>
      <c r="C412" s="61"/>
      <c r="D412" s="1" t="s">
        <v>7352</v>
      </c>
      <c r="E412" s="1" t="s">
        <v>7353</v>
      </c>
      <c r="F412" s="1" t="s">
        <v>5366</v>
      </c>
      <c r="G412" s="1" t="s">
        <v>7354</v>
      </c>
      <c r="H412" s="1" t="s">
        <v>7355</v>
      </c>
      <c r="I412" s="1" t="s">
        <v>4856</v>
      </c>
      <c r="J412" s="1" t="s">
        <v>7356</v>
      </c>
      <c r="K412" s="1" t="s">
        <v>7357</v>
      </c>
    </row>
    <row r="413" spans="1:11" ht="116" x14ac:dyDescent="0.35">
      <c r="A413" s="61"/>
      <c r="B413" s="61"/>
      <c r="C413" s="61"/>
      <c r="D413" s="1" t="s">
        <v>7358</v>
      </c>
      <c r="E413" s="1" t="s">
        <v>7359</v>
      </c>
      <c r="F413" s="1" t="s">
        <v>5366</v>
      </c>
      <c r="G413" s="1" t="s">
        <v>7360</v>
      </c>
      <c r="H413" s="1" t="s">
        <v>7361</v>
      </c>
      <c r="I413" s="1" t="s">
        <v>4856</v>
      </c>
      <c r="J413" s="1" t="s">
        <v>7362</v>
      </c>
      <c r="K413" s="1" t="s">
        <v>7363</v>
      </c>
    </row>
    <row r="414" spans="1:11" ht="145" x14ac:dyDescent="0.35">
      <c r="A414" s="61"/>
      <c r="B414" s="61"/>
      <c r="C414" s="61"/>
      <c r="D414" s="1" t="s">
        <v>7364</v>
      </c>
      <c r="E414" s="1" t="s">
        <v>7365</v>
      </c>
      <c r="F414" s="1" t="s">
        <v>5366</v>
      </c>
      <c r="G414" s="1" t="s">
        <v>7366</v>
      </c>
      <c r="H414" s="1" t="s">
        <v>7367</v>
      </c>
      <c r="I414" s="1" t="s">
        <v>4856</v>
      </c>
      <c r="J414" s="1" t="s">
        <v>7368</v>
      </c>
      <c r="K414" s="1" t="s">
        <v>7369</v>
      </c>
    </row>
    <row r="415" spans="1:11" ht="116" x14ac:dyDescent="0.35">
      <c r="A415" s="61"/>
      <c r="B415" s="61"/>
      <c r="C415" s="61"/>
      <c r="D415" s="1" t="s">
        <v>7370</v>
      </c>
      <c r="E415" s="1" t="s">
        <v>7371</v>
      </c>
      <c r="F415" s="1" t="s">
        <v>5366</v>
      </c>
      <c r="G415" s="1" t="s">
        <v>7372</v>
      </c>
      <c r="H415" s="1" t="s">
        <v>7373</v>
      </c>
      <c r="I415" s="1" t="s">
        <v>120</v>
      </c>
      <c r="J415" s="1" t="s">
        <v>7374</v>
      </c>
      <c r="K415" s="1" t="s">
        <v>7375</v>
      </c>
    </row>
    <row r="416" spans="1:11" ht="145" x14ac:dyDescent="0.35">
      <c r="A416" s="61"/>
      <c r="B416" s="61"/>
      <c r="C416" s="62" t="s">
        <v>7376</v>
      </c>
      <c r="D416" s="1" t="s">
        <v>7377</v>
      </c>
      <c r="E416" s="1" t="s">
        <v>7378</v>
      </c>
      <c r="F416" s="1" t="s">
        <v>5366</v>
      </c>
      <c r="G416" s="1" t="s">
        <v>7379</v>
      </c>
      <c r="H416" s="1" t="s">
        <v>7380</v>
      </c>
      <c r="I416" s="1" t="s">
        <v>4856</v>
      </c>
      <c r="J416" s="1" t="s">
        <v>7381</v>
      </c>
      <c r="K416" s="1" t="s">
        <v>7382</v>
      </c>
    </row>
    <row r="417" spans="1:11" ht="130.5" x14ac:dyDescent="0.35">
      <c r="A417" s="61"/>
      <c r="B417" s="61"/>
      <c r="C417" s="61"/>
      <c r="D417" s="1" t="s">
        <v>7383</v>
      </c>
      <c r="E417" s="1" t="s">
        <v>7384</v>
      </c>
      <c r="F417" s="1" t="s">
        <v>5366</v>
      </c>
      <c r="G417" s="1" t="s">
        <v>7385</v>
      </c>
      <c r="H417" s="1" t="s">
        <v>7386</v>
      </c>
      <c r="I417" s="1" t="s">
        <v>120</v>
      </c>
      <c r="J417" s="1" t="s">
        <v>7387</v>
      </c>
      <c r="K417" s="1" t="s">
        <v>7388</v>
      </c>
    </row>
    <row r="418" spans="1:11" ht="145" x14ac:dyDescent="0.35">
      <c r="A418" s="61"/>
      <c r="B418" s="61"/>
      <c r="C418" s="61"/>
      <c r="D418" s="1" t="s">
        <v>7352</v>
      </c>
      <c r="E418" s="1" t="s">
        <v>7389</v>
      </c>
      <c r="F418" s="1" t="s">
        <v>5366</v>
      </c>
      <c r="G418" s="1" t="s">
        <v>7390</v>
      </c>
      <c r="H418" s="1" t="s">
        <v>7391</v>
      </c>
      <c r="I418" s="1" t="s">
        <v>4856</v>
      </c>
      <c r="J418" s="1" t="s">
        <v>7392</v>
      </c>
      <c r="K418" s="1" t="s">
        <v>7393</v>
      </c>
    </row>
    <row r="419" spans="1:11" ht="174" x14ac:dyDescent="0.35">
      <c r="A419" s="61"/>
      <c r="B419" s="61"/>
      <c r="C419" s="61"/>
      <c r="D419" s="1" t="s">
        <v>7394</v>
      </c>
      <c r="E419" s="1" t="s">
        <v>7395</v>
      </c>
      <c r="F419" s="1" t="s">
        <v>5366</v>
      </c>
      <c r="G419" s="1" t="s">
        <v>7396</v>
      </c>
      <c r="H419" s="1" t="s">
        <v>7397</v>
      </c>
      <c r="I419" s="1" t="s">
        <v>4856</v>
      </c>
      <c r="J419" s="1" t="s">
        <v>7398</v>
      </c>
      <c r="K419" s="1" t="s">
        <v>7399</v>
      </c>
    </row>
    <row r="420" spans="1:11" ht="116" x14ac:dyDescent="0.35">
      <c r="A420" s="61"/>
      <c r="B420" s="61"/>
      <c r="C420" s="61"/>
      <c r="D420" s="1" t="s">
        <v>7400</v>
      </c>
      <c r="E420" s="1" t="s">
        <v>7401</v>
      </c>
      <c r="F420" s="1" t="s">
        <v>5366</v>
      </c>
      <c r="G420" s="1" t="s">
        <v>7402</v>
      </c>
      <c r="H420" s="1" t="s">
        <v>7403</v>
      </c>
      <c r="I420" s="1" t="s">
        <v>120</v>
      </c>
      <c r="J420" s="1" t="s">
        <v>7404</v>
      </c>
      <c r="K420" s="1" t="s">
        <v>7405</v>
      </c>
    </row>
    <row r="421" spans="1:11" ht="116" x14ac:dyDescent="0.35">
      <c r="A421" s="61"/>
      <c r="B421" s="61" t="s">
        <v>7406</v>
      </c>
      <c r="C421" s="61" t="s">
        <v>7407</v>
      </c>
      <c r="D421" s="1" t="s">
        <v>7408</v>
      </c>
      <c r="E421" s="1" t="s">
        <v>7409</v>
      </c>
      <c r="F421" s="1" t="s">
        <v>5366</v>
      </c>
      <c r="G421" s="1" t="s">
        <v>7410</v>
      </c>
      <c r="H421" s="1" t="s">
        <v>7411</v>
      </c>
      <c r="I421" s="1" t="s">
        <v>4856</v>
      </c>
      <c r="J421" s="1" t="s">
        <v>7412</v>
      </c>
      <c r="K421" s="1" t="s">
        <v>7413</v>
      </c>
    </row>
    <row r="422" spans="1:11" ht="116" x14ac:dyDescent="0.35">
      <c r="A422" s="61"/>
      <c r="B422" s="61"/>
      <c r="C422" s="61"/>
      <c r="D422" s="1" t="s">
        <v>7414</v>
      </c>
      <c r="E422" s="1" t="s">
        <v>7415</v>
      </c>
      <c r="F422" s="1" t="s">
        <v>5366</v>
      </c>
      <c r="G422" s="1" t="s">
        <v>7416</v>
      </c>
      <c r="H422" s="1" t="s">
        <v>7417</v>
      </c>
      <c r="I422" s="1" t="s">
        <v>120</v>
      </c>
      <c r="J422" s="1" t="s">
        <v>7418</v>
      </c>
      <c r="K422" s="1" t="s">
        <v>7419</v>
      </c>
    </row>
    <row r="423" spans="1:11" ht="116" x14ac:dyDescent="0.35">
      <c r="A423" s="61"/>
      <c r="B423" s="61"/>
      <c r="C423" s="61"/>
      <c r="D423" s="1" t="s">
        <v>7420</v>
      </c>
      <c r="E423" s="1" t="s">
        <v>7421</v>
      </c>
      <c r="F423" s="1" t="s">
        <v>5366</v>
      </c>
      <c r="G423" s="1" t="s">
        <v>7422</v>
      </c>
      <c r="H423" s="1" t="s">
        <v>7423</v>
      </c>
      <c r="I423" s="1" t="s">
        <v>120</v>
      </c>
      <c r="J423" s="1" t="s">
        <v>7424</v>
      </c>
      <c r="K423" s="1" t="s">
        <v>7425</v>
      </c>
    </row>
    <row r="424" spans="1:11" ht="130.5" x14ac:dyDescent="0.35">
      <c r="A424" s="61"/>
      <c r="B424" s="61"/>
      <c r="C424" s="61"/>
      <c r="D424" s="1" t="s">
        <v>7426</v>
      </c>
      <c r="E424" s="1" t="s">
        <v>7427</v>
      </c>
      <c r="F424" s="1" t="s">
        <v>5366</v>
      </c>
      <c r="G424" s="1" t="s">
        <v>7428</v>
      </c>
      <c r="H424" s="1" t="s">
        <v>7429</v>
      </c>
      <c r="I424" s="1" t="s">
        <v>120</v>
      </c>
      <c r="J424" s="1" t="s">
        <v>7430</v>
      </c>
      <c r="K424" s="1" t="s">
        <v>7431</v>
      </c>
    </row>
    <row r="425" spans="1:11" ht="130.5" x14ac:dyDescent="0.35">
      <c r="A425" s="61"/>
      <c r="B425" s="61"/>
      <c r="C425" s="61"/>
      <c r="D425" s="1" t="s">
        <v>7432</v>
      </c>
      <c r="E425" s="1" t="s">
        <v>7433</v>
      </c>
      <c r="F425" s="1" t="s">
        <v>5366</v>
      </c>
      <c r="G425" s="1" t="s">
        <v>7434</v>
      </c>
      <c r="H425" s="1" t="s">
        <v>7435</v>
      </c>
      <c r="I425" s="1" t="s">
        <v>120</v>
      </c>
      <c r="J425" s="1" t="s">
        <v>7436</v>
      </c>
      <c r="K425" s="1" t="s">
        <v>7437</v>
      </c>
    </row>
    <row r="426" spans="1:11" ht="145" x14ac:dyDescent="0.35">
      <c r="A426" s="61"/>
      <c r="B426" s="61"/>
      <c r="C426" s="62" t="s">
        <v>7193</v>
      </c>
      <c r="D426" s="1" t="s">
        <v>7438</v>
      </c>
      <c r="E426" s="1" t="s">
        <v>7439</v>
      </c>
      <c r="F426" s="1" t="s">
        <v>5366</v>
      </c>
      <c r="G426" s="1" t="s">
        <v>7440</v>
      </c>
      <c r="H426" s="1" t="s">
        <v>7441</v>
      </c>
      <c r="I426" s="1" t="s">
        <v>4856</v>
      </c>
      <c r="J426" s="1" t="s">
        <v>7442</v>
      </c>
      <c r="K426" s="1" t="s">
        <v>7443</v>
      </c>
    </row>
    <row r="427" spans="1:11" ht="87" x14ac:dyDescent="0.35">
      <c r="A427" s="61"/>
      <c r="B427" s="61"/>
      <c r="C427" s="61"/>
      <c r="D427" s="1" t="s">
        <v>7444</v>
      </c>
      <c r="E427" s="1" t="s">
        <v>7445</v>
      </c>
      <c r="F427" s="1" t="s">
        <v>5366</v>
      </c>
      <c r="G427" s="1" t="s">
        <v>7446</v>
      </c>
      <c r="H427" s="1" t="s">
        <v>7447</v>
      </c>
      <c r="I427" s="1" t="s">
        <v>120</v>
      </c>
      <c r="J427" s="1" t="s">
        <v>7448</v>
      </c>
      <c r="K427" s="1" t="s">
        <v>7449</v>
      </c>
    </row>
    <row r="428" spans="1:11" ht="101.5" x14ac:dyDescent="0.35">
      <c r="A428" s="61"/>
      <c r="B428" s="61"/>
      <c r="C428" s="61"/>
      <c r="D428" s="1" t="s">
        <v>7450</v>
      </c>
      <c r="E428" s="1" t="s">
        <v>7451</v>
      </c>
      <c r="F428" s="1" t="s">
        <v>5366</v>
      </c>
      <c r="G428" s="1" t="s">
        <v>7452</v>
      </c>
      <c r="H428" s="1" t="s">
        <v>7453</v>
      </c>
      <c r="I428" s="1" t="s">
        <v>120</v>
      </c>
      <c r="J428" s="1" t="s">
        <v>7454</v>
      </c>
      <c r="K428" s="1" t="s">
        <v>7455</v>
      </c>
    </row>
    <row r="429" spans="1:11" ht="101.5" x14ac:dyDescent="0.35">
      <c r="A429" s="61"/>
      <c r="B429" s="61"/>
      <c r="C429" s="61"/>
      <c r="D429" s="1" t="s">
        <v>7456</v>
      </c>
      <c r="E429" s="1" t="s">
        <v>7457</v>
      </c>
      <c r="F429" s="1" t="s">
        <v>5366</v>
      </c>
      <c r="G429" s="1" t="s">
        <v>7458</v>
      </c>
      <c r="H429" s="1" t="s">
        <v>7459</v>
      </c>
      <c r="I429" s="1" t="s">
        <v>4856</v>
      </c>
      <c r="J429" s="1" t="s">
        <v>7460</v>
      </c>
      <c r="K429" s="1" t="s">
        <v>7461</v>
      </c>
    </row>
    <row r="430" spans="1:11" ht="130.5" x14ac:dyDescent="0.35">
      <c r="A430" s="61"/>
      <c r="B430" s="61"/>
      <c r="C430" s="61"/>
      <c r="D430" s="1" t="s">
        <v>7462</v>
      </c>
      <c r="E430" s="1" t="s">
        <v>7463</v>
      </c>
      <c r="F430" s="1" t="s">
        <v>5366</v>
      </c>
      <c r="G430" s="1" t="s">
        <v>7464</v>
      </c>
      <c r="H430" s="1" t="s">
        <v>7465</v>
      </c>
      <c r="I430" s="1" t="s">
        <v>120</v>
      </c>
      <c r="J430" s="1" t="s">
        <v>7466</v>
      </c>
      <c r="K430" s="1" t="s">
        <v>7467</v>
      </c>
    </row>
    <row r="431" spans="1:11" ht="145" x14ac:dyDescent="0.35">
      <c r="A431" s="61"/>
      <c r="B431" s="61"/>
      <c r="C431" s="62" t="s">
        <v>7468</v>
      </c>
      <c r="D431" s="1" t="s">
        <v>7469</v>
      </c>
      <c r="E431" s="1" t="s">
        <v>7470</v>
      </c>
      <c r="F431" s="1" t="s">
        <v>5366</v>
      </c>
      <c r="G431" s="1" t="s">
        <v>7471</v>
      </c>
      <c r="H431" s="1" t="s">
        <v>7472</v>
      </c>
      <c r="I431" s="1" t="s">
        <v>4856</v>
      </c>
      <c r="J431" s="1" t="s">
        <v>7473</v>
      </c>
      <c r="K431" s="1" t="s">
        <v>7474</v>
      </c>
    </row>
    <row r="432" spans="1:11" ht="101.5" x14ac:dyDescent="0.35">
      <c r="A432" s="61"/>
      <c r="B432" s="61"/>
      <c r="C432" s="61"/>
      <c r="D432" s="1" t="s">
        <v>7475</v>
      </c>
      <c r="E432" s="1" t="s">
        <v>7476</v>
      </c>
      <c r="F432" s="1" t="s">
        <v>5366</v>
      </c>
      <c r="G432" s="1" t="s">
        <v>7477</v>
      </c>
      <c r="H432" s="1" t="s">
        <v>7478</v>
      </c>
      <c r="I432" s="1" t="s">
        <v>120</v>
      </c>
      <c r="J432" s="1" t="s">
        <v>7479</v>
      </c>
      <c r="K432" s="1" t="s">
        <v>7480</v>
      </c>
    </row>
    <row r="433" spans="1:11" ht="145" x14ac:dyDescent="0.35">
      <c r="A433" s="61"/>
      <c r="B433" s="61"/>
      <c r="C433" s="61"/>
      <c r="D433" s="1" t="s">
        <v>7481</v>
      </c>
      <c r="E433" s="1" t="s">
        <v>7482</v>
      </c>
      <c r="F433" s="1" t="s">
        <v>5366</v>
      </c>
      <c r="G433" s="1" t="s">
        <v>7483</v>
      </c>
      <c r="H433" s="1" t="s">
        <v>7484</v>
      </c>
      <c r="I433" s="1" t="s">
        <v>120</v>
      </c>
      <c r="J433" s="1" t="s">
        <v>7485</v>
      </c>
      <c r="K433" s="1" t="s">
        <v>7486</v>
      </c>
    </row>
    <row r="434" spans="1:11" ht="145" x14ac:dyDescent="0.35">
      <c r="A434" s="61"/>
      <c r="B434" s="61"/>
      <c r="C434" s="61"/>
      <c r="D434" s="1" t="s">
        <v>7487</v>
      </c>
      <c r="E434" s="1" t="s">
        <v>7488</v>
      </c>
      <c r="F434" s="1" t="s">
        <v>5366</v>
      </c>
      <c r="G434" s="1" t="s">
        <v>7489</v>
      </c>
      <c r="H434" s="1" t="s">
        <v>7490</v>
      </c>
      <c r="I434" s="1" t="s">
        <v>120</v>
      </c>
      <c r="J434" s="1" t="s">
        <v>7491</v>
      </c>
      <c r="K434" s="1" t="s">
        <v>7492</v>
      </c>
    </row>
    <row r="435" spans="1:11" ht="130.5" x14ac:dyDescent="0.35">
      <c r="A435" s="61"/>
      <c r="B435" s="61"/>
      <c r="C435" s="61"/>
      <c r="D435" s="1" t="s">
        <v>7493</v>
      </c>
      <c r="E435" s="1" t="s">
        <v>7494</v>
      </c>
      <c r="F435" s="1" t="s">
        <v>5366</v>
      </c>
      <c r="G435" s="1" t="s">
        <v>7495</v>
      </c>
      <c r="H435" s="1" t="s">
        <v>7496</v>
      </c>
      <c r="I435" s="1" t="s">
        <v>120</v>
      </c>
      <c r="J435" s="1" t="s">
        <v>7497</v>
      </c>
      <c r="K435" s="1" t="s">
        <v>7498</v>
      </c>
    </row>
    <row r="436" spans="1:11" ht="145" x14ac:dyDescent="0.35">
      <c r="A436" s="61"/>
      <c r="B436" s="61"/>
      <c r="C436" s="62" t="s">
        <v>7499</v>
      </c>
      <c r="D436" s="1" t="s">
        <v>7469</v>
      </c>
      <c r="E436" s="1" t="s">
        <v>7470</v>
      </c>
      <c r="F436" s="1" t="s">
        <v>5366</v>
      </c>
      <c r="G436" s="1" t="s">
        <v>7471</v>
      </c>
      <c r="H436" s="1" t="s">
        <v>7472</v>
      </c>
      <c r="I436" s="1" t="s">
        <v>4856</v>
      </c>
      <c r="J436" s="1" t="s">
        <v>7473</v>
      </c>
      <c r="K436" s="1" t="s">
        <v>7474</v>
      </c>
    </row>
    <row r="437" spans="1:11" ht="101.5" x14ac:dyDescent="0.35">
      <c r="A437" s="61"/>
      <c r="B437" s="61"/>
      <c r="C437" s="61"/>
      <c r="D437" s="1" t="s">
        <v>7475</v>
      </c>
      <c r="E437" s="1" t="s">
        <v>7476</v>
      </c>
      <c r="F437" s="1" t="s">
        <v>5366</v>
      </c>
      <c r="G437" s="1" t="s">
        <v>7477</v>
      </c>
      <c r="H437" s="1" t="s">
        <v>7478</v>
      </c>
      <c r="I437" s="1" t="s">
        <v>120</v>
      </c>
      <c r="J437" s="1" t="s">
        <v>7479</v>
      </c>
      <c r="K437" s="1" t="s">
        <v>7480</v>
      </c>
    </row>
    <row r="438" spans="1:11" ht="145" x14ac:dyDescent="0.35">
      <c r="A438" s="61"/>
      <c r="B438" s="61"/>
      <c r="C438" s="61"/>
      <c r="D438" s="1" t="s">
        <v>7481</v>
      </c>
      <c r="E438" s="1" t="s">
        <v>7482</v>
      </c>
      <c r="F438" s="1" t="s">
        <v>5366</v>
      </c>
      <c r="G438" s="1" t="s">
        <v>7483</v>
      </c>
      <c r="H438" s="1" t="s">
        <v>7484</v>
      </c>
      <c r="I438" s="1" t="s">
        <v>120</v>
      </c>
      <c r="J438" s="1" t="s">
        <v>7485</v>
      </c>
      <c r="K438" s="1" t="s">
        <v>7486</v>
      </c>
    </row>
    <row r="439" spans="1:11" ht="145" x14ac:dyDescent="0.35">
      <c r="A439" s="61"/>
      <c r="B439" s="61"/>
      <c r="C439" s="61"/>
      <c r="D439" s="1" t="s">
        <v>7487</v>
      </c>
      <c r="E439" s="1" t="s">
        <v>7488</v>
      </c>
      <c r="F439" s="1" t="s">
        <v>5366</v>
      </c>
      <c r="G439" s="1" t="s">
        <v>7489</v>
      </c>
      <c r="H439" s="1" t="s">
        <v>7490</v>
      </c>
      <c r="I439" s="1" t="s">
        <v>120</v>
      </c>
      <c r="J439" s="1" t="s">
        <v>7491</v>
      </c>
      <c r="K439" s="1" t="s">
        <v>7492</v>
      </c>
    </row>
    <row r="440" spans="1:11" ht="130.5" x14ac:dyDescent="0.35">
      <c r="A440" s="61"/>
      <c r="B440" s="61"/>
      <c r="C440" s="61"/>
      <c r="D440" s="1" t="s">
        <v>7493</v>
      </c>
      <c r="E440" s="1" t="s">
        <v>7494</v>
      </c>
      <c r="F440" s="1" t="s">
        <v>5366</v>
      </c>
      <c r="G440" s="1" t="s">
        <v>7495</v>
      </c>
      <c r="H440" s="1" t="s">
        <v>7496</v>
      </c>
      <c r="I440" s="1" t="s">
        <v>120</v>
      </c>
      <c r="J440" s="1" t="s">
        <v>7497</v>
      </c>
      <c r="K440" s="1" t="s">
        <v>7498</v>
      </c>
    </row>
    <row r="441" spans="1:11" ht="145" x14ac:dyDescent="0.35">
      <c r="A441" s="61"/>
      <c r="B441" s="61"/>
      <c r="C441" s="62" t="s">
        <v>7500</v>
      </c>
      <c r="D441" s="1" t="s">
        <v>7501</v>
      </c>
      <c r="E441" s="1" t="s">
        <v>7502</v>
      </c>
      <c r="F441" s="1" t="s">
        <v>5366</v>
      </c>
      <c r="G441" s="1" t="s">
        <v>7503</v>
      </c>
      <c r="H441" s="1" t="s">
        <v>7504</v>
      </c>
      <c r="I441" s="1" t="s">
        <v>4856</v>
      </c>
      <c r="J441" s="1" t="s">
        <v>7505</v>
      </c>
      <c r="K441" s="1" t="s">
        <v>7506</v>
      </c>
    </row>
    <row r="442" spans="1:11" ht="130.5" x14ac:dyDescent="0.35">
      <c r="A442" s="61"/>
      <c r="B442" s="61"/>
      <c r="C442" s="61"/>
      <c r="D442" s="1" t="s">
        <v>7507</v>
      </c>
      <c r="E442" s="1" t="s">
        <v>7508</v>
      </c>
      <c r="F442" s="1" t="s">
        <v>5366</v>
      </c>
      <c r="G442" s="1" t="s">
        <v>7509</v>
      </c>
      <c r="H442" s="1" t="s">
        <v>7510</v>
      </c>
      <c r="I442" s="1" t="s">
        <v>120</v>
      </c>
      <c r="J442" s="1" t="s">
        <v>7511</v>
      </c>
      <c r="K442" s="1" t="s">
        <v>7512</v>
      </c>
    </row>
    <row r="443" spans="1:11" ht="116" x14ac:dyDescent="0.35">
      <c r="A443" s="61"/>
      <c r="B443" s="61"/>
      <c r="C443" s="61"/>
      <c r="D443" s="1" t="s">
        <v>7513</v>
      </c>
      <c r="E443" s="1" t="s">
        <v>7514</v>
      </c>
      <c r="F443" s="1" t="s">
        <v>5366</v>
      </c>
      <c r="G443" s="1" t="s">
        <v>7515</v>
      </c>
      <c r="H443" s="1" t="s">
        <v>7516</v>
      </c>
      <c r="I443" s="1" t="s">
        <v>120</v>
      </c>
      <c r="J443" s="1" t="s">
        <v>7517</v>
      </c>
      <c r="K443" s="1" t="s">
        <v>7518</v>
      </c>
    </row>
    <row r="444" spans="1:11" ht="116" x14ac:dyDescent="0.35">
      <c r="A444" s="61"/>
      <c r="B444" s="61"/>
      <c r="C444" s="61"/>
      <c r="D444" s="1" t="s">
        <v>7519</v>
      </c>
      <c r="E444" s="1" t="s">
        <v>7520</v>
      </c>
      <c r="F444" s="1" t="s">
        <v>5366</v>
      </c>
      <c r="G444" s="1" t="s">
        <v>7521</v>
      </c>
      <c r="H444" s="1" t="s">
        <v>7522</v>
      </c>
      <c r="I444" s="1" t="s">
        <v>120</v>
      </c>
      <c r="J444" s="1" t="s">
        <v>7523</v>
      </c>
      <c r="K444" s="1" t="s">
        <v>7524</v>
      </c>
    </row>
    <row r="445" spans="1:11" ht="145" x14ac:dyDescent="0.35">
      <c r="A445" s="61"/>
      <c r="B445" s="61"/>
      <c r="C445" s="61"/>
      <c r="D445" s="1" t="s">
        <v>7525</v>
      </c>
      <c r="E445" s="1" t="s">
        <v>7526</v>
      </c>
      <c r="F445" s="1" t="s">
        <v>5366</v>
      </c>
      <c r="G445" s="1" t="s">
        <v>7527</v>
      </c>
      <c r="H445" s="1" t="s">
        <v>7528</v>
      </c>
      <c r="I445" s="1" t="s">
        <v>120</v>
      </c>
      <c r="J445" s="1" t="s">
        <v>7529</v>
      </c>
      <c r="K445" s="1" t="s">
        <v>7530</v>
      </c>
    </row>
    <row r="446" spans="1:11" ht="145" x14ac:dyDescent="0.35">
      <c r="A446" s="61"/>
      <c r="B446" s="61"/>
      <c r="C446" s="61" t="s">
        <v>7531</v>
      </c>
      <c r="D446" s="1" t="s">
        <v>7532</v>
      </c>
      <c r="E446" s="1" t="s">
        <v>7533</v>
      </c>
      <c r="F446" s="1" t="s">
        <v>5366</v>
      </c>
      <c r="G446" s="1" t="s">
        <v>7534</v>
      </c>
      <c r="H446" s="1" t="s">
        <v>7535</v>
      </c>
      <c r="I446" s="1" t="s">
        <v>4856</v>
      </c>
      <c r="J446" s="1" t="s">
        <v>7536</v>
      </c>
      <c r="K446" s="1" t="s">
        <v>7537</v>
      </c>
    </row>
    <row r="447" spans="1:11" ht="145" x14ac:dyDescent="0.35">
      <c r="A447" s="61"/>
      <c r="B447" s="61"/>
      <c r="C447" s="61"/>
      <c r="D447" s="1" t="s">
        <v>7538</v>
      </c>
      <c r="E447" s="1" t="s">
        <v>7539</v>
      </c>
      <c r="F447" s="1" t="s">
        <v>5366</v>
      </c>
      <c r="G447" s="1" t="s">
        <v>7540</v>
      </c>
      <c r="H447" s="1" t="s">
        <v>7541</v>
      </c>
      <c r="I447" s="1" t="s">
        <v>4856</v>
      </c>
      <c r="J447" s="1" t="s">
        <v>7542</v>
      </c>
      <c r="K447" s="1" t="s">
        <v>7543</v>
      </c>
    </row>
    <row r="448" spans="1:11" ht="116" x14ac:dyDescent="0.35">
      <c r="A448" s="61"/>
      <c r="B448" s="61"/>
      <c r="C448" s="61"/>
      <c r="D448" s="1" t="s">
        <v>7544</v>
      </c>
      <c r="E448" s="1" t="s">
        <v>7545</v>
      </c>
      <c r="F448" s="1" t="s">
        <v>5366</v>
      </c>
      <c r="G448" s="1" t="s">
        <v>7546</v>
      </c>
      <c r="H448" s="1" t="s">
        <v>7547</v>
      </c>
      <c r="I448" s="1" t="s">
        <v>120</v>
      </c>
      <c r="J448" s="1" t="s">
        <v>7548</v>
      </c>
      <c r="K448" s="1" t="s">
        <v>7549</v>
      </c>
    </row>
    <row r="449" spans="1:11" ht="116" x14ac:dyDescent="0.35">
      <c r="A449" s="61"/>
      <c r="B449" s="61"/>
      <c r="C449" s="61"/>
      <c r="D449" s="1" t="s">
        <v>7550</v>
      </c>
      <c r="E449" s="1" t="s">
        <v>7551</v>
      </c>
      <c r="F449" s="1" t="s">
        <v>5366</v>
      </c>
      <c r="G449" s="1" t="s">
        <v>7552</v>
      </c>
      <c r="H449" s="1" t="s">
        <v>7553</v>
      </c>
      <c r="I449" s="1" t="s">
        <v>120</v>
      </c>
      <c r="J449" s="1" t="s">
        <v>7554</v>
      </c>
      <c r="K449" s="1" t="s">
        <v>7555</v>
      </c>
    </row>
    <row r="450" spans="1:11" ht="130.5" x14ac:dyDescent="0.35">
      <c r="A450" s="61"/>
      <c r="B450" s="61"/>
      <c r="C450" s="61"/>
      <c r="D450" s="1" t="s">
        <v>7556</v>
      </c>
      <c r="E450" s="1" t="s">
        <v>7557</v>
      </c>
      <c r="F450" s="1" t="s">
        <v>5366</v>
      </c>
      <c r="G450" s="1" t="s">
        <v>7558</v>
      </c>
      <c r="H450" s="1" t="s">
        <v>7559</v>
      </c>
      <c r="I450" s="1" t="s">
        <v>4856</v>
      </c>
      <c r="J450" s="1" t="s">
        <v>7560</v>
      </c>
      <c r="K450" s="1" t="s">
        <v>7561</v>
      </c>
    </row>
    <row r="451" spans="1:11" ht="130.5" x14ac:dyDescent="0.35">
      <c r="A451" s="61"/>
      <c r="B451" s="61"/>
      <c r="C451" s="62" t="s">
        <v>7562</v>
      </c>
      <c r="D451" s="1" t="s">
        <v>7563</v>
      </c>
      <c r="E451" s="1" t="s">
        <v>7564</v>
      </c>
      <c r="F451" s="1" t="s">
        <v>5366</v>
      </c>
      <c r="G451" s="1" t="s">
        <v>7565</v>
      </c>
      <c r="H451" s="1" t="s">
        <v>7566</v>
      </c>
      <c r="I451" s="1" t="s">
        <v>4856</v>
      </c>
      <c r="J451" s="1" t="s">
        <v>7567</v>
      </c>
      <c r="K451" s="1" t="s">
        <v>7568</v>
      </c>
    </row>
    <row r="452" spans="1:11" ht="116" x14ac:dyDescent="0.35">
      <c r="A452" s="61"/>
      <c r="B452" s="61"/>
      <c r="C452" s="61"/>
      <c r="D452" s="1" t="s">
        <v>7569</v>
      </c>
      <c r="E452" s="1" t="s">
        <v>7570</v>
      </c>
      <c r="F452" s="1" t="s">
        <v>5366</v>
      </c>
      <c r="G452" s="1" t="s">
        <v>7571</v>
      </c>
      <c r="H452" s="1" t="s">
        <v>7572</v>
      </c>
      <c r="I452" s="1" t="s">
        <v>120</v>
      </c>
      <c r="J452" s="1" t="s">
        <v>7573</v>
      </c>
      <c r="K452" s="1" t="s">
        <v>7574</v>
      </c>
    </row>
    <row r="453" spans="1:11" ht="130.5" x14ac:dyDescent="0.35">
      <c r="A453" s="61"/>
      <c r="B453" s="61"/>
      <c r="C453" s="61"/>
      <c r="D453" s="1" t="s">
        <v>7575</v>
      </c>
      <c r="E453" s="1" t="s">
        <v>7576</v>
      </c>
      <c r="F453" s="1" t="s">
        <v>5366</v>
      </c>
      <c r="G453" s="1" t="s">
        <v>7577</v>
      </c>
      <c r="H453" s="1" t="s">
        <v>7578</v>
      </c>
      <c r="I453" s="1" t="s">
        <v>120</v>
      </c>
      <c r="J453" s="1" t="s">
        <v>7579</v>
      </c>
      <c r="K453" s="1" t="s">
        <v>7580</v>
      </c>
    </row>
    <row r="454" spans="1:11" ht="116" x14ac:dyDescent="0.35">
      <c r="A454" s="61"/>
      <c r="B454" s="61"/>
      <c r="C454" s="61"/>
      <c r="D454" s="1" t="s">
        <v>7581</v>
      </c>
      <c r="E454" s="1" t="s">
        <v>7582</v>
      </c>
      <c r="F454" s="1" t="s">
        <v>5366</v>
      </c>
      <c r="G454" s="1" t="s">
        <v>7583</v>
      </c>
      <c r="H454" s="1" t="s">
        <v>7584</v>
      </c>
      <c r="I454" s="1" t="s">
        <v>120</v>
      </c>
      <c r="J454" s="1" t="s">
        <v>7585</v>
      </c>
      <c r="K454" s="1" t="s">
        <v>7586</v>
      </c>
    </row>
    <row r="455" spans="1:11" ht="130.5" x14ac:dyDescent="0.35">
      <c r="A455" s="61"/>
      <c r="B455" s="61"/>
      <c r="C455" s="61"/>
      <c r="D455" s="1" t="s">
        <v>7587</v>
      </c>
      <c r="E455" s="1" t="s">
        <v>7588</v>
      </c>
      <c r="F455" s="1" t="s">
        <v>5366</v>
      </c>
      <c r="G455" s="1" t="s">
        <v>7589</v>
      </c>
      <c r="H455" s="1" t="s">
        <v>7590</v>
      </c>
      <c r="I455" s="1" t="s">
        <v>120</v>
      </c>
      <c r="J455" s="1" t="s">
        <v>7591</v>
      </c>
      <c r="K455" s="1" t="s">
        <v>7592</v>
      </c>
    </row>
    <row r="456" spans="1:11" ht="116" x14ac:dyDescent="0.35">
      <c r="A456" s="61"/>
      <c r="B456" s="61"/>
      <c r="C456" s="62" t="s">
        <v>7593</v>
      </c>
      <c r="D456" s="1" t="s">
        <v>7594</v>
      </c>
      <c r="E456" s="1" t="s">
        <v>7595</v>
      </c>
      <c r="F456" s="1" t="s">
        <v>5366</v>
      </c>
      <c r="G456" s="1" t="s">
        <v>7596</v>
      </c>
      <c r="H456" s="1" t="s">
        <v>7597</v>
      </c>
      <c r="I456" s="1" t="s">
        <v>4856</v>
      </c>
      <c r="J456" s="1" t="s">
        <v>7598</v>
      </c>
      <c r="K456" s="1" t="s">
        <v>7599</v>
      </c>
    </row>
    <row r="457" spans="1:11" ht="159.5" x14ac:dyDescent="0.35">
      <c r="A457" s="61"/>
      <c r="B457" s="61"/>
      <c r="C457" s="61"/>
      <c r="D457" s="1" t="s">
        <v>7600</v>
      </c>
      <c r="E457" s="1" t="s">
        <v>7601</v>
      </c>
      <c r="F457" s="1" t="s">
        <v>5366</v>
      </c>
      <c r="G457" s="1" t="s">
        <v>7602</v>
      </c>
      <c r="H457" s="1" t="s">
        <v>7603</v>
      </c>
      <c r="I457" s="1" t="s">
        <v>4856</v>
      </c>
      <c r="J457" s="1" t="s">
        <v>7604</v>
      </c>
      <c r="K457" s="1" t="s">
        <v>7605</v>
      </c>
    </row>
    <row r="458" spans="1:11" ht="116" x14ac:dyDescent="0.35">
      <c r="A458" s="61"/>
      <c r="B458" s="61"/>
      <c r="C458" s="61"/>
      <c r="D458" s="1" t="s">
        <v>7606</v>
      </c>
      <c r="E458" s="1" t="s">
        <v>7607</v>
      </c>
      <c r="F458" s="1" t="s">
        <v>5366</v>
      </c>
      <c r="G458" s="1" t="s">
        <v>7608</v>
      </c>
      <c r="H458" s="1" t="s">
        <v>5959</v>
      </c>
      <c r="I458" s="1" t="s">
        <v>120</v>
      </c>
      <c r="J458" s="1" t="s">
        <v>7609</v>
      </c>
      <c r="K458" s="1" t="s">
        <v>7610</v>
      </c>
    </row>
    <row r="459" spans="1:11" ht="130.5" x14ac:dyDescent="0.35">
      <c r="A459" s="61"/>
      <c r="B459" s="61"/>
      <c r="C459" s="61"/>
      <c r="D459" s="1" t="s">
        <v>7611</v>
      </c>
      <c r="E459" s="1" t="s">
        <v>7612</v>
      </c>
      <c r="F459" s="1" t="s">
        <v>5366</v>
      </c>
      <c r="G459" s="1" t="s">
        <v>7613</v>
      </c>
      <c r="H459" s="1" t="s">
        <v>7614</v>
      </c>
      <c r="I459" s="1" t="s">
        <v>120</v>
      </c>
      <c r="J459" s="1" t="s">
        <v>7615</v>
      </c>
      <c r="K459" s="1" t="s">
        <v>7616</v>
      </c>
    </row>
    <row r="460" spans="1:11" ht="116" x14ac:dyDescent="0.35">
      <c r="A460" s="61"/>
      <c r="B460" s="61"/>
      <c r="C460" s="61"/>
      <c r="D460" s="1" t="s">
        <v>7617</v>
      </c>
      <c r="E460" s="1" t="s">
        <v>7618</v>
      </c>
      <c r="F460" s="1" t="s">
        <v>5366</v>
      </c>
      <c r="G460" s="1" t="s">
        <v>7619</v>
      </c>
      <c r="H460" s="1" t="s">
        <v>7620</v>
      </c>
      <c r="I460" s="1" t="s">
        <v>120</v>
      </c>
      <c r="J460" s="1" t="s">
        <v>7621</v>
      </c>
      <c r="K460" s="1" t="s">
        <v>7622</v>
      </c>
    </row>
    <row r="461" spans="1:11" ht="159.5" x14ac:dyDescent="0.35">
      <c r="A461" s="61"/>
      <c r="B461" s="62" t="s">
        <v>7623</v>
      </c>
      <c r="C461" s="61" t="s">
        <v>7624</v>
      </c>
      <c r="D461" s="1" t="s">
        <v>7625</v>
      </c>
      <c r="E461" s="1" t="s">
        <v>7626</v>
      </c>
      <c r="F461" s="1" t="s">
        <v>5366</v>
      </c>
      <c r="G461" s="1" t="s">
        <v>7627</v>
      </c>
      <c r="H461" s="1" t="s">
        <v>7628</v>
      </c>
      <c r="I461" s="1" t="s">
        <v>4856</v>
      </c>
      <c r="J461" s="1" t="s">
        <v>7629</v>
      </c>
      <c r="K461" s="1" t="s">
        <v>7630</v>
      </c>
    </row>
    <row r="462" spans="1:11" ht="130.5" x14ac:dyDescent="0.35">
      <c r="A462" s="61"/>
      <c r="B462" s="61"/>
      <c r="C462" s="61"/>
      <c r="D462" s="1" t="s">
        <v>7631</v>
      </c>
      <c r="E462" s="1" t="s">
        <v>7632</v>
      </c>
      <c r="F462" s="1" t="s">
        <v>5366</v>
      </c>
      <c r="G462" s="1" t="s">
        <v>7633</v>
      </c>
      <c r="H462" s="1" t="s">
        <v>7634</v>
      </c>
      <c r="I462" s="1" t="s">
        <v>120</v>
      </c>
      <c r="J462" s="1" t="s">
        <v>7635</v>
      </c>
      <c r="K462" s="1" t="s">
        <v>7636</v>
      </c>
    </row>
    <row r="463" spans="1:11" ht="130.5" x14ac:dyDescent="0.35">
      <c r="A463" s="61"/>
      <c r="B463" s="61"/>
      <c r="C463" s="61"/>
      <c r="D463" s="1" t="s">
        <v>7637</v>
      </c>
      <c r="E463" s="1" t="s">
        <v>7638</v>
      </c>
      <c r="F463" s="1" t="s">
        <v>5366</v>
      </c>
      <c r="G463" s="1" t="s">
        <v>7639</v>
      </c>
      <c r="H463" s="1" t="s">
        <v>7640</v>
      </c>
      <c r="I463" s="1" t="s">
        <v>120</v>
      </c>
      <c r="J463" s="1" t="s">
        <v>7641</v>
      </c>
      <c r="K463" s="1" t="s">
        <v>7642</v>
      </c>
    </row>
    <row r="464" spans="1:11" ht="116" x14ac:dyDescent="0.35">
      <c r="A464" s="61"/>
      <c r="B464" s="61"/>
      <c r="C464" s="61"/>
      <c r="D464" s="1" t="s">
        <v>7643</v>
      </c>
      <c r="E464" s="1" t="s">
        <v>7644</v>
      </c>
      <c r="F464" s="1" t="s">
        <v>5366</v>
      </c>
      <c r="G464" s="1" t="s">
        <v>7645</v>
      </c>
      <c r="H464" s="1" t="s">
        <v>7646</v>
      </c>
      <c r="I464" s="1" t="s">
        <v>120</v>
      </c>
      <c r="J464" s="1" t="s">
        <v>7647</v>
      </c>
      <c r="K464" s="1" t="s">
        <v>7648</v>
      </c>
    </row>
    <row r="465" spans="1:11" ht="130.5" x14ac:dyDescent="0.35">
      <c r="A465" s="61"/>
      <c r="B465" s="61"/>
      <c r="C465" s="61"/>
      <c r="D465" s="1" t="s">
        <v>7649</v>
      </c>
      <c r="E465" s="1" t="s">
        <v>7650</v>
      </c>
      <c r="F465" s="1" t="s">
        <v>5366</v>
      </c>
      <c r="G465" s="1" t="s">
        <v>7651</v>
      </c>
      <c r="H465" s="1" t="s">
        <v>7652</v>
      </c>
      <c r="I465" s="1" t="s">
        <v>4856</v>
      </c>
      <c r="J465" s="1" t="s">
        <v>7653</v>
      </c>
      <c r="K465" s="1" t="s">
        <v>7654</v>
      </c>
    </row>
    <row r="466" spans="1:11" ht="130.5" x14ac:dyDescent="0.35">
      <c r="A466" s="61"/>
      <c r="B466" s="61"/>
      <c r="C466" s="61" t="s">
        <v>7655</v>
      </c>
      <c r="D466" s="1" t="s">
        <v>7656</v>
      </c>
      <c r="E466" s="1" t="s">
        <v>7657</v>
      </c>
      <c r="F466" s="1" t="s">
        <v>5366</v>
      </c>
      <c r="G466" s="1" t="s">
        <v>7658</v>
      </c>
      <c r="H466" s="1" t="s">
        <v>7659</v>
      </c>
      <c r="I466" s="1" t="s">
        <v>4856</v>
      </c>
      <c r="J466" s="1" t="s">
        <v>7660</v>
      </c>
      <c r="K466" s="1" t="s">
        <v>7661</v>
      </c>
    </row>
    <row r="467" spans="1:11" ht="188.5" x14ac:dyDescent="0.35">
      <c r="A467" s="61"/>
      <c r="B467" s="61"/>
      <c r="C467" s="61"/>
      <c r="D467" s="1" t="s">
        <v>7662</v>
      </c>
      <c r="E467" s="1" t="s">
        <v>7663</v>
      </c>
      <c r="F467" s="1" t="s">
        <v>5366</v>
      </c>
      <c r="G467" s="1" t="s">
        <v>7664</v>
      </c>
      <c r="H467" s="1" t="s">
        <v>7665</v>
      </c>
      <c r="I467" s="1" t="s">
        <v>4856</v>
      </c>
      <c r="J467" s="1" t="s">
        <v>7666</v>
      </c>
      <c r="K467" s="1" t="s">
        <v>7667</v>
      </c>
    </row>
    <row r="468" spans="1:11" ht="130.5" x14ac:dyDescent="0.35">
      <c r="A468" s="61"/>
      <c r="B468" s="61"/>
      <c r="C468" s="61"/>
      <c r="D468" s="1" t="s">
        <v>7668</v>
      </c>
      <c r="E468" s="1" t="s">
        <v>7669</v>
      </c>
      <c r="F468" s="1" t="s">
        <v>5366</v>
      </c>
      <c r="G468" s="1" t="s">
        <v>7670</v>
      </c>
      <c r="H468" s="1" t="s">
        <v>7671</v>
      </c>
      <c r="I468" s="1" t="s">
        <v>120</v>
      </c>
      <c r="J468" s="1" t="s">
        <v>7672</v>
      </c>
      <c r="K468" s="1" t="s">
        <v>7673</v>
      </c>
    </row>
    <row r="469" spans="1:11" ht="159.5" x14ac:dyDescent="0.35">
      <c r="A469" s="61"/>
      <c r="B469" s="61"/>
      <c r="C469" s="61"/>
      <c r="D469" s="1" t="s">
        <v>7674</v>
      </c>
      <c r="E469" s="1" t="s">
        <v>7675</v>
      </c>
      <c r="F469" s="1" t="s">
        <v>5366</v>
      </c>
      <c r="G469" s="1" t="s">
        <v>7676</v>
      </c>
      <c r="H469" s="1" t="s">
        <v>7677</v>
      </c>
      <c r="I469" s="1" t="s">
        <v>120</v>
      </c>
      <c r="J469" s="1" t="s">
        <v>7678</v>
      </c>
      <c r="K469" s="1" t="s">
        <v>7679</v>
      </c>
    </row>
    <row r="470" spans="1:11" ht="145" x14ac:dyDescent="0.35">
      <c r="A470" s="61"/>
      <c r="B470" s="61"/>
      <c r="C470" s="61"/>
      <c r="D470" s="1" t="s">
        <v>7680</v>
      </c>
      <c r="E470" s="1" t="s">
        <v>7681</v>
      </c>
      <c r="F470" s="1" t="s">
        <v>5366</v>
      </c>
      <c r="G470" s="1" t="s">
        <v>7682</v>
      </c>
      <c r="H470" s="1" t="s">
        <v>7683</v>
      </c>
      <c r="I470" s="1" t="s">
        <v>120</v>
      </c>
      <c r="J470" s="1" t="s">
        <v>7684</v>
      </c>
      <c r="K470" s="1" t="s">
        <v>7685</v>
      </c>
    </row>
    <row r="471" spans="1:11" ht="159.5" x14ac:dyDescent="0.35">
      <c r="A471" s="61"/>
      <c r="B471" s="61"/>
      <c r="C471" s="61" t="s">
        <v>7686</v>
      </c>
      <c r="D471" s="1" t="s">
        <v>7687</v>
      </c>
      <c r="E471" s="1" t="s">
        <v>7688</v>
      </c>
      <c r="F471" s="1" t="s">
        <v>5366</v>
      </c>
      <c r="G471" s="1" t="s">
        <v>7689</v>
      </c>
      <c r="H471" s="1" t="s">
        <v>7690</v>
      </c>
      <c r="I471" s="1" t="s">
        <v>4856</v>
      </c>
      <c r="J471" s="1" t="s">
        <v>7691</v>
      </c>
      <c r="K471" s="1" t="s">
        <v>7692</v>
      </c>
    </row>
    <row r="472" spans="1:11" ht="130.5" x14ac:dyDescent="0.35">
      <c r="A472" s="61"/>
      <c r="B472" s="61"/>
      <c r="C472" s="61"/>
      <c r="D472" s="1" t="s">
        <v>7693</v>
      </c>
      <c r="E472" s="1" t="s">
        <v>7694</v>
      </c>
      <c r="F472" s="1" t="s">
        <v>5366</v>
      </c>
      <c r="G472" s="1" t="s">
        <v>7695</v>
      </c>
      <c r="H472" s="1" t="s">
        <v>7696</v>
      </c>
      <c r="I472" s="1" t="s">
        <v>4856</v>
      </c>
      <c r="J472" s="1" t="s">
        <v>7697</v>
      </c>
      <c r="K472" s="1" t="s">
        <v>7698</v>
      </c>
    </row>
    <row r="473" spans="1:11" ht="101.5" x14ac:dyDescent="0.35">
      <c r="A473" s="61"/>
      <c r="B473" s="61"/>
      <c r="C473" s="61"/>
      <c r="D473" s="1" t="s">
        <v>7699</v>
      </c>
      <c r="E473" s="1" t="s">
        <v>7700</v>
      </c>
      <c r="F473" s="1" t="s">
        <v>5366</v>
      </c>
      <c r="G473" s="1" t="s">
        <v>7701</v>
      </c>
      <c r="H473" s="1" t="s">
        <v>7702</v>
      </c>
      <c r="I473" s="1" t="s">
        <v>120</v>
      </c>
      <c r="J473" s="1" t="s">
        <v>7703</v>
      </c>
      <c r="K473" s="1" t="s">
        <v>7704</v>
      </c>
    </row>
    <row r="474" spans="1:11" ht="159.5" x14ac:dyDescent="0.35">
      <c r="A474" s="61"/>
      <c r="B474" s="61"/>
      <c r="C474" s="61"/>
      <c r="D474" s="1" t="s">
        <v>7705</v>
      </c>
      <c r="E474" s="1" t="s">
        <v>7706</v>
      </c>
      <c r="F474" s="1" t="s">
        <v>5366</v>
      </c>
      <c r="G474" s="1" t="s">
        <v>7707</v>
      </c>
      <c r="H474" s="1" t="s">
        <v>7708</v>
      </c>
      <c r="I474" s="1" t="s">
        <v>120</v>
      </c>
      <c r="J474" s="1" t="s">
        <v>7709</v>
      </c>
      <c r="K474" s="1" t="s">
        <v>7710</v>
      </c>
    </row>
    <row r="475" spans="1:11" ht="116" x14ac:dyDescent="0.35">
      <c r="A475" s="61"/>
      <c r="B475" s="61"/>
      <c r="C475" s="61"/>
      <c r="D475" s="1" t="s">
        <v>7711</v>
      </c>
      <c r="E475" s="1" t="s">
        <v>7712</v>
      </c>
      <c r="F475" s="1" t="s">
        <v>5366</v>
      </c>
      <c r="G475" s="1" t="s">
        <v>7713</v>
      </c>
      <c r="H475" s="1" t="s">
        <v>7714</v>
      </c>
      <c r="I475" s="1" t="s">
        <v>4856</v>
      </c>
      <c r="J475" s="1" t="s">
        <v>7715</v>
      </c>
      <c r="K475" s="1" t="s">
        <v>7716</v>
      </c>
    </row>
    <row r="476" spans="1:11" ht="145" x14ac:dyDescent="0.35">
      <c r="A476" s="61"/>
      <c r="B476" s="61"/>
      <c r="C476" s="62" t="s">
        <v>7717</v>
      </c>
      <c r="D476" s="1" t="s">
        <v>7718</v>
      </c>
      <c r="E476" s="1" t="s">
        <v>7719</v>
      </c>
      <c r="F476" s="1" t="s">
        <v>5366</v>
      </c>
      <c r="G476" s="1" t="s">
        <v>7720</v>
      </c>
      <c r="H476" s="1" t="s">
        <v>7721</v>
      </c>
      <c r="I476" s="1" t="s">
        <v>4856</v>
      </c>
      <c r="J476" s="1" t="s">
        <v>7722</v>
      </c>
      <c r="K476" s="1" t="s">
        <v>7723</v>
      </c>
    </row>
    <row r="477" spans="1:11" ht="130.5" x14ac:dyDescent="0.35">
      <c r="A477" s="61"/>
      <c r="B477" s="61"/>
      <c r="C477" s="61"/>
      <c r="D477" s="1" t="s">
        <v>7724</v>
      </c>
      <c r="E477" s="1" t="s">
        <v>7725</v>
      </c>
      <c r="F477" s="1" t="s">
        <v>5366</v>
      </c>
      <c r="G477" s="1" t="s">
        <v>7726</v>
      </c>
      <c r="H477" s="1" t="s">
        <v>7727</v>
      </c>
      <c r="I477" s="1" t="s">
        <v>4856</v>
      </c>
      <c r="J477" s="1" t="s">
        <v>7728</v>
      </c>
      <c r="K477" s="1" t="s">
        <v>7729</v>
      </c>
    </row>
    <row r="478" spans="1:11" ht="130.5" x14ac:dyDescent="0.35">
      <c r="A478" s="61"/>
      <c r="B478" s="61"/>
      <c r="C478" s="61"/>
      <c r="D478" s="1" t="s">
        <v>7730</v>
      </c>
      <c r="E478" s="1" t="s">
        <v>7731</v>
      </c>
      <c r="F478" s="1" t="s">
        <v>5366</v>
      </c>
      <c r="G478" s="1" t="s">
        <v>7732</v>
      </c>
      <c r="H478" s="1" t="s">
        <v>7733</v>
      </c>
      <c r="I478" s="1" t="s">
        <v>120</v>
      </c>
      <c r="J478" s="1" t="s">
        <v>7734</v>
      </c>
      <c r="K478" s="1" t="s">
        <v>7735</v>
      </c>
    </row>
    <row r="479" spans="1:11" ht="101.5" x14ac:dyDescent="0.35">
      <c r="A479" s="61"/>
      <c r="B479" s="61"/>
      <c r="C479" s="61"/>
      <c r="D479" s="1" t="s">
        <v>7736</v>
      </c>
      <c r="E479" s="1" t="s">
        <v>7737</v>
      </c>
      <c r="F479" s="1" t="s">
        <v>5366</v>
      </c>
      <c r="G479" s="1" t="s">
        <v>7738</v>
      </c>
      <c r="H479" s="1" t="s">
        <v>7739</v>
      </c>
      <c r="I479" s="1" t="s">
        <v>120</v>
      </c>
      <c r="J479" s="1" t="s">
        <v>7740</v>
      </c>
      <c r="K479" s="1" t="s">
        <v>7741</v>
      </c>
    </row>
    <row r="480" spans="1:11" ht="145" x14ac:dyDescent="0.35">
      <c r="A480" s="61"/>
      <c r="B480" s="61"/>
      <c r="C480" s="61"/>
      <c r="D480" s="1" t="s">
        <v>7742</v>
      </c>
      <c r="E480" s="1" t="s">
        <v>7743</v>
      </c>
      <c r="F480" s="1" t="s">
        <v>5366</v>
      </c>
      <c r="G480" s="1" t="s">
        <v>7744</v>
      </c>
      <c r="H480" s="1" t="s">
        <v>7745</v>
      </c>
      <c r="I480" s="1" t="s">
        <v>4856</v>
      </c>
      <c r="J480" s="1" t="s">
        <v>7746</v>
      </c>
      <c r="K480" s="1" t="s">
        <v>7747</v>
      </c>
    </row>
    <row r="481" spans="1:11" ht="130.5" x14ac:dyDescent="0.35">
      <c r="A481" s="61"/>
      <c r="B481" s="61"/>
      <c r="C481" s="62" t="s">
        <v>7748</v>
      </c>
      <c r="D481" s="1" t="s">
        <v>7749</v>
      </c>
      <c r="E481" s="1" t="s">
        <v>7750</v>
      </c>
      <c r="F481" s="1" t="s">
        <v>5366</v>
      </c>
      <c r="G481" s="1" t="s">
        <v>7751</v>
      </c>
      <c r="H481" s="1" t="s">
        <v>7752</v>
      </c>
      <c r="I481" s="1" t="s">
        <v>4856</v>
      </c>
      <c r="J481" s="1" t="s">
        <v>7753</v>
      </c>
      <c r="K481" s="1" t="s">
        <v>7754</v>
      </c>
    </row>
    <row r="482" spans="1:11" ht="130.5" x14ac:dyDescent="0.35">
      <c r="A482" s="61"/>
      <c r="B482" s="61"/>
      <c r="C482" s="61"/>
      <c r="D482" s="1" t="s">
        <v>7755</v>
      </c>
      <c r="E482" s="1" t="s">
        <v>7756</v>
      </c>
      <c r="F482" s="1" t="s">
        <v>5366</v>
      </c>
      <c r="G482" s="1" t="s">
        <v>7757</v>
      </c>
      <c r="H482" s="1" t="s">
        <v>7758</v>
      </c>
      <c r="I482" s="1" t="s">
        <v>4856</v>
      </c>
      <c r="J482" s="1" t="s">
        <v>7759</v>
      </c>
      <c r="K482" s="1" t="s">
        <v>7760</v>
      </c>
    </row>
    <row r="483" spans="1:11" ht="145" x14ac:dyDescent="0.35">
      <c r="A483" s="61"/>
      <c r="B483" s="61"/>
      <c r="C483" s="61"/>
      <c r="D483" s="1" t="s">
        <v>7761</v>
      </c>
      <c r="E483" s="1" t="s">
        <v>7762</v>
      </c>
      <c r="F483" s="1" t="s">
        <v>5366</v>
      </c>
      <c r="G483" s="1" t="s">
        <v>7763</v>
      </c>
      <c r="H483" s="1" t="s">
        <v>7764</v>
      </c>
      <c r="I483" s="1" t="s">
        <v>120</v>
      </c>
      <c r="J483" s="1" t="s">
        <v>7765</v>
      </c>
      <c r="K483" s="1" t="s">
        <v>7766</v>
      </c>
    </row>
    <row r="484" spans="1:11" ht="145" x14ac:dyDescent="0.35">
      <c r="A484" s="61"/>
      <c r="B484" s="61"/>
      <c r="C484" s="61"/>
      <c r="D484" s="1" t="s">
        <v>7767</v>
      </c>
      <c r="E484" s="1" t="s">
        <v>7768</v>
      </c>
      <c r="F484" s="1" t="s">
        <v>5366</v>
      </c>
      <c r="G484" s="1" t="s">
        <v>7769</v>
      </c>
      <c r="H484" s="1" t="s">
        <v>7770</v>
      </c>
      <c r="I484" s="1" t="s">
        <v>4856</v>
      </c>
      <c r="J484" s="1" t="s">
        <v>7771</v>
      </c>
      <c r="K484" s="1" t="s">
        <v>7772</v>
      </c>
    </row>
    <row r="485" spans="1:11" ht="130.5" x14ac:dyDescent="0.35">
      <c r="A485" s="61"/>
      <c r="B485" s="61"/>
      <c r="C485" s="61"/>
      <c r="D485" s="1" t="s">
        <v>7773</v>
      </c>
      <c r="E485" s="1" t="s">
        <v>7774</v>
      </c>
      <c r="F485" s="1" t="s">
        <v>5366</v>
      </c>
      <c r="G485" s="1" t="s">
        <v>7775</v>
      </c>
      <c r="H485" s="1" t="s">
        <v>7776</v>
      </c>
      <c r="I485" s="1" t="s">
        <v>4856</v>
      </c>
      <c r="J485" s="1" t="s">
        <v>7777</v>
      </c>
      <c r="K485" s="1" t="s">
        <v>7778</v>
      </c>
    </row>
    <row r="486" spans="1:11" ht="145" x14ac:dyDescent="0.35">
      <c r="A486" s="61"/>
      <c r="B486" s="61"/>
      <c r="C486" s="61" t="s">
        <v>7779</v>
      </c>
      <c r="D486" s="1" t="s">
        <v>7780</v>
      </c>
      <c r="E486" s="1" t="s">
        <v>7781</v>
      </c>
      <c r="F486" s="1" t="s">
        <v>5366</v>
      </c>
      <c r="G486" s="1" t="s">
        <v>7782</v>
      </c>
      <c r="H486" s="1" t="s">
        <v>7783</v>
      </c>
      <c r="I486" s="1" t="s">
        <v>4856</v>
      </c>
      <c r="J486" s="1" t="s">
        <v>7784</v>
      </c>
      <c r="K486" s="1" t="s">
        <v>7785</v>
      </c>
    </row>
    <row r="487" spans="1:11" ht="116" x14ac:dyDescent="0.35">
      <c r="A487" s="61"/>
      <c r="B487" s="61"/>
      <c r="C487" s="61"/>
      <c r="D487" s="1" t="s">
        <v>7786</v>
      </c>
      <c r="E487" s="1" t="s">
        <v>7787</v>
      </c>
      <c r="F487" s="1" t="s">
        <v>5366</v>
      </c>
      <c r="G487" s="1" t="s">
        <v>7788</v>
      </c>
      <c r="H487" s="1" t="s">
        <v>7789</v>
      </c>
      <c r="I487" s="1" t="s">
        <v>4856</v>
      </c>
      <c r="J487" s="1" t="s">
        <v>7790</v>
      </c>
      <c r="K487" s="1" t="s">
        <v>7791</v>
      </c>
    </row>
    <row r="488" spans="1:11" ht="101.5" x14ac:dyDescent="0.35">
      <c r="A488" s="61"/>
      <c r="B488" s="61"/>
      <c r="C488" s="61"/>
      <c r="D488" s="1" t="s">
        <v>7792</v>
      </c>
      <c r="E488" s="1" t="s">
        <v>7793</v>
      </c>
      <c r="F488" s="1" t="s">
        <v>5366</v>
      </c>
      <c r="G488" s="1" t="s">
        <v>7794</v>
      </c>
      <c r="H488" s="1" t="s">
        <v>7795</v>
      </c>
      <c r="I488" s="1" t="s">
        <v>4856</v>
      </c>
      <c r="J488" s="1" t="s">
        <v>7796</v>
      </c>
      <c r="K488" s="1" t="s">
        <v>7797</v>
      </c>
    </row>
    <row r="489" spans="1:11" ht="116" x14ac:dyDescent="0.35">
      <c r="A489" s="61"/>
      <c r="B489" s="61"/>
      <c r="C489" s="61"/>
      <c r="D489" s="1" t="s">
        <v>7798</v>
      </c>
      <c r="E489" s="1" t="s">
        <v>7799</v>
      </c>
      <c r="F489" s="1" t="s">
        <v>5366</v>
      </c>
      <c r="G489" s="1" t="s">
        <v>7800</v>
      </c>
      <c r="H489" s="1" t="s">
        <v>7801</v>
      </c>
      <c r="I489" s="1" t="s">
        <v>120</v>
      </c>
      <c r="J489" s="1" t="s">
        <v>7802</v>
      </c>
      <c r="K489" s="1" t="s">
        <v>7803</v>
      </c>
    </row>
    <row r="490" spans="1:11" ht="130.5" x14ac:dyDescent="0.35">
      <c r="A490" s="61"/>
      <c r="B490" s="61"/>
      <c r="C490" s="61"/>
      <c r="D490" s="1" t="s">
        <v>7804</v>
      </c>
      <c r="E490" s="1" t="s">
        <v>7805</v>
      </c>
      <c r="F490" s="1" t="s">
        <v>5366</v>
      </c>
      <c r="G490" s="1" t="s">
        <v>7806</v>
      </c>
      <c r="H490" s="1" t="s">
        <v>7807</v>
      </c>
      <c r="I490" s="1" t="s">
        <v>4856</v>
      </c>
      <c r="J490" s="1" t="s">
        <v>7808</v>
      </c>
      <c r="K490" s="1" t="s">
        <v>7809</v>
      </c>
    </row>
    <row r="491" spans="1:11" ht="145" x14ac:dyDescent="0.35">
      <c r="A491" s="61"/>
      <c r="B491" s="61"/>
      <c r="C491" s="61" t="s">
        <v>7810</v>
      </c>
      <c r="D491" s="1" t="s">
        <v>7811</v>
      </c>
      <c r="E491" s="1" t="s">
        <v>7812</v>
      </c>
      <c r="F491" s="1" t="s">
        <v>5366</v>
      </c>
      <c r="G491" s="1" t="s">
        <v>7813</v>
      </c>
      <c r="H491" s="1" t="s">
        <v>7814</v>
      </c>
      <c r="I491" s="1" t="s">
        <v>4856</v>
      </c>
      <c r="J491" s="1" t="s">
        <v>7815</v>
      </c>
      <c r="K491" s="1" t="s">
        <v>7816</v>
      </c>
    </row>
    <row r="492" spans="1:11" ht="174" x14ac:dyDescent="0.35">
      <c r="A492" s="61"/>
      <c r="B492" s="61"/>
      <c r="C492" s="61"/>
      <c r="D492" s="1" t="s">
        <v>7817</v>
      </c>
      <c r="E492" s="1" t="s">
        <v>7818</v>
      </c>
      <c r="F492" s="1" t="s">
        <v>5366</v>
      </c>
      <c r="G492" s="1" t="s">
        <v>7819</v>
      </c>
      <c r="H492" s="1" t="s">
        <v>7820</v>
      </c>
      <c r="I492" s="1" t="s">
        <v>4856</v>
      </c>
      <c r="J492" s="1" t="s">
        <v>7821</v>
      </c>
      <c r="K492" s="1" t="s">
        <v>7822</v>
      </c>
    </row>
    <row r="493" spans="1:11" ht="130.5" x14ac:dyDescent="0.35">
      <c r="A493" s="61"/>
      <c r="B493" s="61"/>
      <c r="C493" s="61"/>
      <c r="D493" s="1" t="s">
        <v>7823</v>
      </c>
      <c r="E493" s="1" t="s">
        <v>7824</v>
      </c>
      <c r="F493" s="1" t="s">
        <v>5366</v>
      </c>
      <c r="G493" s="1" t="s">
        <v>7825</v>
      </c>
      <c r="H493" s="1" t="s">
        <v>7826</v>
      </c>
      <c r="I493" s="1" t="s">
        <v>120</v>
      </c>
      <c r="J493" s="1" t="s">
        <v>7827</v>
      </c>
      <c r="K493" s="1" t="s">
        <v>7828</v>
      </c>
    </row>
    <row r="494" spans="1:11" ht="116" x14ac:dyDescent="0.35">
      <c r="A494" s="61"/>
      <c r="B494" s="61"/>
      <c r="C494" s="61"/>
      <c r="D494" s="1" t="s">
        <v>7829</v>
      </c>
      <c r="E494" s="1" t="s">
        <v>7830</v>
      </c>
      <c r="F494" s="1" t="s">
        <v>5366</v>
      </c>
      <c r="G494" s="1" t="s">
        <v>7831</v>
      </c>
      <c r="H494" s="1" t="s">
        <v>7832</v>
      </c>
      <c r="I494" s="1" t="s">
        <v>120</v>
      </c>
      <c r="J494" s="1" t="s">
        <v>7833</v>
      </c>
      <c r="K494" s="1" t="s">
        <v>7834</v>
      </c>
    </row>
    <row r="495" spans="1:11" ht="159.5" x14ac:dyDescent="0.35">
      <c r="A495" s="61"/>
      <c r="B495" s="61"/>
      <c r="C495" s="61"/>
      <c r="D495" s="1" t="s">
        <v>7835</v>
      </c>
      <c r="E495" s="1" t="s">
        <v>7836</v>
      </c>
      <c r="F495" s="1" t="s">
        <v>5366</v>
      </c>
      <c r="G495" s="1" t="s">
        <v>7837</v>
      </c>
      <c r="H495" s="1" t="s">
        <v>7838</v>
      </c>
      <c r="I495" s="1" t="s">
        <v>4856</v>
      </c>
      <c r="J495" s="1" t="s">
        <v>7839</v>
      </c>
      <c r="K495" s="1" t="s">
        <v>7840</v>
      </c>
    </row>
    <row r="496" spans="1:11" ht="159.5" x14ac:dyDescent="0.35">
      <c r="A496" s="61"/>
      <c r="B496" s="61"/>
      <c r="C496" s="62" t="s">
        <v>7841</v>
      </c>
      <c r="D496" s="1" t="s">
        <v>7842</v>
      </c>
      <c r="E496" s="1" t="s">
        <v>7843</v>
      </c>
      <c r="F496" s="1" t="s">
        <v>5366</v>
      </c>
      <c r="G496" s="1" t="s">
        <v>7844</v>
      </c>
      <c r="H496" s="1" t="s">
        <v>7845</v>
      </c>
      <c r="I496" s="1" t="s">
        <v>4856</v>
      </c>
      <c r="J496" s="1" t="s">
        <v>7846</v>
      </c>
      <c r="K496" s="1" t="s">
        <v>7847</v>
      </c>
    </row>
    <row r="497" spans="1:11" ht="145" x14ac:dyDescent="0.35">
      <c r="A497" s="61"/>
      <c r="B497" s="61"/>
      <c r="C497" s="61"/>
      <c r="D497" s="1" t="s">
        <v>7848</v>
      </c>
      <c r="E497" s="1" t="s">
        <v>7849</v>
      </c>
      <c r="F497" s="1" t="s">
        <v>5366</v>
      </c>
      <c r="G497" s="1" t="s">
        <v>7850</v>
      </c>
      <c r="H497" s="1" t="s">
        <v>7851</v>
      </c>
      <c r="I497" s="1" t="s">
        <v>4856</v>
      </c>
      <c r="J497" s="1" t="s">
        <v>7852</v>
      </c>
      <c r="K497" s="1" t="s">
        <v>7853</v>
      </c>
    </row>
    <row r="498" spans="1:11" ht="159.5" x14ac:dyDescent="0.35">
      <c r="A498" s="61"/>
      <c r="B498" s="61"/>
      <c r="C498" s="61"/>
      <c r="D498" s="1" t="s">
        <v>7854</v>
      </c>
      <c r="E498" s="1" t="s">
        <v>7855</v>
      </c>
      <c r="F498" s="1" t="s">
        <v>5366</v>
      </c>
      <c r="G498" s="1" t="s">
        <v>7856</v>
      </c>
      <c r="H498" s="1" t="s">
        <v>7857</v>
      </c>
      <c r="I498" s="1" t="s">
        <v>120</v>
      </c>
      <c r="J498" s="1" t="s">
        <v>7858</v>
      </c>
      <c r="K498" s="1" t="s">
        <v>7859</v>
      </c>
    </row>
    <row r="499" spans="1:11" ht="145" x14ac:dyDescent="0.35">
      <c r="A499" s="61"/>
      <c r="B499" s="61"/>
      <c r="C499" s="61"/>
      <c r="D499" s="1" t="s">
        <v>7860</v>
      </c>
      <c r="E499" s="1" t="s">
        <v>7861</v>
      </c>
      <c r="F499" s="1" t="s">
        <v>5366</v>
      </c>
      <c r="G499" s="1" t="s">
        <v>7862</v>
      </c>
      <c r="H499" s="1" t="s">
        <v>7863</v>
      </c>
      <c r="I499" s="1" t="s">
        <v>4856</v>
      </c>
      <c r="J499" s="1" t="s">
        <v>7864</v>
      </c>
      <c r="K499" s="1" t="s">
        <v>7865</v>
      </c>
    </row>
    <row r="500" spans="1:11" ht="145" x14ac:dyDescent="0.35">
      <c r="A500" s="61"/>
      <c r="B500" s="61"/>
      <c r="C500" s="61"/>
      <c r="D500" s="1" t="s">
        <v>7866</v>
      </c>
      <c r="E500" s="1" t="s">
        <v>7867</v>
      </c>
      <c r="F500" s="1" t="s">
        <v>5366</v>
      </c>
      <c r="G500" s="1" t="s">
        <v>7868</v>
      </c>
      <c r="H500" s="1" t="s">
        <v>7869</v>
      </c>
      <c r="I500" s="1" t="s">
        <v>4856</v>
      </c>
      <c r="J500" s="1" t="s">
        <v>7870</v>
      </c>
      <c r="K500" s="1" t="s">
        <v>7871</v>
      </c>
    </row>
    <row r="501" spans="1:11" ht="130.5" x14ac:dyDescent="0.35">
      <c r="A501" s="61"/>
      <c r="B501" s="61"/>
      <c r="C501" s="61" t="s">
        <v>7872</v>
      </c>
      <c r="D501" s="1" t="s">
        <v>7873</v>
      </c>
      <c r="E501" s="1" t="s">
        <v>7874</v>
      </c>
      <c r="F501" s="1" t="s">
        <v>5366</v>
      </c>
      <c r="G501" s="1" t="s">
        <v>7875</v>
      </c>
      <c r="H501" s="1" t="s">
        <v>7876</v>
      </c>
      <c r="I501" s="1" t="s">
        <v>4856</v>
      </c>
      <c r="J501" s="1" t="s">
        <v>7877</v>
      </c>
      <c r="K501" s="1" t="s">
        <v>7878</v>
      </c>
    </row>
    <row r="502" spans="1:11" ht="116" x14ac:dyDescent="0.35">
      <c r="A502" s="61"/>
      <c r="B502" s="61"/>
      <c r="C502" s="61"/>
      <c r="D502" s="1" t="s">
        <v>7879</v>
      </c>
      <c r="E502" s="1" t="s">
        <v>7880</v>
      </c>
      <c r="F502" s="1" t="s">
        <v>5366</v>
      </c>
      <c r="G502" s="1" t="s">
        <v>7881</v>
      </c>
      <c r="H502" s="1" t="s">
        <v>7882</v>
      </c>
      <c r="I502" s="1" t="s">
        <v>4856</v>
      </c>
      <c r="J502" s="1" t="s">
        <v>7883</v>
      </c>
      <c r="K502" s="1" t="s">
        <v>7884</v>
      </c>
    </row>
    <row r="503" spans="1:11" ht="145" x14ac:dyDescent="0.35">
      <c r="A503" s="61"/>
      <c r="B503" s="61"/>
      <c r="C503" s="61"/>
      <c r="D503" s="1" t="s">
        <v>7885</v>
      </c>
      <c r="E503" s="1" t="s">
        <v>7886</v>
      </c>
      <c r="F503" s="1" t="s">
        <v>5366</v>
      </c>
      <c r="G503" s="1" t="s">
        <v>7887</v>
      </c>
      <c r="H503" s="1" t="s">
        <v>7888</v>
      </c>
      <c r="I503" s="1" t="s">
        <v>120</v>
      </c>
      <c r="J503" s="1" t="s">
        <v>7889</v>
      </c>
      <c r="K503" s="1" t="s">
        <v>7890</v>
      </c>
    </row>
    <row r="504" spans="1:11" ht="116" x14ac:dyDescent="0.35">
      <c r="A504" s="61"/>
      <c r="B504" s="61"/>
      <c r="C504" s="61"/>
      <c r="D504" s="1" t="s">
        <v>7891</v>
      </c>
      <c r="E504" s="1" t="s">
        <v>7892</v>
      </c>
      <c r="F504" s="1" t="s">
        <v>5366</v>
      </c>
      <c r="G504" s="1" t="s">
        <v>7893</v>
      </c>
      <c r="H504" s="1" t="s">
        <v>7894</v>
      </c>
      <c r="I504" s="1" t="s">
        <v>5381</v>
      </c>
      <c r="J504" s="1" t="s">
        <v>7895</v>
      </c>
      <c r="K504" s="1" t="s">
        <v>7896</v>
      </c>
    </row>
    <row r="505" spans="1:11" ht="145" x14ac:dyDescent="0.35">
      <c r="A505" s="61"/>
      <c r="B505" s="61"/>
      <c r="C505" s="61"/>
      <c r="D505" s="1" t="s">
        <v>7773</v>
      </c>
      <c r="E505" s="1" t="s">
        <v>7897</v>
      </c>
      <c r="F505" s="1" t="s">
        <v>5366</v>
      </c>
      <c r="G505" s="1" t="s">
        <v>7898</v>
      </c>
      <c r="H505" s="1" t="s">
        <v>7899</v>
      </c>
      <c r="I505" s="1" t="s">
        <v>4856</v>
      </c>
      <c r="J505" s="1" t="s">
        <v>7900</v>
      </c>
      <c r="K505" s="1" t="s">
        <v>7901</v>
      </c>
    </row>
    <row r="506" spans="1:11" ht="116" x14ac:dyDescent="0.35">
      <c r="A506" s="61"/>
      <c r="B506" s="61"/>
      <c r="C506" s="61" t="s">
        <v>7902</v>
      </c>
      <c r="D506" s="1" t="s">
        <v>7903</v>
      </c>
      <c r="E506" s="1" t="s">
        <v>7904</v>
      </c>
      <c r="F506" s="1" t="s">
        <v>5366</v>
      </c>
      <c r="G506" s="1" t="s">
        <v>7905</v>
      </c>
      <c r="H506" s="1" t="s">
        <v>7906</v>
      </c>
      <c r="I506" s="1" t="s">
        <v>4856</v>
      </c>
      <c r="J506" s="1" t="s">
        <v>7907</v>
      </c>
      <c r="K506" s="1" t="s">
        <v>7908</v>
      </c>
    </row>
    <row r="507" spans="1:11" ht="145" x14ac:dyDescent="0.35">
      <c r="A507" s="61"/>
      <c r="B507" s="61"/>
      <c r="C507" s="61"/>
      <c r="D507" s="1" t="s">
        <v>7909</v>
      </c>
      <c r="E507" s="1" t="s">
        <v>7910</v>
      </c>
      <c r="F507" s="1" t="s">
        <v>5366</v>
      </c>
      <c r="G507" s="1" t="s">
        <v>7911</v>
      </c>
      <c r="H507" s="1" t="s">
        <v>7912</v>
      </c>
      <c r="I507" s="1" t="s">
        <v>4856</v>
      </c>
      <c r="J507" s="1" t="s">
        <v>7913</v>
      </c>
      <c r="K507" s="1" t="s">
        <v>7914</v>
      </c>
    </row>
    <row r="508" spans="1:11" ht="145" x14ac:dyDescent="0.35">
      <c r="A508" s="61"/>
      <c r="B508" s="61"/>
      <c r="C508" s="61"/>
      <c r="D508" s="1" t="s">
        <v>7915</v>
      </c>
      <c r="E508" s="1" t="s">
        <v>7916</v>
      </c>
      <c r="F508" s="1" t="s">
        <v>5366</v>
      </c>
      <c r="G508" s="1" t="s">
        <v>7917</v>
      </c>
      <c r="H508" s="1" t="s">
        <v>7918</v>
      </c>
      <c r="I508" s="1" t="s">
        <v>120</v>
      </c>
      <c r="J508" s="1" t="s">
        <v>7919</v>
      </c>
      <c r="K508" s="1" t="s">
        <v>7920</v>
      </c>
    </row>
    <row r="509" spans="1:11" ht="130.5" x14ac:dyDescent="0.35">
      <c r="A509" s="61"/>
      <c r="B509" s="61"/>
      <c r="C509" s="61"/>
      <c r="D509" s="1" t="s">
        <v>7921</v>
      </c>
      <c r="E509" s="1" t="s">
        <v>7922</v>
      </c>
      <c r="F509" s="1" t="s">
        <v>5366</v>
      </c>
      <c r="G509" s="1" t="s">
        <v>7923</v>
      </c>
      <c r="H509" s="1" t="s">
        <v>7924</v>
      </c>
      <c r="I509" s="1" t="s">
        <v>120</v>
      </c>
      <c r="J509" s="1" t="s">
        <v>7925</v>
      </c>
      <c r="K509" s="1" t="s">
        <v>7926</v>
      </c>
    </row>
    <row r="510" spans="1:11" ht="159.5" x14ac:dyDescent="0.35">
      <c r="A510" s="61"/>
      <c r="B510" s="61"/>
      <c r="C510" s="61"/>
      <c r="D510" s="1" t="s">
        <v>7927</v>
      </c>
      <c r="E510" s="1" t="s">
        <v>7928</v>
      </c>
      <c r="F510" s="1" t="s">
        <v>5366</v>
      </c>
      <c r="G510" s="1" t="s">
        <v>7929</v>
      </c>
      <c r="H510" s="1" t="s">
        <v>7930</v>
      </c>
      <c r="I510" s="1" t="s">
        <v>4856</v>
      </c>
      <c r="J510" s="1" t="s">
        <v>7931</v>
      </c>
      <c r="K510" s="1" t="s">
        <v>7932</v>
      </c>
    </row>
    <row r="511" spans="1:11" ht="145" x14ac:dyDescent="0.35">
      <c r="A511" s="61"/>
      <c r="B511" s="62" t="s">
        <v>7933</v>
      </c>
      <c r="C511" s="62" t="s">
        <v>7934</v>
      </c>
      <c r="D511" s="1" t="s">
        <v>7935</v>
      </c>
      <c r="E511" s="1" t="s">
        <v>7936</v>
      </c>
      <c r="F511" s="1" t="s">
        <v>5366</v>
      </c>
      <c r="G511" s="1" t="s">
        <v>7937</v>
      </c>
      <c r="H511" s="1" t="s">
        <v>7938</v>
      </c>
      <c r="I511" s="1" t="s">
        <v>4856</v>
      </c>
      <c r="J511" s="1" t="s">
        <v>7939</v>
      </c>
      <c r="K511" s="1" t="s">
        <v>7940</v>
      </c>
    </row>
    <row r="512" spans="1:11" ht="145" x14ac:dyDescent="0.35">
      <c r="A512" s="61"/>
      <c r="B512" s="61"/>
      <c r="C512" s="61"/>
      <c r="D512" s="1" t="s">
        <v>7941</v>
      </c>
      <c r="E512" s="1" t="s">
        <v>7942</v>
      </c>
      <c r="F512" s="1" t="s">
        <v>5366</v>
      </c>
      <c r="G512" s="1" t="s">
        <v>7943</v>
      </c>
      <c r="H512" s="1" t="s">
        <v>7944</v>
      </c>
      <c r="I512" s="1" t="s">
        <v>4856</v>
      </c>
      <c r="J512" s="1" t="s">
        <v>7945</v>
      </c>
      <c r="K512" s="1" t="s">
        <v>7946</v>
      </c>
    </row>
    <row r="513" spans="1:11" ht="116" x14ac:dyDescent="0.35">
      <c r="A513" s="61"/>
      <c r="B513" s="61"/>
      <c r="C513" s="61"/>
      <c r="D513" s="1" t="s">
        <v>7947</v>
      </c>
      <c r="E513" s="1" t="s">
        <v>7948</v>
      </c>
      <c r="F513" s="1" t="s">
        <v>5366</v>
      </c>
      <c r="G513" s="1" t="s">
        <v>7949</v>
      </c>
      <c r="H513" s="1" t="s">
        <v>7950</v>
      </c>
      <c r="I513" s="1" t="s">
        <v>4856</v>
      </c>
      <c r="J513" s="1" t="s">
        <v>7951</v>
      </c>
      <c r="K513" s="1" t="s">
        <v>7952</v>
      </c>
    </row>
    <row r="514" spans="1:11" ht="174" x14ac:dyDescent="0.35">
      <c r="A514" s="61"/>
      <c r="B514" s="61"/>
      <c r="C514" s="61"/>
      <c r="D514" s="1" t="s">
        <v>7953</v>
      </c>
      <c r="E514" s="1" t="s">
        <v>7954</v>
      </c>
      <c r="F514" s="1" t="s">
        <v>5366</v>
      </c>
      <c r="G514" s="1" t="s">
        <v>7955</v>
      </c>
      <c r="H514" s="1" t="s">
        <v>7956</v>
      </c>
      <c r="I514" s="1" t="s">
        <v>120</v>
      </c>
      <c r="J514" s="1" t="s">
        <v>7957</v>
      </c>
      <c r="K514" s="1" t="s">
        <v>7958</v>
      </c>
    </row>
    <row r="515" spans="1:11" x14ac:dyDescent="0.35">
      <c r="A515" s="61"/>
      <c r="B515" s="61"/>
      <c r="C515" s="61"/>
    </row>
    <row r="516" spans="1:11" ht="145" x14ac:dyDescent="0.35">
      <c r="A516" s="61"/>
      <c r="B516" s="61"/>
      <c r="C516" s="62" t="s">
        <v>7959</v>
      </c>
      <c r="D516" s="1" t="s">
        <v>7960</v>
      </c>
      <c r="E516" s="1" t="s">
        <v>7961</v>
      </c>
      <c r="F516" s="1" t="s">
        <v>5366</v>
      </c>
      <c r="G516" s="1" t="s">
        <v>7962</v>
      </c>
      <c r="H516" s="1" t="s">
        <v>7963</v>
      </c>
      <c r="I516" s="1" t="s">
        <v>4856</v>
      </c>
      <c r="J516" s="1" t="s">
        <v>7964</v>
      </c>
      <c r="K516" s="1" t="s">
        <v>7965</v>
      </c>
    </row>
    <row r="517" spans="1:11" ht="145" x14ac:dyDescent="0.35">
      <c r="A517" s="61"/>
      <c r="B517" s="61"/>
      <c r="C517" s="61"/>
      <c r="D517" s="1" t="s">
        <v>7966</v>
      </c>
      <c r="E517" s="1" t="s">
        <v>7967</v>
      </c>
      <c r="F517" s="1" t="s">
        <v>5366</v>
      </c>
      <c r="G517" s="1" t="s">
        <v>7968</v>
      </c>
      <c r="H517" s="1" t="s">
        <v>7969</v>
      </c>
      <c r="I517" s="1" t="s">
        <v>4856</v>
      </c>
      <c r="J517" s="1" t="s">
        <v>7970</v>
      </c>
      <c r="K517" s="1" t="s">
        <v>7971</v>
      </c>
    </row>
    <row r="518" spans="1:11" ht="159.5" x14ac:dyDescent="0.35">
      <c r="A518" s="61"/>
      <c r="B518" s="61"/>
      <c r="C518" s="61"/>
      <c r="D518" s="1" t="s">
        <v>7972</v>
      </c>
      <c r="E518" s="1" t="s">
        <v>7973</v>
      </c>
      <c r="F518" s="1" t="s">
        <v>5366</v>
      </c>
      <c r="G518" s="1" t="s">
        <v>7974</v>
      </c>
      <c r="H518" s="1" t="s">
        <v>7975</v>
      </c>
      <c r="I518" s="1" t="s">
        <v>120</v>
      </c>
      <c r="J518" s="1" t="s">
        <v>7976</v>
      </c>
      <c r="K518" s="1" t="s">
        <v>7977</v>
      </c>
    </row>
    <row r="519" spans="1:11" ht="130.5" x14ac:dyDescent="0.35">
      <c r="A519" s="61"/>
      <c r="B519" s="61"/>
      <c r="C519" s="61"/>
      <c r="D519" s="1" t="s">
        <v>7978</v>
      </c>
      <c r="E519" s="1" t="s">
        <v>7979</v>
      </c>
      <c r="F519" s="1" t="s">
        <v>5366</v>
      </c>
      <c r="G519" s="1" t="s">
        <v>7980</v>
      </c>
      <c r="H519" s="1" t="s">
        <v>7981</v>
      </c>
      <c r="I519" s="1" t="s">
        <v>120</v>
      </c>
      <c r="J519" s="1" t="s">
        <v>7982</v>
      </c>
      <c r="K519" s="1" t="s">
        <v>7983</v>
      </c>
    </row>
    <row r="520" spans="1:11" ht="174" x14ac:dyDescent="0.35">
      <c r="A520" s="61"/>
      <c r="B520" s="61"/>
      <c r="C520" s="61"/>
      <c r="D520" s="1" t="s">
        <v>7984</v>
      </c>
      <c r="E520" s="1" t="s">
        <v>7985</v>
      </c>
      <c r="F520" s="1" t="s">
        <v>5366</v>
      </c>
      <c r="G520" s="1" t="s">
        <v>7986</v>
      </c>
      <c r="H520" s="1" t="s">
        <v>7987</v>
      </c>
      <c r="I520" s="1" t="s">
        <v>120</v>
      </c>
      <c r="J520" s="1" t="s">
        <v>7988</v>
      </c>
      <c r="K520" s="1" t="s">
        <v>7989</v>
      </c>
    </row>
    <row r="521" spans="1:11" ht="174" x14ac:dyDescent="0.35">
      <c r="A521" s="61"/>
      <c r="B521" s="61"/>
      <c r="C521" s="61" t="s">
        <v>7990</v>
      </c>
      <c r="D521" s="1" t="s">
        <v>7991</v>
      </c>
      <c r="E521" s="1" t="s">
        <v>7992</v>
      </c>
      <c r="F521" s="1" t="s">
        <v>5366</v>
      </c>
      <c r="G521" s="1" t="s">
        <v>7993</v>
      </c>
      <c r="H521" s="1" t="s">
        <v>7994</v>
      </c>
      <c r="I521" s="1" t="s">
        <v>4856</v>
      </c>
      <c r="J521" s="1" t="s">
        <v>7995</v>
      </c>
      <c r="K521" s="1" t="s">
        <v>7996</v>
      </c>
    </row>
    <row r="522" spans="1:11" ht="145" x14ac:dyDescent="0.35">
      <c r="A522" s="61"/>
      <c r="B522" s="61"/>
      <c r="C522" s="61"/>
      <c r="D522" s="1" t="s">
        <v>7997</v>
      </c>
      <c r="E522" s="1" t="s">
        <v>7998</v>
      </c>
      <c r="F522" s="1" t="s">
        <v>5366</v>
      </c>
      <c r="G522" s="1" t="s">
        <v>7999</v>
      </c>
      <c r="H522" s="1" t="s">
        <v>8000</v>
      </c>
      <c r="I522" s="1" t="s">
        <v>120</v>
      </c>
      <c r="J522" s="1" t="s">
        <v>8001</v>
      </c>
      <c r="K522" s="1" t="s">
        <v>8002</v>
      </c>
    </row>
    <row r="523" spans="1:11" ht="159.5" x14ac:dyDescent="0.35">
      <c r="A523" s="61"/>
      <c r="B523" s="61"/>
      <c r="C523" s="61"/>
      <c r="D523" s="1" t="s">
        <v>8003</v>
      </c>
      <c r="E523" s="1" t="s">
        <v>8004</v>
      </c>
      <c r="F523" s="1" t="s">
        <v>5366</v>
      </c>
      <c r="G523" s="1" t="s">
        <v>8005</v>
      </c>
      <c r="H523" s="1" t="s">
        <v>8006</v>
      </c>
      <c r="I523" s="1" t="s">
        <v>120</v>
      </c>
      <c r="J523" s="1" t="s">
        <v>8007</v>
      </c>
      <c r="K523" s="1" t="s">
        <v>8008</v>
      </c>
    </row>
    <row r="524" spans="1:11" ht="130.5" x14ac:dyDescent="0.35">
      <c r="A524" s="61"/>
      <c r="B524" s="61"/>
      <c r="C524" s="61"/>
      <c r="D524" s="1" t="s">
        <v>8009</v>
      </c>
      <c r="E524" s="1" t="s">
        <v>8010</v>
      </c>
      <c r="F524" s="1" t="s">
        <v>5366</v>
      </c>
      <c r="G524" s="1" t="s">
        <v>8011</v>
      </c>
      <c r="H524" s="1" t="s">
        <v>8012</v>
      </c>
      <c r="I524" s="1" t="s">
        <v>120</v>
      </c>
      <c r="J524" s="1" t="s">
        <v>8013</v>
      </c>
      <c r="K524" s="1" t="s">
        <v>8014</v>
      </c>
    </row>
    <row r="525" spans="1:11" ht="159.5" x14ac:dyDescent="0.35">
      <c r="A525" s="61"/>
      <c r="B525" s="61"/>
      <c r="C525" s="61"/>
      <c r="D525" s="1" t="s">
        <v>8015</v>
      </c>
      <c r="E525" s="1" t="s">
        <v>8016</v>
      </c>
      <c r="F525" s="1" t="s">
        <v>5366</v>
      </c>
      <c r="G525" s="1" t="s">
        <v>8017</v>
      </c>
      <c r="H525" s="1" t="s">
        <v>8018</v>
      </c>
      <c r="I525" s="1" t="s">
        <v>4856</v>
      </c>
      <c r="J525" s="1" t="s">
        <v>8019</v>
      </c>
      <c r="K525" s="1" t="s">
        <v>8020</v>
      </c>
    </row>
    <row r="526" spans="1:11" ht="159.5" x14ac:dyDescent="0.35">
      <c r="A526" s="61"/>
      <c r="B526" s="61"/>
      <c r="C526" s="62" t="s">
        <v>8021</v>
      </c>
      <c r="D526" s="1" t="s">
        <v>8022</v>
      </c>
      <c r="E526" s="1" t="s">
        <v>8023</v>
      </c>
      <c r="F526" s="1" t="s">
        <v>5366</v>
      </c>
      <c r="G526" s="1" t="s">
        <v>8024</v>
      </c>
      <c r="H526" s="1" t="s">
        <v>8025</v>
      </c>
      <c r="I526" s="1" t="s">
        <v>4856</v>
      </c>
      <c r="J526" s="1" t="s">
        <v>8026</v>
      </c>
      <c r="K526" s="1" t="s">
        <v>8027</v>
      </c>
    </row>
    <row r="527" spans="1:11" ht="145" x14ac:dyDescent="0.35">
      <c r="A527" s="61"/>
      <c r="B527" s="61"/>
      <c r="C527" s="61"/>
      <c r="D527" s="1" t="s">
        <v>8028</v>
      </c>
      <c r="E527" s="1" t="s">
        <v>8029</v>
      </c>
      <c r="F527" s="1" t="s">
        <v>5366</v>
      </c>
      <c r="G527" s="1" t="s">
        <v>8030</v>
      </c>
      <c r="H527" s="1" t="s">
        <v>8031</v>
      </c>
      <c r="I527" s="1" t="s">
        <v>120</v>
      </c>
      <c r="J527" s="1" t="s">
        <v>8032</v>
      </c>
      <c r="K527" s="1" t="s">
        <v>8033</v>
      </c>
    </row>
    <row r="528" spans="1:11" ht="145" x14ac:dyDescent="0.35">
      <c r="A528" s="61"/>
      <c r="B528" s="61"/>
      <c r="C528" s="61"/>
      <c r="D528" s="1" t="s">
        <v>8034</v>
      </c>
      <c r="E528" s="1" t="s">
        <v>8035</v>
      </c>
      <c r="F528" s="1" t="s">
        <v>5366</v>
      </c>
      <c r="G528" s="1" t="s">
        <v>8036</v>
      </c>
      <c r="H528" s="1" t="s">
        <v>8037</v>
      </c>
      <c r="I528" s="1" t="s">
        <v>120</v>
      </c>
      <c r="J528" s="1" t="s">
        <v>8038</v>
      </c>
      <c r="K528" s="1" t="s">
        <v>8039</v>
      </c>
    </row>
    <row r="529" spans="1:11" ht="145" x14ac:dyDescent="0.35">
      <c r="A529" s="61"/>
      <c r="B529" s="61"/>
      <c r="C529" s="61"/>
      <c r="D529" s="1" t="s">
        <v>8040</v>
      </c>
      <c r="E529" s="1" t="s">
        <v>8041</v>
      </c>
      <c r="F529" s="1" t="s">
        <v>5366</v>
      </c>
      <c r="G529" s="1" t="s">
        <v>8042</v>
      </c>
      <c r="H529" s="1" t="s">
        <v>8043</v>
      </c>
      <c r="I529" s="1" t="s">
        <v>4856</v>
      </c>
      <c r="J529" s="1" t="s">
        <v>8044</v>
      </c>
      <c r="K529" s="1" t="s">
        <v>8045</v>
      </c>
    </row>
    <row r="530" spans="1:11" ht="145" x14ac:dyDescent="0.35">
      <c r="A530" s="61"/>
      <c r="B530" s="61"/>
      <c r="C530" s="61"/>
      <c r="D530" s="1" t="s">
        <v>6030</v>
      </c>
      <c r="E530" s="1" t="s">
        <v>8046</v>
      </c>
      <c r="F530" s="1" t="s">
        <v>5366</v>
      </c>
      <c r="G530" s="1" t="s">
        <v>8047</v>
      </c>
      <c r="H530" s="1" t="s">
        <v>8048</v>
      </c>
      <c r="I530" s="1" t="s">
        <v>120</v>
      </c>
      <c r="J530" s="1" t="s">
        <v>8049</v>
      </c>
      <c r="K530" s="1" t="s">
        <v>8050</v>
      </c>
    </row>
    <row r="531" spans="1:11" ht="145" x14ac:dyDescent="0.35">
      <c r="A531" s="61"/>
      <c r="B531" s="61"/>
      <c r="C531" s="62" t="s">
        <v>8051</v>
      </c>
      <c r="D531" s="1" t="s">
        <v>8052</v>
      </c>
      <c r="E531" s="1" t="s">
        <v>8053</v>
      </c>
      <c r="F531" s="1" t="s">
        <v>5366</v>
      </c>
      <c r="G531" s="1" t="s">
        <v>8054</v>
      </c>
      <c r="H531" s="1" t="s">
        <v>8055</v>
      </c>
      <c r="I531" s="1" t="s">
        <v>4856</v>
      </c>
      <c r="J531" s="1" t="s">
        <v>8056</v>
      </c>
      <c r="K531" s="1" t="s">
        <v>8057</v>
      </c>
    </row>
    <row r="532" spans="1:11" ht="130.5" x14ac:dyDescent="0.35">
      <c r="A532" s="61"/>
      <c r="B532" s="61"/>
      <c r="C532" s="61"/>
      <c r="D532" s="1" t="s">
        <v>8058</v>
      </c>
      <c r="E532" s="1" t="s">
        <v>8059</v>
      </c>
      <c r="F532" s="1" t="s">
        <v>5366</v>
      </c>
      <c r="G532" s="1" t="s">
        <v>8060</v>
      </c>
      <c r="H532" s="1" t="s">
        <v>8061</v>
      </c>
      <c r="I532" s="1" t="s">
        <v>120</v>
      </c>
      <c r="J532" s="1" t="s">
        <v>8062</v>
      </c>
      <c r="K532" s="1" t="s">
        <v>8063</v>
      </c>
    </row>
    <row r="533" spans="1:11" ht="188.5" x14ac:dyDescent="0.35">
      <c r="A533" s="61"/>
      <c r="B533" s="61"/>
      <c r="C533" s="61"/>
      <c r="D533" s="1" t="s">
        <v>8064</v>
      </c>
      <c r="E533" s="1" t="s">
        <v>8065</v>
      </c>
      <c r="F533" s="1" t="s">
        <v>5366</v>
      </c>
      <c r="G533" s="1" t="s">
        <v>8066</v>
      </c>
      <c r="H533" s="1" t="s">
        <v>8067</v>
      </c>
      <c r="I533" s="1" t="s">
        <v>120</v>
      </c>
      <c r="J533" s="1" t="s">
        <v>8068</v>
      </c>
      <c r="K533" s="1" t="s">
        <v>8069</v>
      </c>
    </row>
    <row r="534" spans="1:11" ht="145" x14ac:dyDescent="0.35">
      <c r="A534" s="61"/>
      <c r="B534" s="61"/>
      <c r="C534" s="61"/>
      <c r="D534" s="1" t="s">
        <v>8070</v>
      </c>
      <c r="E534" s="1" t="s">
        <v>8071</v>
      </c>
      <c r="F534" s="1" t="s">
        <v>5366</v>
      </c>
      <c r="G534" s="1" t="s">
        <v>8072</v>
      </c>
      <c r="H534" s="1" t="s">
        <v>8073</v>
      </c>
      <c r="I534" s="1" t="s">
        <v>120</v>
      </c>
      <c r="J534" s="1" t="s">
        <v>8074</v>
      </c>
      <c r="K534" s="1" t="s">
        <v>8075</v>
      </c>
    </row>
    <row r="535" spans="1:11" ht="130.5" x14ac:dyDescent="0.35">
      <c r="A535" s="61"/>
      <c r="B535" s="61"/>
      <c r="C535" s="61"/>
      <c r="D535" s="1" t="s">
        <v>8076</v>
      </c>
      <c r="E535" s="1" t="s">
        <v>8077</v>
      </c>
      <c r="F535" s="1" t="s">
        <v>5366</v>
      </c>
      <c r="G535" s="1" t="s">
        <v>8078</v>
      </c>
      <c r="H535" s="1" t="s">
        <v>8079</v>
      </c>
      <c r="I535" s="1" t="s">
        <v>4856</v>
      </c>
      <c r="J535" s="1" t="s">
        <v>8080</v>
      </c>
      <c r="K535" s="1" t="s">
        <v>8081</v>
      </c>
    </row>
    <row r="536" spans="1:11" ht="159.5" x14ac:dyDescent="0.35">
      <c r="A536" s="61"/>
      <c r="B536" s="61"/>
      <c r="C536" s="62" t="s">
        <v>8082</v>
      </c>
      <c r="D536" s="1" t="s">
        <v>8083</v>
      </c>
      <c r="E536" s="1" t="s">
        <v>8084</v>
      </c>
      <c r="F536" s="1" t="s">
        <v>5366</v>
      </c>
      <c r="G536" s="1" t="s">
        <v>8085</v>
      </c>
      <c r="H536" s="1" t="s">
        <v>8086</v>
      </c>
      <c r="I536" s="1" t="s">
        <v>4856</v>
      </c>
      <c r="J536" s="1" t="s">
        <v>8087</v>
      </c>
      <c r="K536" s="1" t="s">
        <v>8088</v>
      </c>
    </row>
    <row r="537" spans="1:11" ht="116" x14ac:dyDescent="0.35">
      <c r="A537" s="61"/>
      <c r="B537" s="61"/>
      <c r="C537" s="61"/>
      <c r="D537" s="1" t="s">
        <v>8089</v>
      </c>
      <c r="E537" s="1" t="s">
        <v>8090</v>
      </c>
      <c r="F537" s="1" t="s">
        <v>5366</v>
      </c>
      <c r="G537" s="1" t="s">
        <v>8091</v>
      </c>
      <c r="H537" s="1" t="s">
        <v>8092</v>
      </c>
      <c r="I537" s="1" t="s">
        <v>120</v>
      </c>
      <c r="J537" s="1" t="s">
        <v>8093</v>
      </c>
      <c r="K537" s="1" t="s">
        <v>8094</v>
      </c>
    </row>
    <row r="538" spans="1:11" ht="174" x14ac:dyDescent="0.35">
      <c r="A538" s="61"/>
      <c r="B538" s="61"/>
      <c r="C538" s="61"/>
      <c r="D538" s="1" t="s">
        <v>8095</v>
      </c>
      <c r="E538" s="1" t="s">
        <v>8096</v>
      </c>
      <c r="F538" s="1" t="s">
        <v>5366</v>
      </c>
      <c r="G538" s="1" t="s">
        <v>8097</v>
      </c>
      <c r="H538" s="1" t="s">
        <v>8098</v>
      </c>
      <c r="I538" s="1" t="s">
        <v>120</v>
      </c>
      <c r="J538" s="1" t="s">
        <v>8099</v>
      </c>
      <c r="K538" s="1" t="s">
        <v>8100</v>
      </c>
    </row>
    <row r="539" spans="1:11" ht="145" x14ac:dyDescent="0.35">
      <c r="A539" s="61"/>
      <c r="B539" s="61"/>
      <c r="C539" s="61"/>
      <c r="D539" s="1" t="s">
        <v>8101</v>
      </c>
      <c r="E539" s="1" t="s">
        <v>8102</v>
      </c>
      <c r="F539" s="1" t="s">
        <v>5366</v>
      </c>
      <c r="G539" s="1" t="s">
        <v>8103</v>
      </c>
      <c r="H539" s="1" t="s">
        <v>8104</v>
      </c>
      <c r="I539" s="1" t="s">
        <v>120</v>
      </c>
      <c r="J539" s="1" t="s">
        <v>8105</v>
      </c>
      <c r="K539" s="1" t="s">
        <v>8106</v>
      </c>
    </row>
    <row r="540" spans="1:11" ht="188.5" x14ac:dyDescent="0.35">
      <c r="A540" s="61"/>
      <c r="B540" s="61"/>
      <c r="C540" s="61"/>
      <c r="D540" s="1" t="s">
        <v>8107</v>
      </c>
      <c r="E540" s="1" t="s">
        <v>8108</v>
      </c>
      <c r="F540" s="1" t="s">
        <v>5366</v>
      </c>
      <c r="G540" s="1" t="s">
        <v>8109</v>
      </c>
      <c r="H540" s="1" t="s">
        <v>8110</v>
      </c>
      <c r="I540" s="1" t="s">
        <v>4856</v>
      </c>
      <c r="J540" s="1" t="s">
        <v>8111</v>
      </c>
      <c r="K540" s="1" t="s">
        <v>8112</v>
      </c>
    </row>
    <row r="541" spans="1:11" ht="130.5" x14ac:dyDescent="0.35">
      <c r="A541" s="61"/>
      <c r="B541" s="61"/>
      <c r="C541" s="62" t="s">
        <v>8113</v>
      </c>
      <c r="D541" s="1" t="s">
        <v>8114</v>
      </c>
      <c r="E541" s="1" t="s">
        <v>8115</v>
      </c>
      <c r="F541" s="1" t="s">
        <v>5366</v>
      </c>
      <c r="G541" s="1" t="s">
        <v>8116</v>
      </c>
      <c r="H541" s="1" t="s">
        <v>8117</v>
      </c>
      <c r="I541" s="1" t="s">
        <v>120</v>
      </c>
      <c r="J541" s="1" t="s">
        <v>8118</v>
      </c>
      <c r="K541" s="1" t="s">
        <v>8119</v>
      </c>
    </row>
    <row r="542" spans="1:11" ht="159.5" x14ac:dyDescent="0.35">
      <c r="A542" s="61"/>
      <c r="B542" s="61"/>
      <c r="C542" s="61"/>
      <c r="D542" s="1" t="s">
        <v>8120</v>
      </c>
      <c r="E542" s="1" t="s">
        <v>8121</v>
      </c>
      <c r="F542" s="1" t="s">
        <v>5366</v>
      </c>
      <c r="G542" s="1" t="s">
        <v>8122</v>
      </c>
      <c r="H542" s="1" t="s">
        <v>8123</v>
      </c>
      <c r="I542" s="1" t="s">
        <v>120</v>
      </c>
      <c r="J542" s="1" t="s">
        <v>8124</v>
      </c>
      <c r="K542" s="1" t="s">
        <v>8125</v>
      </c>
    </row>
    <row r="543" spans="1:11" ht="174" x14ac:dyDescent="0.35">
      <c r="A543" s="61"/>
      <c r="B543" s="61"/>
      <c r="C543" s="61"/>
      <c r="D543" s="1" t="s">
        <v>8126</v>
      </c>
      <c r="E543" s="1" t="s">
        <v>8127</v>
      </c>
      <c r="F543" s="1" t="s">
        <v>5366</v>
      </c>
      <c r="G543" s="1" t="s">
        <v>8128</v>
      </c>
      <c r="H543" s="1" t="s">
        <v>8129</v>
      </c>
      <c r="I543" s="1" t="s">
        <v>120</v>
      </c>
      <c r="J543" s="1" t="s">
        <v>8130</v>
      </c>
      <c r="K543" s="1" t="s">
        <v>8131</v>
      </c>
    </row>
    <row r="544" spans="1:11" ht="174" x14ac:dyDescent="0.35">
      <c r="A544" s="61"/>
      <c r="B544" s="61"/>
      <c r="C544" s="61"/>
      <c r="D544" s="1" t="s">
        <v>8132</v>
      </c>
      <c r="E544" s="1" t="s">
        <v>8133</v>
      </c>
      <c r="F544" s="1" t="s">
        <v>5366</v>
      </c>
      <c r="G544" s="1" t="s">
        <v>8134</v>
      </c>
      <c r="H544" s="1" t="s">
        <v>8135</v>
      </c>
      <c r="I544" s="1" t="s">
        <v>120</v>
      </c>
      <c r="J544" s="1" t="s">
        <v>8136</v>
      </c>
      <c r="K544" s="1" t="s">
        <v>8137</v>
      </c>
    </row>
    <row r="545" spans="1:11" ht="159.5" x14ac:dyDescent="0.35">
      <c r="A545" s="61"/>
      <c r="B545" s="61"/>
      <c r="C545" s="61"/>
      <c r="D545" s="1" t="s">
        <v>8138</v>
      </c>
      <c r="E545" s="1" t="s">
        <v>8139</v>
      </c>
      <c r="F545" s="1" t="s">
        <v>5366</v>
      </c>
      <c r="G545" s="1" t="s">
        <v>8140</v>
      </c>
      <c r="H545" s="1" t="s">
        <v>8141</v>
      </c>
      <c r="I545" s="1" t="s">
        <v>120</v>
      </c>
      <c r="J545" s="1" t="s">
        <v>8142</v>
      </c>
      <c r="K545" s="1" t="s">
        <v>8143</v>
      </c>
    </row>
    <row r="546" spans="1:11" ht="145" x14ac:dyDescent="0.35">
      <c r="A546" s="61"/>
      <c r="B546" s="61"/>
      <c r="C546" s="61" t="s">
        <v>8144</v>
      </c>
      <c r="D546" s="1" t="s">
        <v>8145</v>
      </c>
      <c r="E546" s="1" t="s">
        <v>8146</v>
      </c>
      <c r="F546" s="1" t="s">
        <v>5366</v>
      </c>
      <c r="G546" s="1" t="s">
        <v>8147</v>
      </c>
      <c r="H546" s="1" t="s">
        <v>8148</v>
      </c>
      <c r="I546" s="1" t="s">
        <v>4856</v>
      </c>
      <c r="J546" s="1" t="s">
        <v>8149</v>
      </c>
      <c r="K546" s="1" t="s">
        <v>8150</v>
      </c>
    </row>
    <row r="547" spans="1:11" ht="145" x14ac:dyDescent="0.35">
      <c r="A547" s="61"/>
      <c r="B547" s="61"/>
      <c r="C547" s="61"/>
      <c r="D547" s="1" t="s">
        <v>8151</v>
      </c>
      <c r="E547" s="1" t="s">
        <v>8152</v>
      </c>
      <c r="F547" s="1" t="s">
        <v>5366</v>
      </c>
      <c r="G547" s="1" t="s">
        <v>8153</v>
      </c>
      <c r="H547" s="1" t="s">
        <v>8154</v>
      </c>
      <c r="I547" s="1" t="s">
        <v>4856</v>
      </c>
      <c r="J547" s="1" t="s">
        <v>8155</v>
      </c>
      <c r="K547" s="1" t="s">
        <v>8156</v>
      </c>
    </row>
    <row r="548" spans="1:11" ht="145" x14ac:dyDescent="0.35">
      <c r="A548" s="61"/>
      <c r="B548" s="61"/>
      <c r="C548" s="61"/>
      <c r="D548" s="1" t="s">
        <v>8157</v>
      </c>
      <c r="E548" s="1" t="s">
        <v>8158</v>
      </c>
      <c r="F548" s="1" t="s">
        <v>5366</v>
      </c>
      <c r="G548" s="1" t="s">
        <v>8159</v>
      </c>
      <c r="H548" s="1" t="s">
        <v>8160</v>
      </c>
      <c r="I548" s="1" t="s">
        <v>120</v>
      </c>
      <c r="J548" s="1" t="s">
        <v>8161</v>
      </c>
      <c r="K548" s="1" t="s">
        <v>8162</v>
      </c>
    </row>
    <row r="549" spans="1:11" ht="174" x14ac:dyDescent="0.35">
      <c r="A549" s="61"/>
      <c r="B549" s="61"/>
      <c r="C549" s="61"/>
      <c r="D549" s="1" t="s">
        <v>8163</v>
      </c>
      <c r="E549" s="1" t="s">
        <v>8164</v>
      </c>
      <c r="F549" s="1" t="s">
        <v>5366</v>
      </c>
      <c r="G549" s="1" t="s">
        <v>8165</v>
      </c>
      <c r="H549" s="1" t="s">
        <v>8166</v>
      </c>
      <c r="I549" s="1" t="s">
        <v>120</v>
      </c>
      <c r="J549" s="1" t="s">
        <v>8167</v>
      </c>
      <c r="K549" s="1" t="s">
        <v>8168</v>
      </c>
    </row>
    <row r="550" spans="1:11" ht="159.5" x14ac:dyDescent="0.35">
      <c r="A550" s="61"/>
      <c r="B550" s="61"/>
      <c r="C550" s="61"/>
      <c r="D550" s="1" t="s">
        <v>8169</v>
      </c>
      <c r="E550" s="1" t="s">
        <v>8170</v>
      </c>
      <c r="F550" s="1" t="s">
        <v>5366</v>
      </c>
      <c r="G550" s="1" t="s">
        <v>8171</v>
      </c>
      <c r="H550" s="1" t="s">
        <v>8172</v>
      </c>
      <c r="I550" s="1" t="s">
        <v>4856</v>
      </c>
      <c r="J550" s="1" t="s">
        <v>8173</v>
      </c>
      <c r="K550" s="1" t="s">
        <v>8174</v>
      </c>
    </row>
    <row r="551" spans="1:11" ht="130.5" x14ac:dyDescent="0.35">
      <c r="A551" s="61"/>
      <c r="B551" s="61"/>
      <c r="C551" s="61" t="s">
        <v>8175</v>
      </c>
      <c r="D551" s="1" t="s">
        <v>8176</v>
      </c>
      <c r="E551" s="1" t="s">
        <v>8177</v>
      </c>
      <c r="F551" s="1" t="s">
        <v>5366</v>
      </c>
      <c r="G551" s="1" t="s">
        <v>8178</v>
      </c>
      <c r="H551" s="1" t="s">
        <v>8179</v>
      </c>
      <c r="I551" s="1" t="s">
        <v>4856</v>
      </c>
      <c r="J551" s="1" t="s">
        <v>8180</v>
      </c>
      <c r="K551" s="1" t="s">
        <v>8181</v>
      </c>
    </row>
    <row r="552" spans="1:11" ht="159.5" x14ac:dyDescent="0.35">
      <c r="A552" s="61"/>
      <c r="B552" s="61"/>
      <c r="C552" s="61"/>
      <c r="D552" s="1" t="s">
        <v>8182</v>
      </c>
      <c r="E552" s="1" t="s">
        <v>8183</v>
      </c>
      <c r="F552" s="1" t="s">
        <v>5366</v>
      </c>
      <c r="G552" s="1" t="s">
        <v>8184</v>
      </c>
      <c r="H552" s="1" t="s">
        <v>8185</v>
      </c>
      <c r="I552" s="1" t="s">
        <v>120</v>
      </c>
      <c r="J552" s="1" t="s">
        <v>8186</v>
      </c>
      <c r="K552" s="1" t="s">
        <v>8187</v>
      </c>
    </row>
    <row r="553" spans="1:11" ht="174" x14ac:dyDescent="0.35">
      <c r="A553" s="61"/>
      <c r="B553" s="61"/>
      <c r="C553" s="61"/>
      <c r="D553" s="1" t="s">
        <v>8188</v>
      </c>
      <c r="E553" s="1" t="s">
        <v>8189</v>
      </c>
      <c r="F553" s="1" t="s">
        <v>5366</v>
      </c>
      <c r="G553" s="1" t="s">
        <v>8190</v>
      </c>
      <c r="H553" s="1" t="s">
        <v>8191</v>
      </c>
      <c r="I553" s="1" t="s">
        <v>120</v>
      </c>
      <c r="J553" s="1" t="s">
        <v>8192</v>
      </c>
      <c r="K553" s="1" t="s">
        <v>8193</v>
      </c>
    </row>
    <row r="554" spans="1:11" ht="145" x14ac:dyDescent="0.35">
      <c r="A554" s="61"/>
      <c r="B554" s="61"/>
      <c r="C554" s="61"/>
      <c r="D554" s="1" t="s">
        <v>8194</v>
      </c>
      <c r="E554" s="1" t="s">
        <v>8195</v>
      </c>
      <c r="F554" s="1" t="s">
        <v>5366</v>
      </c>
      <c r="G554" s="1" t="s">
        <v>8196</v>
      </c>
      <c r="H554" s="1" t="s">
        <v>8197</v>
      </c>
      <c r="I554" s="1" t="s">
        <v>120</v>
      </c>
      <c r="J554" s="1" t="s">
        <v>8198</v>
      </c>
      <c r="K554" s="1" t="s">
        <v>8199</v>
      </c>
    </row>
    <row r="555" spans="1:11" ht="203" x14ac:dyDescent="0.35">
      <c r="A555" s="61"/>
      <c r="B555" s="61"/>
      <c r="C555" s="61"/>
      <c r="D555" s="1" t="s">
        <v>8200</v>
      </c>
      <c r="E555" s="1" t="s">
        <v>8201</v>
      </c>
      <c r="F555" s="1" t="s">
        <v>5366</v>
      </c>
      <c r="G555" s="1" t="s">
        <v>8202</v>
      </c>
      <c r="H555" s="1" t="s">
        <v>8203</v>
      </c>
      <c r="I555" s="1" t="s">
        <v>4856</v>
      </c>
      <c r="J555" s="1" t="s">
        <v>8204</v>
      </c>
      <c r="K555" s="1" t="s">
        <v>8205</v>
      </c>
    </row>
    <row r="556" spans="1:11" ht="130.5" x14ac:dyDescent="0.35">
      <c r="A556" s="61"/>
      <c r="B556" s="61" t="s">
        <v>8206</v>
      </c>
      <c r="C556" s="62" t="s">
        <v>8207</v>
      </c>
      <c r="D556" s="1" t="s">
        <v>8208</v>
      </c>
      <c r="E556" s="1" t="s">
        <v>8209</v>
      </c>
      <c r="F556" s="1" t="s">
        <v>5366</v>
      </c>
      <c r="G556" s="1" t="s">
        <v>8210</v>
      </c>
      <c r="H556" s="1" t="s">
        <v>8211</v>
      </c>
      <c r="I556" s="1" t="s">
        <v>4856</v>
      </c>
      <c r="J556" s="1" t="s">
        <v>8212</v>
      </c>
      <c r="K556" s="1" t="s">
        <v>8213</v>
      </c>
    </row>
    <row r="557" spans="1:11" ht="145" x14ac:dyDescent="0.35">
      <c r="A557" s="61"/>
      <c r="B557" s="61"/>
      <c r="C557" s="61"/>
      <c r="D557" s="1" t="s">
        <v>8214</v>
      </c>
      <c r="E557" s="1" t="s">
        <v>8215</v>
      </c>
      <c r="F557" s="1" t="s">
        <v>5366</v>
      </c>
      <c r="G557" s="1" t="s">
        <v>8216</v>
      </c>
      <c r="H557" s="1" t="s">
        <v>8217</v>
      </c>
      <c r="I557" s="1" t="s">
        <v>4856</v>
      </c>
      <c r="J557" s="1" t="s">
        <v>8218</v>
      </c>
      <c r="K557" s="1" t="s">
        <v>8219</v>
      </c>
    </row>
    <row r="558" spans="1:11" ht="159.5" x14ac:dyDescent="0.35">
      <c r="A558" s="61"/>
      <c r="B558" s="61"/>
      <c r="C558" s="61"/>
      <c r="D558" s="1" t="s">
        <v>8220</v>
      </c>
      <c r="E558" s="1" t="s">
        <v>8221</v>
      </c>
      <c r="F558" s="1" t="s">
        <v>5366</v>
      </c>
      <c r="G558" s="1" t="s">
        <v>8222</v>
      </c>
      <c r="H558" s="1" t="s">
        <v>8223</v>
      </c>
      <c r="I558" s="1" t="s">
        <v>120</v>
      </c>
      <c r="J558" s="1" t="s">
        <v>8224</v>
      </c>
      <c r="K558" s="1" t="s">
        <v>8225</v>
      </c>
    </row>
    <row r="559" spans="1:11" ht="145" x14ac:dyDescent="0.35">
      <c r="A559" s="61"/>
      <c r="B559" s="61"/>
      <c r="C559" s="61"/>
      <c r="D559" s="1" t="s">
        <v>8226</v>
      </c>
      <c r="E559" s="1" t="s">
        <v>8227</v>
      </c>
      <c r="F559" s="1" t="s">
        <v>5366</v>
      </c>
      <c r="G559" s="1" t="s">
        <v>8228</v>
      </c>
      <c r="H559" s="1" t="s">
        <v>8229</v>
      </c>
      <c r="I559" s="1" t="s">
        <v>120</v>
      </c>
      <c r="J559" s="1" t="s">
        <v>8230</v>
      </c>
      <c r="K559" s="1" t="s">
        <v>8231</v>
      </c>
    </row>
    <row r="560" spans="1:11" ht="159.5" x14ac:dyDescent="0.35">
      <c r="A560" s="61"/>
      <c r="B560" s="61"/>
      <c r="C560" s="61"/>
      <c r="D560" s="1" t="s">
        <v>8232</v>
      </c>
      <c r="E560" s="1" t="s">
        <v>8233</v>
      </c>
      <c r="F560" s="1" t="s">
        <v>5366</v>
      </c>
      <c r="G560" s="1" t="s">
        <v>8234</v>
      </c>
      <c r="H560" s="1" t="s">
        <v>8235</v>
      </c>
      <c r="I560" s="1" t="s">
        <v>120</v>
      </c>
      <c r="J560" s="1" t="s">
        <v>8236</v>
      </c>
      <c r="K560" s="1" t="s">
        <v>8237</v>
      </c>
    </row>
    <row r="561" spans="1:11" ht="159.5" x14ac:dyDescent="0.35">
      <c r="A561" s="61"/>
      <c r="B561" s="61"/>
      <c r="C561" s="61" t="s">
        <v>8238</v>
      </c>
      <c r="D561" s="1" t="s">
        <v>8239</v>
      </c>
      <c r="E561" s="1" t="s">
        <v>8240</v>
      </c>
      <c r="F561" s="1" t="s">
        <v>5366</v>
      </c>
      <c r="G561" s="1" t="s">
        <v>8241</v>
      </c>
      <c r="H561" s="1" t="s">
        <v>8242</v>
      </c>
      <c r="I561" s="1" t="s">
        <v>4856</v>
      </c>
      <c r="J561" s="1" t="s">
        <v>8243</v>
      </c>
      <c r="K561" s="1" t="s">
        <v>8244</v>
      </c>
    </row>
    <row r="562" spans="1:11" ht="130.5" x14ac:dyDescent="0.35">
      <c r="A562" s="61"/>
      <c r="B562" s="61"/>
      <c r="C562" s="61"/>
      <c r="D562" s="1" t="s">
        <v>8245</v>
      </c>
      <c r="E562" s="1" t="s">
        <v>8246</v>
      </c>
      <c r="F562" s="1" t="s">
        <v>5366</v>
      </c>
      <c r="G562" s="1" t="s">
        <v>8247</v>
      </c>
      <c r="H562" s="1" t="s">
        <v>8248</v>
      </c>
      <c r="I562" s="1" t="s">
        <v>120</v>
      </c>
      <c r="J562" s="1" t="s">
        <v>8249</v>
      </c>
      <c r="K562" s="1" t="s">
        <v>8250</v>
      </c>
    </row>
    <row r="563" spans="1:11" ht="145" x14ac:dyDescent="0.35">
      <c r="A563" s="61"/>
      <c r="B563" s="61"/>
      <c r="C563" s="61"/>
      <c r="D563" s="1" t="s">
        <v>8251</v>
      </c>
      <c r="E563" s="1" t="s">
        <v>8252</v>
      </c>
      <c r="F563" s="1" t="s">
        <v>5366</v>
      </c>
      <c r="G563" s="1" t="s">
        <v>8253</v>
      </c>
      <c r="H563" s="1" t="s">
        <v>8254</v>
      </c>
      <c r="I563" s="1" t="s">
        <v>120</v>
      </c>
      <c r="J563" s="1" t="s">
        <v>8255</v>
      </c>
      <c r="K563" s="1" t="s">
        <v>8256</v>
      </c>
    </row>
    <row r="564" spans="1:11" ht="145" x14ac:dyDescent="0.35">
      <c r="A564" s="61"/>
      <c r="B564" s="61"/>
      <c r="C564" s="61"/>
      <c r="D564" s="1" t="s">
        <v>8257</v>
      </c>
      <c r="E564" s="1" t="s">
        <v>8258</v>
      </c>
      <c r="F564" s="1" t="s">
        <v>5366</v>
      </c>
      <c r="G564" s="1" t="s">
        <v>8259</v>
      </c>
      <c r="H564" s="1" t="s">
        <v>8260</v>
      </c>
      <c r="I564" s="1" t="s">
        <v>4856</v>
      </c>
      <c r="J564" s="1" t="s">
        <v>8261</v>
      </c>
      <c r="K564" s="1" t="s">
        <v>8262</v>
      </c>
    </row>
    <row r="565" spans="1:11" ht="130.5" x14ac:dyDescent="0.35">
      <c r="A565" s="61"/>
      <c r="B565" s="61"/>
      <c r="C565" s="61"/>
      <c r="D565" s="1" t="s">
        <v>8263</v>
      </c>
      <c r="E565" s="1" t="s">
        <v>8264</v>
      </c>
      <c r="F565" s="1" t="s">
        <v>5366</v>
      </c>
      <c r="G565" s="1" t="s">
        <v>8265</v>
      </c>
      <c r="H565" s="1" t="s">
        <v>8266</v>
      </c>
      <c r="I565" s="1" t="s">
        <v>120</v>
      </c>
      <c r="J565" s="1" t="s">
        <v>8267</v>
      </c>
      <c r="K565" s="1" t="s">
        <v>8268</v>
      </c>
    </row>
    <row r="566" spans="1:11" ht="130.5" x14ac:dyDescent="0.35">
      <c r="A566" s="61"/>
      <c r="B566" s="61"/>
      <c r="C566" s="62" t="s">
        <v>8269</v>
      </c>
      <c r="D566" s="1" t="s">
        <v>8270</v>
      </c>
      <c r="E566" s="1" t="s">
        <v>8271</v>
      </c>
      <c r="F566" s="1" t="s">
        <v>5366</v>
      </c>
      <c r="G566" s="1" t="s">
        <v>8272</v>
      </c>
      <c r="H566" s="1" t="s">
        <v>8273</v>
      </c>
      <c r="I566" s="1" t="s">
        <v>4856</v>
      </c>
      <c r="J566" s="1" t="s">
        <v>8274</v>
      </c>
      <c r="K566" s="1" t="s">
        <v>8275</v>
      </c>
    </row>
    <row r="567" spans="1:11" ht="130.5" x14ac:dyDescent="0.35">
      <c r="A567" s="61"/>
      <c r="B567" s="61"/>
      <c r="C567" s="61"/>
      <c r="D567" s="1" t="s">
        <v>8276</v>
      </c>
      <c r="E567" s="1" t="s">
        <v>8277</v>
      </c>
      <c r="F567" s="1" t="s">
        <v>5366</v>
      </c>
      <c r="G567" s="1" t="s">
        <v>8278</v>
      </c>
      <c r="H567" s="1" t="s">
        <v>8279</v>
      </c>
      <c r="I567" s="1" t="s">
        <v>4856</v>
      </c>
      <c r="J567" s="1" t="s">
        <v>8280</v>
      </c>
      <c r="K567" s="1" t="s">
        <v>8281</v>
      </c>
    </row>
    <row r="568" spans="1:11" ht="145" x14ac:dyDescent="0.35">
      <c r="A568" s="61"/>
      <c r="B568" s="61"/>
      <c r="C568" s="61"/>
      <c r="D568" s="1" t="s">
        <v>8282</v>
      </c>
      <c r="E568" s="1" t="s">
        <v>8283</v>
      </c>
      <c r="F568" s="1" t="s">
        <v>5366</v>
      </c>
      <c r="G568" s="1" t="s">
        <v>8284</v>
      </c>
      <c r="H568" s="1" t="s">
        <v>8285</v>
      </c>
      <c r="I568" s="1" t="s">
        <v>120</v>
      </c>
      <c r="J568" s="1" t="s">
        <v>8286</v>
      </c>
      <c r="K568" s="1" t="s">
        <v>8287</v>
      </c>
    </row>
    <row r="569" spans="1:11" ht="145" x14ac:dyDescent="0.35">
      <c r="A569" s="61"/>
      <c r="B569" s="61"/>
      <c r="C569" s="61"/>
      <c r="D569" s="1" t="s">
        <v>8288</v>
      </c>
      <c r="E569" s="1" t="s">
        <v>8289</v>
      </c>
      <c r="F569" s="1" t="s">
        <v>5366</v>
      </c>
      <c r="G569" s="1" t="s">
        <v>8290</v>
      </c>
      <c r="H569" s="1" t="s">
        <v>8291</v>
      </c>
      <c r="I569" s="1" t="s">
        <v>120</v>
      </c>
      <c r="J569" s="1" t="s">
        <v>8292</v>
      </c>
      <c r="K569" s="1" t="s">
        <v>8293</v>
      </c>
    </row>
    <row r="570" spans="1:11" ht="174" x14ac:dyDescent="0.35">
      <c r="A570" s="61"/>
      <c r="B570" s="61"/>
      <c r="C570" s="61"/>
      <c r="D570" s="1" t="s">
        <v>8294</v>
      </c>
      <c r="E570" s="1" t="s">
        <v>8295</v>
      </c>
      <c r="F570" s="1" t="s">
        <v>5366</v>
      </c>
      <c r="G570" s="1" t="s">
        <v>8296</v>
      </c>
      <c r="H570" s="1" t="s">
        <v>8297</v>
      </c>
      <c r="I570" s="1" t="s">
        <v>120</v>
      </c>
      <c r="J570" s="1" t="s">
        <v>8298</v>
      </c>
      <c r="K570" s="1" t="s">
        <v>8299</v>
      </c>
    </row>
    <row r="571" spans="1:11" ht="159.5" x14ac:dyDescent="0.35">
      <c r="A571" s="61"/>
      <c r="B571" s="61"/>
      <c r="C571" s="62" t="s">
        <v>8300</v>
      </c>
      <c r="D571" s="1" t="s">
        <v>8301</v>
      </c>
      <c r="E571" s="1" t="s">
        <v>8302</v>
      </c>
      <c r="F571" s="1" t="s">
        <v>5366</v>
      </c>
      <c r="G571" s="1" t="s">
        <v>8303</v>
      </c>
      <c r="H571" s="1" t="s">
        <v>8304</v>
      </c>
      <c r="I571" s="1" t="s">
        <v>4856</v>
      </c>
      <c r="J571" s="1" t="s">
        <v>8305</v>
      </c>
      <c r="K571" s="1" t="s">
        <v>8306</v>
      </c>
    </row>
    <row r="572" spans="1:11" ht="174" x14ac:dyDescent="0.35">
      <c r="A572" s="61"/>
      <c r="B572" s="61"/>
      <c r="C572" s="61"/>
      <c r="D572" s="1" t="s">
        <v>8307</v>
      </c>
      <c r="E572" s="1" t="s">
        <v>8308</v>
      </c>
      <c r="F572" s="1" t="s">
        <v>5366</v>
      </c>
      <c r="G572" s="1" t="s">
        <v>8309</v>
      </c>
      <c r="H572" s="1" t="s">
        <v>8310</v>
      </c>
      <c r="I572" s="1" t="s">
        <v>120</v>
      </c>
      <c r="J572" s="1" t="s">
        <v>8311</v>
      </c>
      <c r="K572" s="1" t="s">
        <v>8312</v>
      </c>
    </row>
    <row r="573" spans="1:11" ht="130.5" x14ac:dyDescent="0.35">
      <c r="A573" s="61"/>
      <c r="B573" s="61"/>
      <c r="C573" s="61"/>
      <c r="D573" s="1" t="s">
        <v>8313</v>
      </c>
      <c r="E573" s="1" t="s">
        <v>8314</v>
      </c>
      <c r="F573" s="1" t="s">
        <v>5366</v>
      </c>
      <c r="G573" s="1" t="s">
        <v>8315</v>
      </c>
      <c r="H573" s="1" t="s">
        <v>8316</v>
      </c>
      <c r="I573" s="1" t="s">
        <v>4856</v>
      </c>
      <c r="J573" s="1" t="s">
        <v>8317</v>
      </c>
      <c r="K573" s="1" t="s">
        <v>8318</v>
      </c>
    </row>
    <row r="574" spans="1:11" ht="174" x14ac:dyDescent="0.35">
      <c r="A574" s="61"/>
      <c r="B574" s="61"/>
      <c r="C574" s="61"/>
      <c r="D574" s="1" t="s">
        <v>8319</v>
      </c>
      <c r="E574" s="1" t="s">
        <v>8320</v>
      </c>
      <c r="F574" s="1" t="s">
        <v>5366</v>
      </c>
      <c r="G574" s="1" t="s">
        <v>8321</v>
      </c>
      <c r="H574" s="1" t="s">
        <v>8322</v>
      </c>
      <c r="I574" s="1" t="s">
        <v>120</v>
      </c>
      <c r="J574" s="1" t="s">
        <v>8323</v>
      </c>
      <c r="K574" s="1" t="s">
        <v>8324</v>
      </c>
    </row>
    <row r="575" spans="1:11" ht="159.5" x14ac:dyDescent="0.35">
      <c r="A575" s="61"/>
      <c r="B575" s="61"/>
      <c r="C575" s="61"/>
      <c r="D575" s="1" t="s">
        <v>8325</v>
      </c>
      <c r="E575" s="1" t="s">
        <v>8326</v>
      </c>
      <c r="F575" s="1" t="s">
        <v>5366</v>
      </c>
      <c r="G575" s="1" t="s">
        <v>8327</v>
      </c>
      <c r="H575" s="1" t="s">
        <v>8328</v>
      </c>
      <c r="I575" s="1" t="s">
        <v>120</v>
      </c>
      <c r="J575" s="1" t="s">
        <v>8329</v>
      </c>
      <c r="K575" s="1" t="s">
        <v>8330</v>
      </c>
    </row>
    <row r="576" spans="1:11" ht="145" x14ac:dyDescent="0.35">
      <c r="A576" s="61"/>
      <c r="B576" s="61"/>
      <c r="C576" s="62" t="s">
        <v>8331</v>
      </c>
      <c r="D576" s="1" t="s">
        <v>8332</v>
      </c>
      <c r="E576" s="1" t="s">
        <v>8333</v>
      </c>
      <c r="F576" s="1" t="s">
        <v>5366</v>
      </c>
      <c r="G576" s="1" t="s">
        <v>8334</v>
      </c>
      <c r="H576" s="1" t="s">
        <v>8335</v>
      </c>
      <c r="I576" s="1" t="s">
        <v>4856</v>
      </c>
      <c r="J576" s="1" t="s">
        <v>8336</v>
      </c>
      <c r="K576" s="1" t="s">
        <v>8337</v>
      </c>
    </row>
    <row r="577" spans="1:11" ht="130.5" x14ac:dyDescent="0.35">
      <c r="A577" s="61"/>
      <c r="B577" s="61"/>
      <c r="C577" s="61"/>
      <c r="D577" s="1" t="s">
        <v>8338</v>
      </c>
      <c r="E577" s="1" t="s">
        <v>8339</v>
      </c>
      <c r="F577" s="1" t="s">
        <v>5366</v>
      </c>
      <c r="G577" s="1" t="s">
        <v>8340</v>
      </c>
      <c r="H577" s="1" t="s">
        <v>8341</v>
      </c>
      <c r="I577" s="1" t="s">
        <v>120</v>
      </c>
      <c r="J577" s="1" t="s">
        <v>8342</v>
      </c>
      <c r="K577" s="1" t="s">
        <v>8343</v>
      </c>
    </row>
    <row r="578" spans="1:11" ht="145" x14ac:dyDescent="0.35">
      <c r="A578" s="61"/>
      <c r="B578" s="61"/>
      <c r="C578" s="61"/>
      <c r="D578" s="1" t="s">
        <v>8344</v>
      </c>
      <c r="E578" s="1" t="s">
        <v>8345</v>
      </c>
      <c r="F578" s="1" t="s">
        <v>5366</v>
      </c>
      <c r="G578" s="1" t="s">
        <v>8346</v>
      </c>
      <c r="H578" s="1" t="s">
        <v>8347</v>
      </c>
      <c r="I578" s="1" t="s">
        <v>120</v>
      </c>
      <c r="J578" s="1" t="s">
        <v>8348</v>
      </c>
      <c r="K578" s="1" t="s">
        <v>8349</v>
      </c>
    </row>
    <row r="579" spans="1:11" ht="159.5" x14ac:dyDescent="0.35">
      <c r="A579" s="61"/>
      <c r="B579" s="61"/>
      <c r="C579" s="61"/>
      <c r="D579" s="1" t="s">
        <v>8350</v>
      </c>
      <c r="E579" s="1" t="s">
        <v>8351</v>
      </c>
      <c r="F579" s="1" t="s">
        <v>5366</v>
      </c>
      <c r="G579" s="1" t="s">
        <v>8352</v>
      </c>
      <c r="H579" s="1" t="s">
        <v>8353</v>
      </c>
      <c r="I579" s="1" t="s">
        <v>4856</v>
      </c>
      <c r="J579" s="1" t="s">
        <v>8354</v>
      </c>
      <c r="K579" s="1" t="s">
        <v>8355</v>
      </c>
    </row>
    <row r="580" spans="1:11" ht="159.5" x14ac:dyDescent="0.35">
      <c r="A580" s="61"/>
      <c r="B580" s="61"/>
      <c r="C580" s="61"/>
      <c r="D580" s="1" t="s">
        <v>8356</v>
      </c>
      <c r="E580" s="1" t="s">
        <v>8357</v>
      </c>
      <c r="F580" s="1" t="s">
        <v>5366</v>
      </c>
      <c r="G580" s="1" t="s">
        <v>8358</v>
      </c>
      <c r="H580" s="1" t="s">
        <v>8359</v>
      </c>
      <c r="I580" s="1" t="s">
        <v>120</v>
      </c>
      <c r="J580" s="1" t="s">
        <v>8360</v>
      </c>
      <c r="K580" s="1" t="s">
        <v>8361</v>
      </c>
    </row>
    <row r="581" spans="1:11" ht="174" x14ac:dyDescent="0.35">
      <c r="A581" s="61"/>
      <c r="B581" s="61"/>
      <c r="C581" s="61" t="s">
        <v>8362</v>
      </c>
      <c r="D581" s="1" t="s">
        <v>8363</v>
      </c>
      <c r="E581" s="1" t="s">
        <v>8364</v>
      </c>
      <c r="F581" s="1" t="s">
        <v>5366</v>
      </c>
      <c r="G581" s="1" t="s">
        <v>8365</v>
      </c>
      <c r="H581" s="1" t="s">
        <v>8366</v>
      </c>
      <c r="I581" s="1" t="s">
        <v>4856</v>
      </c>
      <c r="J581" s="1" t="s">
        <v>8367</v>
      </c>
      <c r="K581" s="1" t="s">
        <v>8368</v>
      </c>
    </row>
    <row r="582" spans="1:11" ht="203" x14ac:dyDescent="0.35">
      <c r="A582" s="61"/>
      <c r="B582" s="61"/>
      <c r="C582" s="61"/>
      <c r="D582" s="1" t="s">
        <v>8369</v>
      </c>
      <c r="E582" s="1" t="s">
        <v>8370</v>
      </c>
      <c r="F582" s="1" t="s">
        <v>5366</v>
      </c>
      <c r="G582" s="1" t="s">
        <v>8371</v>
      </c>
      <c r="H582" s="1" t="s">
        <v>8372</v>
      </c>
      <c r="I582" s="1" t="s">
        <v>120</v>
      </c>
      <c r="J582" s="1" t="s">
        <v>8373</v>
      </c>
      <c r="K582" s="1" t="s">
        <v>8374</v>
      </c>
    </row>
    <row r="583" spans="1:11" ht="159.5" x14ac:dyDescent="0.35">
      <c r="A583" s="61"/>
      <c r="B583" s="61"/>
      <c r="C583" s="61"/>
      <c r="D583" s="1" t="s">
        <v>8375</v>
      </c>
      <c r="E583" s="1" t="s">
        <v>8376</v>
      </c>
      <c r="F583" s="1" t="s">
        <v>5366</v>
      </c>
      <c r="G583" s="1" t="s">
        <v>8377</v>
      </c>
      <c r="H583" s="1" t="s">
        <v>8378</v>
      </c>
      <c r="I583" s="1" t="s">
        <v>120</v>
      </c>
      <c r="J583" s="1" t="s">
        <v>8379</v>
      </c>
      <c r="K583" s="1" t="s">
        <v>8380</v>
      </c>
    </row>
    <row r="584" spans="1:11" ht="188.5" x14ac:dyDescent="0.35">
      <c r="A584" s="61"/>
      <c r="B584" s="61"/>
      <c r="C584" s="61"/>
      <c r="D584" s="1" t="s">
        <v>8381</v>
      </c>
      <c r="E584" s="1" t="s">
        <v>8382</v>
      </c>
      <c r="F584" s="1" t="s">
        <v>5366</v>
      </c>
      <c r="G584" s="1" t="s">
        <v>8383</v>
      </c>
      <c r="H584" s="1" t="s">
        <v>8384</v>
      </c>
      <c r="I584" s="1" t="s">
        <v>120</v>
      </c>
      <c r="J584" s="1" t="s">
        <v>8385</v>
      </c>
      <c r="K584" s="1" t="s">
        <v>8386</v>
      </c>
    </row>
    <row r="585" spans="1:11" ht="188.5" x14ac:dyDescent="0.35">
      <c r="A585" s="61"/>
      <c r="B585" s="61"/>
      <c r="C585" s="61"/>
      <c r="D585" s="1" t="s">
        <v>8387</v>
      </c>
      <c r="E585" s="1" t="s">
        <v>8388</v>
      </c>
      <c r="F585" s="1" t="s">
        <v>5366</v>
      </c>
      <c r="G585" s="1" t="s">
        <v>8389</v>
      </c>
      <c r="H585" s="1" t="s">
        <v>8390</v>
      </c>
      <c r="I585" s="1" t="s">
        <v>120</v>
      </c>
      <c r="J585" s="1" t="s">
        <v>8391</v>
      </c>
      <c r="K585" s="1" t="s">
        <v>8392</v>
      </c>
    </row>
    <row r="586" spans="1:11" ht="159.5" x14ac:dyDescent="0.35">
      <c r="A586" s="61"/>
      <c r="B586" s="61"/>
      <c r="C586" s="61" t="s">
        <v>8393</v>
      </c>
      <c r="D586" s="1" t="s">
        <v>8394</v>
      </c>
      <c r="E586" s="1" t="s">
        <v>8395</v>
      </c>
      <c r="F586" s="1" t="s">
        <v>5366</v>
      </c>
      <c r="G586" s="1" t="s">
        <v>8396</v>
      </c>
      <c r="H586" s="1" t="s">
        <v>8397</v>
      </c>
      <c r="I586" s="1" t="s">
        <v>4856</v>
      </c>
      <c r="J586" s="1" t="s">
        <v>8398</v>
      </c>
      <c r="K586" s="1" t="s">
        <v>8399</v>
      </c>
    </row>
    <row r="587" spans="1:11" ht="174" x14ac:dyDescent="0.35">
      <c r="A587" s="61"/>
      <c r="B587" s="61"/>
      <c r="C587" s="61"/>
      <c r="D587" s="1" t="s">
        <v>8400</v>
      </c>
      <c r="E587" s="1" t="s">
        <v>8401</v>
      </c>
      <c r="F587" s="1" t="s">
        <v>5366</v>
      </c>
      <c r="G587" s="1" t="s">
        <v>8402</v>
      </c>
      <c r="H587" s="1" t="s">
        <v>8403</v>
      </c>
      <c r="I587" s="1" t="s">
        <v>4856</v>
      </c>
      <c r="J587" s="1" t="s">
        <v>8404</v>
      </c>
      <c r="K587" s="1" t="s">
        <v>8405</v>
      </c>
    </row>
    <row r="588" spans="1:11" ht="174" x14ac:dyDescent="0.35">
      <c r="A588" s="61"/>
      <c r="B588" s="61"/>
      <c r="C588" s="61"/>
      <c r="D588" s="1" t="s">
        <v>8406</v>
      </c>
      <c r="E588" s="1" t="s">
        <v>8407</v>
      </c>
      <c r="F588" s="1" t="s">
        <v>5366</v>
      </c>
      <c r="G588" s="1" t="s">
        <v>8408</v>
      </c>
      <c r="H588" s="1" t="s">
        <v>8409</v>
      </c>
      <c r="I588" s="1" t="s">
        <v>120</v>
      </c>
      <c r="J588" s="1" t="s">
        <v>8410</v>
      </c>
      <c r="K588" s="1" t="s">
        <v>8411</v>
      </c>
    </row>
    <row r="589" spans="1:11" ht="203" x14ac:dyDescent="0.35">
      <c r="A589" s="61"/>
      <c r="B589" s="61"/>
      <c r="C589" s="61"/>
      <c r="D589" s="1" t="s">
        <v>8412</v>
      </c>
      <c r="E589" s="1" t="s">
        <v>8413</v>
      </c>
      <c r="F589" s="1" t="s">
        <v>5366</v>
      </c>
      <c r="G589" s="1" t="s">
        <v>8414</v>
      </c>
      <c r="H589" s="1" t="s">
        <v>8415</v>
      </c>
      <c r="I589" s="1" t="s">
        <v>120</v>
      </c>
      <c r="J589" s="1" t="s">
        <v>8416</v>
      </c>
      <c r="K589" s="1" t="s">
        <v>8417</v>
      </c>
    </row>
    <row r="590" spans="1:11" ht="174" x14ac:dyDescent="0.35">
      <c r="A590" s="61"/>
      <c r="B590" s="61"/>
      <c r="C590" s="61"/>
      <c r="D590" s="1" t="s">
        <v>8418</v>
      </c>
      <c r="E590" s="1" t="s">
        <v>8419</v>
      </c>
      <c r="F590" s="1" t="s">
        <v>5366</v>
      </c>
      <c r="G590" s="1" t="s">
        <v>8420</v>
      </c>
      <c r="H590" s="1" t="s">
        <v>8421</v>
      </c>
      <c r="I590" s="1" t="s">
        <v>4856</v>
      </c>
      <c r="J590" s="1" t="s">
        <v>8422</v>
      </c>
      <c r="K590" s="1" t="s">
        <v>8423</v>
      </c>
    </row>
    <row r="591" spans="1:11" ht="145" x14ac:dyDescent="0.35">
      <c r="A591" s="61"/>
      <c r="B591" s="61"/>
      <c r="C591" s="61" t="s">
        <v>8424</v>
      </c>
      <c r="D591" s="1" t="s">
        <v>8425</v>
      </c>
      <c r="E591" s="1" t="s">
        <v>8426</v>
      </c>
      <c r="F591" s="1" t="s">
        <v>5366</v>
      </c>
      <c r="G591" s="1" t="s">
        <v>8427</v>
      </c>
      <c r="H591" s="1" t="s">
        <v>8428</v>
      </c>
      <c r="I591" s="1" t="s">
        <v>4856</v>
      </c>
      <c r="J591" s="1" t="s">
        <v>8429</v>
      </c>
      <c r="K591" s="1" t="s">
        <v>8430</v>
      </c>
    </row>
    <row r="592" spans="1:11" ht="188.5" x14ac:dyDescent="0.35">
      <c r="A592" s="61"/>
      <c r="B592" s="61"/>
      <c r="C592" s="61"/>
      <c r="D592" s="1" t="s">
        <v>8431</v>
      </c>
      <c r="E592" s="1" t="s">
        <v>8432</v>
      </c>
      <c r="F592" s="1" t="s">
        <v>5366</v>
      </c>
      <c r="G592" s="1" t="s">
        <v>8433</v>
      </c>
      <c r="H592" s="1" t="s">
        <v>8434</v>
      </c>
      <c r="I592" s="1" t="s">
        <v>120</v>
      </c>
      <c r="J592" s="1" t="s">
        <v>8435</v>
      </c>
      <c r="K592" s="1" t="s">
        <v>8436</v>
      </c>
    </row>
    <row r="593" spans="1:11" ht="116" x14ac:dyDescent="0.35">
      <c r="A593" s="61"/>
      <c r="B593" s="61"/>
      <c r="C593" s="61"/>
      <c r="D593" s="1" t="s">
        <v>8437</v>
      </c>
      <c r="E593" s="1" t="s">
        <v>8438</v>
      </c>
      <c r="F593" s="1" t="s">
        <v>5366</v>
      </c>
      <c r="G593" s="1" t="s">
        <v>8439</v>
      </c>
      <c r="H593" s="1" t="s">
        <v>8440</v>
      </c>
      <c r="I593" s="1" t="s">
        <v>4856</v>
      </c>
      <c r="J593" s="1" t="s">
        <v>8441</v>
      </c>
      <c r="K593" s="1" t="s">
        <v>8442</v>
      </c>
    </row>
    <row r="594" spans="1:11" ht="159.5" x14ac:dyDescent="0.35">
      <c r="A594" s="61"/>
      <c r="B594" s="61"/>
      <c r="C594" s="61"/>
      <c r="D594" s="1" t="s">
        <v>8443</v>
      </c>
      <c r="E594" s="1" t="s">
        <v>8444</v>
      </c>
      <c r="F594" s="1" t="s">
        <v>5366</v>
      </c>
      <c r="G594" s="1" t="s">
        <v>8445</v>
      </c>
      <c r="H594" s="1" t="s">
        <v>8446</v>
      </c>
      <c r="I594" s="1" t="s">
        <v>120</v>
      </c>
      <c r="J594" s="1" t="s">
        <v>8447</v>
      </c>
      <c r="K594" s="1" t="s">
        <v>8448</v>
      </c>
    </row>
    <row r="595" spans="1:11" ht="217.5" x14ac:dyDescent="0.35">
      <c r="A595" s="61"/>
      <c r="B595" s="61"/>
      <c r="C595" s="61"/>
      <c r="D595" s="1" t="s">
        <v>8449</v>
      </c>
      <c r="E595" s="1" t="s">
        <v>8450</v>
      </c>
      <c r="F595" s="1" t="s">
        <v>5366</v>
      </c>
      <c r="G595" s="1" t="s">
        <v>8451</v>
      </c>
      <c r="H595" s="1" t="s">
        <v>8452</v>
      </c>
      <c r="I595" s="1" t="s">
        <v>120</v>
      </c>
      <c r="J595" s="1" t="s">
        <v>8453</v>
      </c>
      <c r="K595" s="1" t="s">
        <v>8454</v>
      </c>
    </row>
    <row r="596" spans="1:11" ht="116" x14ac:dyDescent="0.35">
      <c r="A596" s="61"/>
      <c r="B596" s="61"/>
      <c r="C596" s="61" t="s">
        <v>8455</v>
      </c>
      <c r="D596" s="1" t="s">
        <v>8456</v>
      </c>
      <c r="E596" s="1" t="s">
        <v>8457</v>
      </c>
      <c r="F596" s="1" t="s">
        <v>5366</v>
      </c>
      <c r="G596" s="1" t="s">
        <v>8458</v>
      </c>
      <c r="H596" s="1" t="s">
        <v>8459</v>
      </c>
      <c r="I596" s="1" t="s">
        <v>4856</v>
      </c>
      <c r="J596" s="1" t="s">
        <v>8460</v>
      </c>
      <c r="K596" s="1" t="s">
        <v>8461</v>
      </c>
    </row>
    <row r="597" spans="1:11" ht="159.5" x14ac:dyDescent="0.35">
      <c r="A597" s="61"/>
      <c r="B597" s="61"/>
      <c r="C597" s="61"/>
      <c r="D597" s="1" t="s">
        <v>8462</v>
      </c>
      <c r="E597" s="1" t="s">
        <v>8463</v>
      </c>
      <c r="F597" s="1" t="s">
        <v>5366</v>
      </c>
      <c r="G597" s="1" t="s">
        <v>8464</v>
      </c>
      <c r="H597" s="1" t="s">
        <v>8465</v>
      </c>
      <c r="I597" s="1" t="s">
        <v>4856</v>
      </c>
      <c r="J597" s="1" t="s">
        <v>8466</v>
      </c>
      <c r="K597" s="1" t="s">
        <v>8467</v>
      </c>
    </row>
    <row r="598" spans="1:11" ht="174" x14ac:dyDescent="0.35">
      <c r="A598" s="61"/>
      <c r="B598" s="61"/>
      <c r="C598" s="61"/>
      <c r="D598" s="1" t="s">
        <v>8468</v>
      </c>
      <c r="E598" s="1" t="s">
        <v>8469</v>
      </c>
      <c r="F598" s="1" t="s">
        <v>5366</v>
      </c>
      <c r="G598" s="1" t="s">
        <v>8470</v>
      </c>
      <c r="H598" s="1" t="s">
        <v>8471</v>
      </c>
      <c r="I598" s="1" t="s">
        <v>120</v>
      </c>
      <c r="J598" s="1" t="s">
        <v>8472</v>
      </c>
      <c r="K598" s="1" t="s">
        <v>8473</v>
      </c>
    </row>
    <row r="599" spans="1:11" ht="159.5" x14ac:dyDescent="0.35">
      <c r="A599" s="61"/>
      <c r="B599" s="61"/>
      <c r="C599" s="61"/>
      <c r="D599" s="1" t="s">
        <v>8474</v>
      </c>
      <c r="E599" s="1" t="s">
        <v>8475</v>
      </c>
      <c r="F599" s="1" t="s">
        <v>5366</v>
      </c>
      <c r="G599" s="1" t="s">
        <v>8476</v>
      </c>
      <c r="H599" s="1" t="s">
        <v>8477</v>
      </c>
      <c r="I599" s="1" t="s">
        <v>120</v>
      </c>
      <c r="J599" s="1" t="s">
        <v>8478</v>
      </c>
      <c r="K599" s="1" t="s">
        <v>8479</v>
      </c>
    </row>
    <row r="600" spans="1:11" ht="188.5" x14ac:dyDescent="0.35">
      <c r="A600" s="61"/>
      <c r="B600" s="61"/>
      <c r="C600" s="61"/>
      <c r="D600" s="1" t="s">
        <v>8480</v>
      </c>
      <c r="E600" s="1" t="s">
        <v>8481</v>
      </c>
      <c r="F600" s="1" t="s">
        <v>5366</v>
      </c>
      <c r="G600" s="1" t="s">
        <v>8482</v>
      </c>
      <c r="H600" s="1" t="s">
        <v>8483</v>
      </c>
      <c r="I600" s="1" t="s">
        <v>4856</v>
      </c>
      <c r="J600" s="1" t="s">
        <v>8484</v>
      </c>
      <c r="K600" s="1" t="s">
        <v>8485</v>
      </c>
    </row>
    <row r="601" spans="1:11" ht="130.5" x14ac:dyDescent="0.35">
      <c r="A601" s="61"/>
      <c r="B601" s="61" t="s">
        <v>8486</v>
      </c>
      <c r="C601" s="61" t="s">
        <v>8487</v>
      </c>
      <c r="D601" s="1" t="s">
        <v>8488</v>
      </c>
      <c r="E601" s="1" t="s">
        <v>8489</v>
      </c>
      <c r="F601" s="1" t="s">
        <v>5366</v>
      </c>
      <c r="G601" s="1" t="s">
        <v>8490</v>
      </c>
      <c r="H601" s="1" t="s">
        <v>8491</v>
      </c>
      <c r="I601" s="1" t="s">
        <v>4856</v>
      </c>
      <c r="J601" s="1" t="s">
        <v>8492</v>
      </c>
      <c r="K601" s="1" t="s">
        <v>8493</v>
      </c>
    </row>
    <row r="602" spans="1:11" ht="145" x14ac:dyDescent="0.35">
      <c r="A602" s="61"/>
      <c r="B602" s="61"/>
      <c r="C602" s="61"/>
      <c r="D602" s="1" t="s">
        <v>8494</v>
      </c>
      <c r="E602" s="1" t="s">
        <v>8495</v>
      </c>
      <c r="F602" s="1" t="s">
        <v>5366</v>
      </c>
      <c r="G602" s="1" t="s">
        <v>8496</v>
      </c>
      <c r="H602" s="1" t="s">
        <v>8497</v>
      </c>
      <c r="I602" s="1" t="s">
        <v>120</v>
      </c>
      <c r="J602" s="1" t="s">
        <v>8498</v>
      </c>
      <c r="K602" s="1" t="s">
        <v>8499</v>
      </c>
    </row>
    <row r="603" spans="1:11" ht="159.5" x14ac:dyDescent="0.35">
      <c r="A603" s="61"/>
      <c r="B603" s="61"/>
      <c r="C603" s="61"/>
      <c r="D603" s="1" t="s">
        <v>8500</v>
      </c>
      <c r="E603" s="1" t="s">
        <v>8501</v>
      </c>
      <c r="F603" s="1" t="s">
        <v>5366</v>
      </c>
      <c r="G603" s="1" t="s">
        <v>8502</v>
      </c>
      <c r="H603" s="1" t="s">
        <v>8503</v>
      </c>
      <c r="I603" s="1" t="s">
        <v>120</v>
      </c>
      <c r="J603" s="1" t="s">
        <v>8504</v>
      </c>
      <c r="K603" s="1" t="s">
        <v>8505</v>
      </c>
    </row>
    <row r="604" spans="1:11" ht="188.5" x14ac:dyDescent="0.35">
      <c r="A604" s="61"/>
      <c r="B604" s="61"/>
      <c r="C604" s="61"/>
      <c r="D604" s="1" t="s">
        <v>8506</v>
      </c>
      <c r="E604" s="1" t="s">
        <v>8507</v>
      </c>
      <c r="F604" s="1" t="s">
        <v>5366</v>
      </c>
      <c r="G604" s="1" t="s">
        <v>8508</v>
      </c>
      <c r="H604" s="1" t="s">
        <v>8509</v>
      </c>
      <c r="I604" s="1" t="s">
        <v>4856</v>
      </c>
      <c r="J604" s="1" t="s">
        <v>8510</v>
      </c>
      <c r="K604" s="1" t="s">
        <v>8511</v>
      </c>
    </row>
    <row r="605" spans="1:11" ht="203" x14ac:dyDescent="0.35">
      <c r="A605" s="61"/>
      <c r="B605" s="61"/>
      <c r="C605" s="61"/>
      <c r="D605" s="1" t="s">
        <v>8512</v>
      </c>
      <c r="E605" s="1" t="s">
        <v>8513</v>
      </c>
      <c r="F605" s="1" t="s">
        <v>5366</v>
      </c>
      <c r="G605" s="1" t="s">
        <v>8514</v>
      </c>
      <c r="H605" s="1" t="s">
        <v>8515</v>
      </c>
      <c r="I605" s="1" t="s">
        <v>120</v>
      </c>
      <c r="J605" s="1" t="s">
        <v>8516</v>
      </c>
      <c r="K605" s="1" t="s">
        <v>8517</v>
      </c>
    </row>
    <row r="606" spans="1:11" ht="130.5" x14ac:dyDescent="0.35">
      <c r="A606" s="61"/>
      <c r="B606" s="61"/>
      <c r="C606" s="61" t="s">
        <v>8518</v>
      </c>
      <c r="D606" s="1" t="s">
        <v>8519</v>
      </c>
      <c r="E606" s="1" t="s">
        <v>8520</v>
      </c>
      <c r="F606" s="1" t="s">
        <v>5366</v>
      </c>
      <c r="G606" s="1" t="s">
        <v>8521</v>
      </c>
      <c r="H606" s="1" t="s">
        <v>8522</v>
      </c>
      <c r="I606" s="1" t="s">
        <v>4856</v>
      </c>
      <c r="J606" s="1" t="s">
        <v>8523</v>
      </c>
      <c r="K606" s="1" t="s">
        <v>8524</v>
      </c>
    </row>
    <row r="607" spans="1:11" ht="159.5" x14ac:dyDescent="0.35">
      <c r="A607" s="61"/>
      <c r="B607" s="61"/>
      <c r="C607" s="61"/>
      <c r="D607" s="1" t="s">
        <v>8525</v>
      </c>
      <c r="E607" s="1" t="s">
        <v>8526</v>
      </c>
      <c r="F607" s="1" t="s">
        <v>5366</v>
      </c>
      <c r="G607" s="1" t="s">
        <v>8527</v>
      </c>
      <c r="H607" s="1" t="s">
        <v>8528</v>
      </c>
      <c r="I607" s="1" t="s">
        <v>4856</v>
      </c>
      <c r="J607" s="1" t="s">
        <v>8529</v>
      </c>
      <c r="K607" s="1" t="s">
        <v>8530</v>
      </c>
    </row>
    <row r="608" spans="1:11" ht="159.5" x14ac:dyDescent="0.35">
      <c r="A608" s="61"/>
      <c r="B608" s="61"/>
      <c r="C608" s="61"/>
      <c r="D608" s="1" t="s">
        <v>8531</v>
      </c>
      <c r="E608" s="1" t="s">
        <v>8532</v>
      </c>
      <c r="F608" s="1" t="s">
        <v>5366</v>
      </c>
      <c r="G608" s="1" t="s">
        <v>8533</v>
      </c>
      <c r="H608" s="1" t="s">
        <v>8534</v>
      </c>
      <c r="I608" s="1" t="s">
        <v>120</v>
      </c>
      <c r="J608" s="1" t="s">
        <v>8535</v>
      </c>
      <c r="K608" s="1" t="s">
        <v>8536</v>
      </c>
    </row>
    <row r="609" spans="1:11" ht="174" x14ac:dyDescent="0.35">
      <c r="A609" s="61"/>
      <c r="B609" s="61"/>
      <c r="C609" s="61"/>
      <c r="D609" s="1" t="s">
        <v>8537</v>
      </c>
      <c r="E609" s="1" t="s">
        <v>8538</v>
      </c>
      <c r="F609" s="1" t="s">
        <v>5366</v>
      </c>
      <c r="G609" s="1" t="s">
        <v>8539</v>
      </c>
      <c r="H609" s="1" t="s">
        <v>8540</v>
      </c>
      <c r="I609" s="1" t="s">
        <v>4856</v>
      </c>
      <c r="J609" s="1" t="s">
        <v>8541</v>
      </c>
      <c r="K609" s="1" t="s">
        <v>8542</v>
      </c>
    </row>
    <row r="610" spans="1:11" ht="174" x14ac:dyDescent="0.35">
      <c r="A610" s="61"/>
      <c r="B610" s="61"/>
      <c r="C610" s="61"/>
      <c r="D610" s="1" t="s">
        <v>8543</v>
      </c>
      <c r="E610" s="1" t="s">
        <v>8544</v>
      </c>
      <c r="F610" s="1" t="s">
        <v>5366</v>
      </c>
      <c r="G610" s="1" t="s">
        <v>8545</v>
      </c>
      <c r="H610" s="1" t="s">
        <v>8546</v>
      </c>
      <c r="I610" s="1" t="s">
        <v>4856</v>
      </c>
      <c r="J610" s="1" t="s">
        <v>8547</v>
      </c>
      <c r="K610" s="1" t="s">
        <v>8548</v>
      </c>
    </row>
    <row r="611" spans="1:11" ht="145" x14ac:dyDescent="0.35">
      <c r="A611" s="61"/>
      <c r="B611" s="61"/>
      <c r="C611" s="62" t="s">
        <v>8549</v>
      </c>
      <c r="D611" s="1" t="s">
        <v>8550</v>
      </c>
      <c r="E611" s="1" t="s">
        <v>8551</v>
      </c>
      <c r="F611" s="1" t="s">
        <v>5366</v>
      </c>
      <c r="G611" s="1" t="s">
        <v>8552</v>
      </c>
      <c r="H611" s="1" t="s">
        <v>8553</v>
      </c>
      <c r="I611" s="1" t="s">
        <v>4856</v>
      </c>
      <c r="J611" s="1" t="s">
        <v>8554</v>
      </c>
      <c r="K611" s="1" t="s">
        <v>8555</v>
      </c>
    </row>
    <row r="612" spans="1:11" ht="145" x14ac:dyDescent="0.35">
      <c r="A612" s="61"/>
      <c r="B612" s="61"/>
      <c r="C612" s="61"/>
      <c r="D612" s="1" t="s">
        <v>8556</v>
      </c>
      <c r="E612" s="1" t="s">
        <v>8557</v>
      </c>
      <c r="F612" s="1" t="s">
        <v>5366</v>
      </c>
      <c r="G612" s="1" t="s">
        <v>8558</v>
      </c>
      <c r="H612" s="1" t="s">
        <v>8559</v>
      </c>
      <c r="I612" s="1" t="s">
        <v>4856</v>
      </c>
      <c r="J612" s="1" t="s">
        <v>8560</v>
      </c>
      <c r="K612" s="1" t="s">
        <v>8561</v>
      </c>
    </row>
    <row r="613" spans="1:11" ht="174" x14ac:dyDescent="0.35">
      <c r="A613" s="61"/>
      <c r="B613" s="61"/>
      <c r="C613" s="61"/>
      <c r="D613" s="1" t="s">
        <v>8562</v>
      </c>
      <c r="E613" s="1" t="s">
        <v>8563</v>
      </c>
      <c r="F613" s="1" t="s">
        <v>5366</v>
      </c>
      <c r="G613" s="1" t="s">
        <v>8564</v>
      </c>
      <c r="H613" s="1" t="s">
        <v>8565</v>
      </c>
      <c r="I613" s="1" t="s">
        <v>120</v>
      </c>
      <c r="J613" s="1" t="s">
        <v>8566</v>
      </c>
      <c r="K613" s="1" t="s">
        <v>8567</v>
      </c>
    </row>
    <row r="614" spans="1:11" ht="203" x14ac:dyDescent="0.35">
      <c r="A614" s="61"/>
      <c r="B614" s="61"/>
      <c r="C614" s="61"/>
      <c r="D614" s="1" t="s">
        <v>8568</v>
      </c>
      <c r="E614" s="1" t="s">
        <v>8569</v>
      </c>
      <c r="F614" s="1" t="s">
        <v>5366</v>
      </c>
      <c r="G614" s="1" t="s">
        <v>8570</v>
      </c>
      <c r="H614" s="1" t="s">
        <v>8571</v>
      </c>
      <c r="I614" s="1" t="s">
        <v>120</v>
      </c>
      <c r="J614" s="1" t="s">
        <v>8572</v>
      </c>
      <c r="K614" s="1" t="s">
        <v>8573</v>
      </c>
    </row>
    <row r="615" spans="1:11" ht="188.5" x14ac:dyDescent="0.35">
      <c r="A615" s="61"/>
      <c r="B615" s="61"/>
      <c r="C615" s="61"/>
      <c r="D615" s="1" t="s">
        <v>8574</v>
      </c>
      <c r="E615" s="1" t="s">
        <v>8575</v>
      </c>
      <c r="F615" s="1" t="s">
        <v>5366</v>
      </c>
      <c r="G615" s="1" t="s">
        <v>8576</v>
      </c>
      <c r="H615" s="1" t="s">
        <v>8577</v>
      </c>
      <c r="I615" s="1" t="s">
        <v>120</v>
      </c>
      <c r="J615" s="1" t="s">
        <v>8578</v>
      </c>
      <c r="K615" s="1" t="s">
        <v>8579</v>
      </c>
    </row>
    <row r="616" spans="1:11" ht="145" x14ac:dyDescent="0.35">
      <c r="A616" s="61"/>
      <c r="B616" s="61"/>
      <c r="C616" s="61" t="s">
        <v>8580</v>
      </c>
      <c r="D616" s="1" t="s">
        <v>8581</v>
      </c>
      <c r="E616" s="1" t="s">
        <v>8582</v>
      </c>
      <c r="F616" s="1" t="s">
        <v>5366</v>
      </c>
      <c r="G616" s="1" t="s">
        <v>8583</v>
      </c>
      <c r="H616" s="1" t="s">
        <v>8584</v>
      </c>
      <c r="I616" s="1" t="s">
        <v>4856</v>
      </c>
      <c r="J616" s="1" t="s">
        <v>8585</v>
      </c>
      <c r="K616" s="1" t="s">
        <v>8586</v>
      </c>
    </row>
    <row r="617" spans="1:11" ht="145" x14ac:dyDescent="0.35">
      <c r="A617" s="61"/>
      <c r="B617" s="61"/>
      <c r="C617" s="61"/>
      <c r="D617" s="1" t="s">
        <v>8587</v>
      </c>
      <c r="E617" s="1" t="s">
        <v>8588</v>
      </c>
      <c r="F617" s="1" t="s">
        <v>5366</v>
      </c>
      <c r="G617" s="1" t="s">
        <v>8589</v>
      </c>
      <c r="H617" s="1" t="s">
        <v>8590</v>
      </c>
      <c r="I617" s="1" t="s">
        <v>4856</v>
      </c>
      <c r="J617" s="1" t="s">
        <v>8591</v>
      </c>
      <c r="K617" s="1" t="s">
        <v>8592</v>
      </c>
    </row>
    <row r="618" spans="1:11" ht="116" x14ac:dyDescent="0.35">
      <c r="A618" s="61"/>
      <c r="B618" s="61"/>
      <c r="C618" s="61"/>
      <c r="D618" s="1" t="s">
        <v>8593</v>
      </c>
      <c r="E618" s="1" t="s">
        <v>8594</v>
      </c>
      <c r="F618" s="1" t="s">
        <v>5366</v>
      </c>
      <c r="G618" s="1" t="s">
        <v>8595</v>
      </c>
      <c r="H618" s="1" t="s">
        <v>8596</v>
      </c>
      <c r="I618" s="1" t="s">
        <v>120</v>
      </c>
      <c r="J618" s="1" t="s">
        <v>8597</v>
      </c>
      <c r="K618" s="1" t="s">
        <v>8598</v>
      </c>
    </row>
    <row r="619" spans="1:11" ht="145" x14ac:dyDescent="0.35">
      <c r="A619" s="61"/>
      <c r="B619" s="61"/>
      <c r="C619" s="61"/>
      <c r="D619" s="1" t="s">
        <v>8599</v>
      </c>
      <c r="E619" s="1" t="s">
        <v>8600</v>
      </c>
      <c r="F619" s="1" t="s">
        <v>5366</v>
      </c>
      <c r="G619" s="1" t="s">
        <v>8601</v>
      </c>
      <c r="H619" s="1" t="s">
        <v>8602</v>
      </c>
      <c r="I619" s="1" t="s">
        <v>120</v>
      </c>
      <c r="J619" s="1" t="s">
        <v>8603</v>
      </c>
      <c r="K619" s="1" t="s">
        <v>8604</v>
      </c>
    </row>
    <row r="620" spans="1:11" ht="145" x14ac:dyDescent="0.35">
      <c r="A620" s="61"/>
      <c r="B620" s="61"/>
      <c r="C620" s="61"/>
      <c r="D620" s="1" t="s">
        <v>8605</v>
      </c>
      <c r="E620" s="1" t="s">
        <v>8606</v>
      </c>
      <c r="F620" s="1" t="s">
        <v>5366</v>
      </c>
      <c r="G620" s="1" t="s">
        <v>8607</v>
      </c>
      <c r="H620" s="1" t="s">
        <v>8608</v>
      </c>
      <c r="I620" s="1" t="s">
        <v>120</v>
      </c>
      <c r="J620" s="1" t="s">
        <v>8609</v>
      </c>
      <c r="K620" s="1" t="s">
        <v>8610</v>
      </c>
    </row>
    <row r="621" spans="1:11" ht="145" x14ac:dyDescent="0.35">
      <c r="A621" s="61"/>
      <c r="B621" s="61"/>
      <c r="C621" s="62" t="s">
        <v>8611</v>
      </c>
      <c r="D621" s="1" t="s">
        <v>8612</v>
      </c>
      <c r="E621" s="1" t="s">
        <v>8613</v>
      </c>
      <c r="F621" s="1" t="s">
        <v>5366</v>
      </c>
      <c r="G621" s="1" t="s">
        <v>8614</v>
      </c>
      <c r="H621" s="1" t="s">
        <v>8615</v>
      </c>
      <c r="I621" s="1" t="s">
        <v>4856</v>
      </c>
      <c r="J621" s="1" t="s">
        <v>8616</v>
      </c>
      <c r="K621" s="1" t="s">
        <v>8617</v>
      </c>
    </row>
    <row r="622" spans="1:11" ht="159.5" x14ac:dyDescent="0.35">
      <c r="A622" s="61"/>
      <c r="B622" s="61"/>
      <c r="C622" s="61"/>
      <c r="D622" s="1" t="s">
        <v>8618</v>
      </c>
      <c r="E622" s="1" t="s">
        <v>8619</v>
      </c>
      <c r="F622" s="1" t="s">
        <v>5366</v>
      </c>
      <c r="G622" s="1" t="s">
        <v>8620</v>
      </c>
      <c r="H622" s="1" t="s">
        <v>8621</v>
      </c>
      <c r="I622" s="1" t="s">
        <v>4856</v>
      </c>
      <c r="J622" s="1" t="s">
        <v>8622</v>
      </c>
      <c r="K622" s="1" t="s">
        <v>8623</v>
      </c>
    </row>
    <row r="623" spans="1:11" ht="116" x14ac:dyDescent="0.35">
      <c r="A623" s="61"/>
      <c r="B623" s="61"/>
      <c r="C623" s="61"/>
      <c r="D623" s="1" t="s">
        <v>8624</v>
      </c>
      <c r="E623" s="1" t="s">
        <v>8625</v>
      </c>
      <c r="F623" s="1" t="s">
        <v>5366</v>
      </c>
      <c r="G623" s="1" t="s">
        <v>8626</v>
      </c>
      <c r="H623" s="1" t="s">
        <v>8627</v>
      </c>
      <c r="I623" s="1" t="s">
        <v>120</v>
      </c>
      <c r="J623" s="1" t="s">
        <v>8628</v>
      </c>
      <c r="K623" s="1" t="s">
        <v>8629</v>
      </c>
    </row>
    <row r="624" spans="1:11" ht="130.5" x14ac:dyDescent="0.35">
      <c r="A624" s="61"/>
      <c r="B624" s="61"/>
      <c r="C624" s="61"/>
      <c r="D624" s="1" t="s">
        <v>8630</v>
      </c>
      <c r="E624" s="1" t="s">
        <v>8631</v>
      </c>
      <c r="F624" s="1" t="s">
        <v>5366</v>
      </c>
      <c r="G624" s="1" t="s">
        <v>8632</v>
      </c>
      <c r="H624" s="1" t="s">
        <v>8633</v>
      </c>
      <c r="I624" s="1" t="s">
        <v>120</v>
      </c>
      <c r="J624" s="1" t="s">
        <v>8634</v>
      </c>
      <c r="K624" s="1" t="s">
        <v>8635</v>
      </c>
    </row>
    <row r="625" spans="1:11" ht="159.5" x14ac:dyDescent="0.35">
      <c r="A625" s="61"/>
      <c r="B625" s="61"/>
      <c r="C625" s="61"/>
      <c r="D625" s="1" t="s">
        <v>8636</v>
      </c>
      <c r="E625" s="1" t="s">
        <v>8637</v>
      </c>
      <c r="F625" s="1" t="s">
        <v>5366</v>
      </c>
      <c r="G625" s="1" t="s">
        <v>8638</v>
      </c>
      <c r="H625" s="1" t="s">
        <v>8639</v>
      </c>
      <c r="I625" s="1" t="s">
        <v>120</v>
      </c>
      <c r="J625" s="1" t="s">
        <v>8640</v>
      </c>
      <c r="K625" s="1" t="s">
        <v>8641</v>
      </c>
    </row>
    <row r="626" spans="1:11" ht="116" x14ac:dyDescent="0.35">
      <c r="A626" s="61"/>
      <c r="B626" s="61"/>
      <c r="C626" s="61" t="s">
        <v>8642</v>
      </c>
      <c r="D626" s="1" t="s">
        <v>8643</v>
      </c>
      <c r="E626" s="1" t="s">
        <v>8644</v>
      </c>
      <c r="F626" s="1" t="s">
        <v>5366</v>
      </c>
      <c r="G626" s="1" t="s">
        <v>8645</v>
      </c>
      <c r="H626" s="1" t="s">
        <v>8646</v>
      </c>
      <c r="I626" s="1" t="s">
        <v>4856</v>
      </c>
      <c r="J626" s="1" t="s">
        <v>8647</v>
      </c>
      <c r="K626" s="1" t="s">
        <v>8648</v>
      </c>
    </row>
    <row r="627" spans="1:11" ht="159.5" x14ac:dyDescent="0.35">
      <c r="A627" s="61"/>
      <c r="B627" s="61"/>
      <c r="C627" s="61"/>
      <c r="D627" s="1" t="s">
        <v>8649</v>
      </c>
      <c r="E627" s="1" t="s">
        <v>8650</v>
      </c>
      <c r="F627" s="1" t="s">
        <v>5366</v>
      </c>
      <c r="G627" s="1" t="s">
        <v>8651</v>
      </c>
      <c r="H627" s="1" t="s">
        <v>8652</v>
      </c>
      <c r="I627" s="1" t="s">
        <v>120</v>
      </c>
      <c r="J627" s="1" t="s">
        <v>8653</v>
      </c>
      <c r="K627" s="1" t="s">
        <v>8654</v>
      </c>
    </row>
    <row r="628" spans="1:11" ht="130.5" x14ac:dyDescent="0.35">
      <c r="A628" s="61"/>
      <c r="B628" s="61"/>
      <c r="C628" s="61"/>
      <c r="D628" s="1" t="s">
        <v>8655</v>
      </c>
      <c r="E628" s="1" t="s">
        <v>8656</v>
      </c>
      <c r="F628" s="1" t="s">
        <v>5366</v>
      </c>
      <c r="G628" s="1" t="s">
        <v>8657</v>
      </c>
      <c r="H628" s="1" t="s">
        <v>8658</v>
      </c>
      <c r="I628" s="1" t="s">
        <v>120</v>
      </c>
      <c r="J628" s="1" t="s">
        <v>8659</v>
      </c>
      <c r="K628" s="1" t="s">
        <v>8660</v>
      </c>
    </row>
    <row r="629" spans="1:11" ht="159.5" x14ac:dyDescent="0.35">
      <c r="A629" s="61"/>
      <c r="B629" s="61"/>
      <c r="C629" s="61"/>
      <c r="D629" s="1" t="s">
        <v>8661</v>
      </c>
      <c r="E629" s="1" t="s">
        <v>8662</v>
      </c>
      <c r="F629" s="1" t="s">
        <v>5366</v>
      </c>
      <c r="G629" s="1" t="s">
        <v>8663</v>
      </c>
      <c r="H629" s="1" t="s">
        <v>8664</v>
      </c>
      <c r="I629" s="1" t="s">
        <v>4856</v>
      </c>
      <c r="J629" s="1" t="s">
        <v>8665</v>
      </c>
      <c r="K629" s="1" t="s">
        <v>8666</v>
      </c>
    </row>
    <row r="630" spans="1:11" ht="159.5" x14ac:dyDescent="0.35">
      <c r="A630" s="61"/>
      <c r="B630" s="61"/>
      <c r="C630" s="61"/>
      <c r="D630" s="1" t="s">
        <v>8667</v>
      </c>
      <c r="E630" s="1" t="s">
        <v>8668</v>
      </c>
      <c r="F630" s="1" t="s">
        <v>5366</v>
      </c>
      <c r="G630" s="1" t="s">
        <v>8669</v>
      </c>
      <c r="H630" s="1" t="s">
        <v>8670</v>
      </c>
      <c r="I630" s="1" t="s">
        <v>120</v>
      </c>
      <c r="J630" s="1" t="s">
        <v>8671</v>
      </c>
      <c r="K630" s="1" t="s">
        <v>8672</v>
      </c>
    </row>
    <row r="631" spans="1:11" ht="145" x14ac:dyDescent="0.35">
      <c r="A631" s="61"/>
      <c r="B631" s="61"/>
      <c r="C631" s="62" t="s">
        <v>8673</v>
      </c>
      <c r="D631" s="1" t="s">
        <v>8674</v>
      </c>
      <c r="E631" s="1" t="s">
        <v>8675</v>
      </c>
      <c r="F631" s="1" t="s">
        <v>5366</v>
      </c>
      <c r="G631" s="1" t="s">
        <v>8676</v>
      </c>
      <c r="H631" s="1" t="s">
        <v>8677</v>
      </c>
      <c r="I631" s="1" t="s">
        <v>4856</v>
      </c>
      <c r="J631" s="1" t="s">
        <v>8678</v>
      </c>
      <c r="K631" s="1" t="s">
        <v>8679</v>
      </c>
    </row>
    <row r="632" spans="1:11" ht="116" x14ac:dyDescent="0.35">
      <c r="A632" s="61"/>
      <c r="B632" s="61"/>
      <c r="C632" s="61"/>
      <c r="D632" s="1" t="s">
        <v>8680</v>
      </c>
      <c r="E632" s="1" t="s">
        <v>8681</v>
      </c>
      <c r="F632" s="1" t="s">
        <v>5366</v>
      </c>
      <c r="G632" s="1" t="s">
        <v>8682</v>
      </c>
      <c r="H632" s="1" t="s">
        <v>8683</v>
      </c>
      <c r="I632" s="1" t="s">
        <v>120</v>
      </c>
      <c r="J632" s="1" t="s">
        <v>8684</v>
      </c>
      <c r="K632" s="1" t="s">
        <v>8685</v>
      </c>
    </row>
    <row r="633" spans="1:11" ht="130.5" x14ac:dyDescent="0.35">
      <c r="A633" s="61"/>
      <c r="B633" s="61"/>
      <c r="C633" s="61"/>
      <c r="D633" s="1" t="s">
        <v>8686</v>
      </c>
      <c r="E633" s="1" t="s">
        <v>8687</v>
      </c>
      <c r="F633" s="1" t="s">
        <v>5366</v>
      </c>
      <c r="G633" s="1" t="s">
        <v>8688</v>
      </c>
      <c r="H633" s="1" t="s">
        <v>8689</v>
      </c>
      <c r="I633" s="1" t="s">
        <v>120</v>
      </c>
      <c r="J633" s="1" t="s">
        <v>8690</v>
      </c>
      <c r="K633" s="1" t="s">
        <v>8691</v>
      </c>
    </row>
    <row r="634" spans="1:11" ht="145" x14ac:dyDescent="0.35">
      <c r="A634" s="61"/>
      <c r="B634" s="61"/>
      <c r="C634" s="61"/>
      <c r="D634" s="1" t="s">
        <v>8692</v>
      </c>
      <c r="E634" s="1" t="s">
        <v>8693</v>
      </c>
      <c r="F634" s="1" t="s">
        <v>5366</v>
      </c>
      <c r="G634" s="1" t="s">
        <v>8694</v>
      </c>
      <c r="H634" s="1" t="s">
        <v>8695</v>
      </c>
      <c r="I634" s="1" t="s">
        <v>120</v>
      </c>
      <c r="J634" s="1" t="s">
        <v>5319</v>
      </c>
      <c r="K634" s="1" t="s">
        <v>8696</v>
      </c>
    </row>
    <row r="635" spans="1:11" ht="159.5" x14ac:dyDescent="0.35">
      <c r="A635" s="61"/>
      <c r="B635" s="61"/>
      <c r="C635" s="61"/>
      <c r="D635" s="1" t="s">
        <v>8697</v>
      </c>
      <c r="E635" s="1" t="s">
        <v>8698</v>
      </c>
      <c r="F635" s="1" t="s">
        <v>5366</v>
      </c>
      <c r="G635" s="1" t="s">
        <v>8699</v>
      </c>
      <c r="H635" s="1" t="s">
        <v>8700</v>
      </c>
      <c r="I635" s="1" t="s">
        <v>120</v>
      </c>
      <c r="J635" s="1" t="s">
        <v>8701</v>
      </c>
      <c r="K635" s="1" t="s">
        <v>8702</v>
      </c>
    </row>
    <row r="636" spans="1:11" ht="130.5" x14ac:dyDescent="0.35">
      <c r="A636" s="61"/>
      <c r="B636" s="61"/>
      <c r="C636" s="61" t="s">
        <v>8703</v>
      </c>
      <c r="D636" s="1" t="s">
        <v>8704</v>
      </c>
      <c r="E636" s="1" t="s">
        <v>8705</v>
      </c>
      <c r="F636" s="1" t="s">
        <v>5366</v>
      </c>
      <c r="G636" s="1" t="s">
        <v>8706</v>
      </c>
      <c r="H636" s="1" t="s">
        <v>8707</v>
      </c>
      <c r="I636" s="1" t="s">
        <v>4856</v>
      </c>
      <c r="J636" s="1" t="s">
        <v>8708</v>
      </c>
      <c r="K636" s="1" t="s">
        <v>8709</v>
      </c>
    </row>
    <row r="637" spans="1:11" ht="145" x14ac:dyDescent="0.35">
      <c r="A637" s="61"/>
      <c r="B637" s="61"/>
      <c r="C637" s="61"/>
      <c r="D637" s="1" t="s">
        <v>8710</v>
      </c>
      <c r="E637" s="1" t="s">
        <v>8711</v>
      </c>
      <c r="F637" s="1" t="s">
        <v>5366</v>
      </c>
      <c r="G637" s="1" t="s">
        <v>8712</v>
      </c>
      <c r="H637" s="1" t="s">
        <v>8713</v>
      </c>
      <c r="I637" s="1" t="s">
        <v>120</v>
      </c>
      <c r="J637" s="1" t="s">
        <v>8714</v>
      </c>
      <c r="K637" s="1" t="s">
        <v>8715</v>
      </c>
    </row>
    <row r="638" spans="1:11" ht="145" x14ac:dyDescent="0.35">
      <c r="A638" s="61"/>
      <c r="B638" s="61"/>
      <c r="C638" s="61"/>
      <c r="D638" s="1" t="s">
        <v>8716</v>
      </c>
      <c r="E638" s="1" t="s">
        <v>8717</v>
      </c>
      <c r="F638" s="1" t="s">
        <v>5366</v>
      </c>
      <c r="G638" s="1" t="s">
        <v>8718</v>
      </c>
      <c r="H638" s="1" t="s">
        <v>8719</v>
      </c>
      <c r="I638" s="1" t="s">
        <v>120</v>
      </c>
      <c r="J638" s="1" t="s">
        <v>8720</v>
      </c>
      <c r="K638" s="1" t="s">
        <v>8721</v>
      </c>
    </row>
    <row r="639" spans="1:11" ht="130.5" x14ac:dyDescent="0.35">
      <c r="A639" s="61"/>
      <c r="B639" s="61"/>
      <c r="C639" s="61"/>
      <c r="D639" s="1" t="s">
        <v>8722</v>
      </c>
      <c r="E639" s="1" t="s">
        <v>8723</v>
      </c>
      <c r="F639" s="1" t="s">
        <v>5366</v>
      </c>
      <c r="G639" s="1" t="s">
        <v>8724</v>
      </c>
      <c r="H639" s="1" t="s">
        <v>8725</v>
      </c>
      <c r="I639" s="1" t="s">
        <v>120</v>
      </c>
      <c r="J639" s="1" t="s">
        <v>8726</v>
      </c>
      <c r="K639" s="1" t="s">
        <v>8727</v>
      </c>
    </row>
    <row r="640" spans="1:11" ht="145" x14ac:dyDescent="0.35">
      <c r="A640" s="61"/>
      <c r="B640" s="61"/>
      <c r="C640" s="61"/>
      <c r="D640" s="1" t="s">
        <v>8728</v>
      </c>
      <c r="E640" s="1" t="s">
        <v>8729</v>
      </c>
      <c r="F640" s="1" t="s">
        <v>5366</v>
      </c>
      <c r="G640" s="1" t="s">
        <v>8730</v>
      </c>
      <c r="H640" s="1" t="s">
        <v>8731</v>
      </c>
      <c r="I640" s="1" t="s">
        <v>4856</v>
      </c>
      <c r="J640" s="1" t="s">
        <v>8732</v>
      </c>
      <c r="K640" s="1" t="s">
        <v>8733</v>
      </c>
    </row>
    <row r="641" spans="1:11" ht="130.5" x14ac:dyDescent="0.35">
      <c r="A641" s="61"/>
      <c r="B641" s="61"/>
      <c r="C641" s="62" t="s">
        <v>8734</v>
      </c>
      <c r="D641" s="1" t="s">
        <v>8735</v>
      </c>
      <c r="E641" s="1" t="s">
        <v>8736</v>
      </c>
      <c r="F641" s="1" t="s">
        <v>5366</v>
      </c>
      <c r="G641" s="1" t="s">
        <v>8737</v>
      </c>
      <c r="H641" s="1" t="s">
        <v>8738</v>
      </c>
      <c r="I641" s="1" t="s">
        <v>4856</v>
      </c>
      <c r="J641" s="1" t="s">
        <v>8739</v>
      </c>
      <c r="K641" s="1" t="s">
        <v>8740</v>
      </c>
    </row>
    <row r="642" spans="1:11" ht="130.5" x14ac:dyDescent="0.35">
      <c r="A642" s="61"/>
      <c r="B642" s="61"/>
      <c r="C642" s="61"/>
      <c r="D642" s="1" t="s">
        <v>8741</v>
      </c>
      <c r="E642" s="1" t="s">
        <v>8742</v>
      </c>
      <c r="F642" s="1" t="s">
        <v>5366</v>
      </c>
      <c r="G642" s="1" t="s">
        <v>8743</v>
      </c>
      <c r="H642" s="1" t="s">
        <v>8744</v>
      </c>
      <c r="I642" s="1" t="s">
        <v>120</v>
      </c>
      <c r="J642" s="1" t="s">
        <v>8745</v>
      </c>
      <c r="K642" s="1" t="s">
        <v>8746</v>
      </c>
    </row>
    <row r="643" spans="1:11" ht="145" x14ac:dyDescent="0.35">
      <c r="A643" s="61"/>
      <c r="B643" s="61"/>
      <c r="C643" s="61"/>
      <c r="D643" s="1" t="s">
        <v>8747</v>
      </c>
      <c r="E643" s="1" t="s">
        <v>8748</v>
      </c>
      <c r="F643" s="1" t="s">
        <v>5366</v>
      </c>
      <c r="G643" s="1" t="s">
        <v>8749</v>
      </c>
      <c r="H643" s="1" t="s">
        <v>8750</v>
      </c>
      <c r="I643" s="1" t="s">
        <v>120</v>
      </c>
      <c r="J643" s="1" t="s">
        <v>8751</v>
      </c>
      <c r="K643" s="1" t="s">
        <v>8752</v>
      </c>
    </row>
    <row r="644" spans="1:11" ht="130.5" x14ac:dyDescent="0.35">
      <c r="A644" s="61"/>
      <c r="B644" s="61"/>
      <c r="C644" s="61"/>
      <c r="D644" s="1" t="s">
        <v>8753</v>
      </c>
      <c r="E644" s="1" t="s">
        <v>8754</v>
      </c>
      <c r="F644" s="1" t="s">
        <v>5366</v>
      </c>
      <c r="G644" s="1" t="s">
        <v>8755</v>
      </c>
      <c r="H644" s="1" t="s">
        <v>8756</v>
      </c>
      <c r="I644" s="1" t="s">
        <v>120</v>
      </c>
      <c r="J644" s="1" t="s">
        <v>8757</v>
      </c>
      <c r="K644" s="1" t="s">
        <v>8758</v>
      </c>
    </row>
    <row r="645" spans="1:11" ht="116" x14ac:dyDescent="0.35">
      <c r="A645" s="61"/>
      <c r="B645" s="61"/>
      <c r="C645" s="61"/>
      <c r="D645" s="1" t="s">
        <v>8759</v>
      </c>
      <c r="E645" s="1" t="s">
        <v>8760</v>
      </c>
      <c r="F645" s="1" t="s">
        <v>5366</v>
      </c>
      <c r="G645" s="1" t="s">
        <v>8761</v>
      </c>
      <c r="H645" s="1" t="s">
        <v>8762</v>
      </c>
      <c r="I645" s="1" t="s">
        <v>120</v>
      </c>
      <c r="J645" s="1" t="s">
        <v>8763</v>
      </c>
      <c r="K645" s="1" t="s">
        <v>8764</v>
      </c>
    </row>
    <row r="646" spans="1:11" ht="145" x14ac:dyDescent="0.35">
      <c r="A646" s="61"/>
      <c r="B646" s="61"/>
      <c r="C646" s="62" t="s">
        <v>8765</v>
      </c>
      <c r="D646" s="1" t="s">
        <v>8766</v>
      </c>
      <c r="E646" s="1" t="s">
        <v>8767</v>
      </c>
      <c r="F646" s="1" t="s">
        <v>5366</v>
      </c>
      <c r="G646" s="1" t="s">
        <v>8768</v>
      </c>
      <c r="H646" s="1" t="s">
        <v>8769</v>
      </c>
      <c r="I646" s="1" t="s">
        <v>4856</v>
      </c>
      <c r="J646" s="1" t="s">
        <v>8770</v>
      </c>
      <c r="K646" s="1" t="s">
        <v>8771</v>
      </c>
    </row>
    <row r="647" spans="1:11" ht="145" x14ac:dyDescent="0.35">
      <c r="A647" s="61"/>
      <c r="B647" s="61"/>
      <c r="C647" s="61"/>
      <c r="D647" s="1" t="s">
        <v>8772</v>
      </c>
      <c r="E647" s="1" t="s">
        <v>8773</v>
      </c>
      <c r="F647" s="1" t="s">
        <v>5366</v>
      </c>
      <c r="G647" s="1" t="s">
        <v>8774</v>
      </c>
      <c r="H647" s="1" t="s">
        <v>5614</v>
      </c>
      <c r="I647" s="1" t="s">
        <v>4856</v>
      </c>
      <c r="J647" s="1" t="s">
        <v>8775</v>
      </c>
      <c r="K647" s="1" t="s">
        <v>5412</v>
      </c>
    </row>
    <row r="648" spans="1:11" ht="145" x14ac:dyDescent="0.35">
      <c r="A648" s="61"/>
      <c r="B648" s="61"/>
      <c r="C648" s="61"/>
      <c r="D648" s="1" t="s">
        <v>8776</v>
      </c>
      <c r="E648" s="1" t="s">
        <v>8777</v>
      </c>
      <c r="F648" s="1" t="s">
        <v>5366</v>
      </c>
      <c r="G648" s="1" t="s">
        <v>8778</v>
      </c>
      <c r="H648" s="1" t="s">
        <v>8779</v>
      </c>
      <c r="I648" s="1" t="s">
        <v>120</v>
      </c>
      <c r="J648" s="1" t="s">
        <v>8780</v>
      </c>
      <c r="K648" s="1" t="s">
        <v>8781</v>
      </c>
    </row>
    <row r="649" spans="1:11" ht="145" x14ac:dyDescent="0.35">
      <c r="A649" s="61"/>
      <c r="B649" s="61"/>
      <c r="C649" s="61"/>
      <c r="D649" s="1" t="s">
        <v>8782</v>
      </c>
      <c r="E649" s="1" t="s">
        <v>8783</v>
      </c>
      <c r="F649" s="1" t="s">
        <v>5366</v>
      </c>
      <c r="G649" s="1" t="s">
        <v>8784</v>
      </c>
      <c r="H649" s="1" t="s">
        <v>8785</v>
      </c>
      <c r="I649" s="1" t="s">
        <v>120</v>
      </c>
      <c r="J649" s="1" t="s">
        <v>8786</v>
      </c>
      <c r="K649" s="1" t="s">
        <v>8787</v>
      </c>
    </row>
    <row r="650" spans="1:11" ht="159.5" x14ac:dyDescent="0.35">
      <c r="A650" s="61"/>
      <c r="B650" s="61"/>
      <c r="C650" s="61"/>
      <c r="D650" s="1" t="s">
        <v>8788</v>
      </c>
      <c r="E650" s="1" t="s">
        <v>8789</v>
      </c>
      <c r="F650" s="1" t="s">
        <v>5366</v>
      </c>
      <c r="G650" s="1" t="s">
        <v>8790</v>
      </c>
      <c r="H650" s="1" t="s">
        <v>8791</v>
      </c>
      <c r="I650" s="1" t="s">
        <v>120</v>
      </c>
      <c r="J650" s="1" t="s">
        <v>8792</v>
      </c>
      <c r="K650" s="1" t="s">
        <v>8793</v>
      </c>
    </row>
    <row r="651" spans="1:11" ht="145" x14ac:dyDescent="0.35">
      <c r="A651" s="61"/>
      <c r="B651" s="62" t="s">
        <v>8794</v>
      </c>
      <c r="C651" s="62" t="s">
        <v>8795</v>
      </c>
      <c r="D651" s="1" t="s">
        <v>8796</v>
      </c>
      <c r="E651" s="1" t="s">
        <v>8797</v>
      </c>
      <c r="F651" s="1" t="s">
        <v>5366</v>
      </c>
      <c r="G651" s="1" t="s">
        <v>8798</v>
      </c>
      <c r="H651" s="1" t="s">
        <v>8799</v>
      </c>
      <c r="I651" s="1" t="s">
        <v>4856</v>
      </c>
      <c r="J651" s="1" t="s">
        <v>8800</v>
      </c>
      <c r="K651" s="1" t="s">
        <v>8801</v>
      </c>
    </row>
    <row r="652" spans="1:11" ht="130.5" x14ac:dyDescent="0.35">
      <c r="A652" s="61"/>
      <c r="B652" s="61"/>
      <c r="C652" s="61"/>
      <c r="D652" s="1" t="s">
        <v>8802</v>
      </c>
      <c r="E652" s="1" t="s">
        <v>8803</v>
      </c>
      <c r="F652" s="1" t="s">
        <v>5366</v>
      </c>
      <c r="G652" s="1" t="s">
        <v>8804</v>
      </c>
      <c r="H652" s="1" t="s">
        <v>8805</v>
      </c>
      <c r="I652" s="1" t="s">
        <v>120</v>
      </c>
      <c r="J652" s="1" t="s">
        <v>8806</v>
      </c>
      <c r="K652" s="1" t="s">
        <v>8807</v>
      </c>
    </row>
    <row r="653" spans="1:11" ht="145" x14ac:dyDescent="0.35">
      <c r="A653" s="61"/>
      <c r="B653" s="61"/>
      <c r="C653" s="61"/>
      <c r="D653" s="1" t="s">
        <v>8808</v>
      </c>
      <c r="E653" s="1" t="s">
        <v>8809</v>
      </c>
      <c r="F653" s="1" t="s">
        <v>5366</v>
      </c>
      <c r="G653" s="1" t="s">
        <v>8810</v>
      </c>
      <c r="H653" s="1" t="s">
        <v>8811</v>
      </c>
      <c r="I653" s="1" t="s">
        <v>120</v>
      </c>
      <c r="J653" s="1" t="s">
        <v>8812</v>
      </c>
      <c r="K653" s="1" t="s">
        <v>8813</v>
      </c>
    </row>
    <row r="654" spans="1:11" ht="116" x14ac:dyDescent="0.35">
      <c r="A654" s="61"/>
      <c r="B654" s="61"/>
      <c r="C654" s="61"/>
      <c r="D654" s="1" t="s">
        <v>8814</v>
      </c>
      <c r="E654" s="1" t="s">
        <v>8815</v>
      </c>
      <c r="F654" s="1" t="s">
        <v>5366</v>
      </c>
      <c r="G654" s="1" t="s">
        <v>8816</v>
      </c>
      <c r="H654" s="1" t="s">
        <v>8817</v>
      </c>
      <c r="I654" s="1" t="s">
        <v>120</v>
      </c>
      <c r="J654" s="1" t="s">
        <v>8818</v>
      </c>
      <c r="K654" s="1" t="s">
        <v>8819</v>
      </c>
    </row>
    <row r="655" spans="1:11" ht="145" x14ac:dyDescent="0.35">
      <c r="A655" s="61"/>
      <c r="B655" s="61"/>
      <c r="C655" s="61"/>
      <c r="D655" s="1" t="s">
        <v>8820</v>
      </c>
      <c r="E655" s="1" t="s">
        <v>8821</v>
      </c>
      <c r="F655" s="1" t="s">
        <v>5366</v>
      </c>
      <c r="G655" s="1" t="s">
        <v>8822</v>
      </c>
      <c r="H655" s="1" t="s">
        <v>8823</v>
      </c>
      <c r="I655" s="1" t="s">
        <v>120</v>
      </c>
      <c r="J655" s="1" t="s">
        <v>8824</v>
      </c>
      <c r="K655" s="1" t="s">
        <v>8825</v>
      </c>
    </row>
    <row r="656" spans="1:11" ht="159.5" x14ac:dyDescent="0.35">
      <c r="A656" s="61"/>
      <c r="B656" s="61"/>
      <c r="C656" s="62" t="s">
        <v>8826</v>
      </c>
      <c r="D656" s="1" t="s">
        <v>8827</v>
      </c>
      <c r="E656" s="1" t="s">
        <v>8828</v>
      </c>
      <c r="F656" s="1" t="s">
        <v>5366</v>
      </c>
      <c r="G656" s="1" t="s">
        <v>8829</v>
      </c>
      <c r="H656" s="1" t="s">
        <v>8830</v>
      </c>
      <c r="I656" s="1" t="s">
        <v>4856</v>
      </c>
      <c r="J656" s="1" t="s">
        <v>8831</v>
      </c>
      <c r="K656" s="1" t="s">
        <v>8832</v>
      </c>
    </row>
    <row r="657" spans="1:11" ht="116" x14ac:dyDescent="0.35">
      <c r="A657" s="61"/>
      <c r="B657" s="61"/>
      <c r="C657" s="61"/>
      <c r="D657" s="1" t="s">
        <v>8833</v>
      </c>
      <c r="E657" s="1" t="s">
        <v>8834</v>
      </c>
      <c r="F657" s="1" t="s">
        <v>5366</v>
      </c>
      <c r="G657" s="1" t="s">
        <v>8835</v>
      </c>
      <c r="H657" s="1" t="s">
        <v>8836</v>
      </c>
      <c r="I657" s="1" t="s">
        <v>120</v>
      </c>
      <c r="J657" s="1" t="s">
        <v>8837</v>
      </c>
      <c r="K657" s="1" t="s">
        <v>8838</v>
      </c>
    </row>
    <row r="658" spans="1:11" ht="130.5" x14ac:dyDescent="0.35">
      <c r="A658" s="61"/>
      <c r="B658" s="61"/>
      <c r="C658" s="61"/>
      <c r="D658" s="1" t="s">
        <v>8839</v>
      </c>
      <c r="E658" s="1" t="s">
        <v>8840</v>
      </c>
      <c r="F658" s="1" t="s">
        <v>5366</v>
      </c>
      <c r="G658" s="1" t="s">
        <v>8841</v>
      </c>
      <c r="H658" s="1" t="s">
        <v>8842</v>
      </c>
      <c r="I658" s="1" t="s">
        <v>4856</v>
      </c>
      <c r="J658" s="1" t="s">
        <v>8843</v>
      </c>
      <c r="K658" s="1" t="s">
        <v>8844</v>
      </c>
    </row>
    <row r="659" spans="1:11" ht="116" x14ac:dyDescent="0.35">
      <c r="A659" s="61"/>
      <c r="B659" s="61"/>
      <c r="C659" s="61"/>
      <c r="D659" s="1" t="s">
        <v>8845</v>
      </c>
      <c r="E659" s="1" t="s">
        <v>8846</v>
      </c>
      <c r="F659" s="1" t="s">
        <v>5366</v>
      </c>
      <c r="G659" s="1" t="s">
        <v>8847</v>
      </c>
      <c r="H659" s="1" t="s">
        <v>8848</v>
      </c>
      <c r="I659" s="1" t="s">
        <v>120</v>
      </c>
      <c r="J659" s="1" t="s">
        <v>8849</v>
      </c>
      <c r="K659" s="1" t="s">
        <v>8850</v>
      </c>
    </row>
    <row r="660" spans="1:11" ht="145" x14ac:dyDescent="0.35">
      <c r="A660" s="61"/>
      <c r="B660" s="61"/>
      <c r="C660" s="61"/>
      <c r="D660" s="1" t="s">
        <v>8851</v>
      </c>
      <c r="E660" s="1" t="s">
        <v>8852</v>
      </c>
      <c r="F660" s="1" t="s">
        <v>5366</v>
      </c>
      <c r="G660" s="1" t="s">
        <v>8853</v>
      </c>
      <c r="H660" s="1" t="s">
        <v>8854</v>
      </c>
      <c r="I660" s="1" t="s">
        <v>120</v>
      </c>
      <c r="J660" s="1" t="s">
        <v>8855</v>
      </c>
      <c r="K660" s="1" t="s">
        <v>8856</v>
      </c>
    </row>
    <row r="661" spans="1:11" ht="159.5" x14ac:dyDescent="0.35">
      <c r="A661" s="61"/>
      <c r="B661" s="61"/>
      <c r="C661" s="61" t="s">
        <v>8857</v>
      </c>
      <c r="D661" s="1" t="s">
        <v>8858</v>
      </c>
      <c r="E661" s="1" t="s">
        <v>8859</v>
      </c>
      <c r="F661" s="1" t="s">
        <v>5366</v>
      </c>
      <c r="G661" s="1" t="s">
        <v>8860</v>
      </c>
      <c r="H661" s="1" t="s">
        <v>8861</v>
      </c>
      <c r="I661" s="1" t="s">
        <v>4856</v>
      </c>
      <c r="J661" s="1" t="s">
        <v>8862</v>
      </c>
      <c r="K661" s="1" t="s">
        <v>8863</v>
      </c>
    </row>
    <row r="662" spans="1:11" ht="116" x14ac:dyDescent="0.35">
      <c r="A662" s="61"/>
      <c r="B662" s="61"/>
      <c r="C662" s="61"/>
      <c r="D662" s="1" t="s">
        <v>8864</v>
      </c>
      <c r="E662" s="1" t="s">
        <v>8865</v>
      </c>
      <c r="F662" s="1" t="s">
        <v>5366</v>
      </c>
      <c r="G662" s="1" t="s">
        <v>8866</v>
      </c>
      <c r="H662" s="1" t="s">
        <v>8867</v>
      </c>
      <c r="I662" s="1" t="s">
        <v>120</v>
      </c>
      <c r="J662" s="1" t="s">
        <v>8868</v>
      </c>
      <c r="K662" s="1" t="s">
        <v>8869</v>
      </c>
    </row>
    <row r="663" spans="1:11" ht="159.5" x14ac:dyDescent="0.35">
      <c r="A663" s="61"/>
      <c r="B663" s="61"/>
      <c r="C663" s="61"/>
      <c r="D663" s="1" t="s">
        <v>8870</v>
      </c>
      <c r="E663" s="1" t="s">
        <v>8871</v>
      </c>
      <c r="F663" s="1" t="s">
        <v>5366</v>
      </c>
      <c r="G663" s="1" t="s">
        <v>8872</v>
      </c>
      <c r="H663" s="1" t="s">
        <v>8873</v>
      </c>
      <c r="I663" s="1" t="s">
        <v>120</v>
      </c>
      <c r="J663" s="1" t="s">
        <v>8874</v>
      </c>
      <c r="K663" s="1" t="s">
        <v>8875</v>
      </c>
    </row>
    <row r="664" spans="1:11" ht="116" x14ac:dyDescent="0.35">
      <c r="A664" s="61"/>
      <c r="B664" s="61"/>
      <c r="C664" s="61"/>
      <c r="D664" s="1" t="s">
        <v>8876</v>
      </c>
      <c r="E664" s="1" t="s">
        <v>8877</v>
      </c>
      <c r="F664" s="1" t="s">
        <v>5366</v>
      </c>
      <c r="G664" s="1" t="s">
        <v>8878</v>
      </c>
      <c r="H664" s="1" t="s">
        <v>8879</v>
      </c>
      <c r="I664" s="1" t="s">
        <v>120</v>
      </c>
      <c r="J664" s="1" t="s">
        <v>8880</v>
      </c>
      <c r="K664" s="1" t="s">
        <v>8881</v>
      </c>
    </row>
    <row r="665" spans="1:11" ht="130.5" x14ac:dyDescent="0.35">
      <c r="A665" s="61"/>
      <c r="B665" s="61"/>
      <c r="C665" s="61"/>
      <c r="D665" s="1" t="s">
        <v>8882</v>
      </c>
      <c r="E665" s="1" t="s">
        <v>8883</v>
      </c>
      <c r="F665" s="1" t="s">
        <v>5366</v>
      </c>
      <c r="G665" s="1" t="s">
        <v>8884</v>
      </c>
      <c r="H665" s="1" t="s">
        <v>8885</v>
      </c>
      <c r="I665" s="1" t="s">
        <v>8886</v>
      </c>
      <c r="J665" s="1" t="s">
        <v>8887</v>
      </c>
      <c r="K665" s="1" t="s">
        <v>8888</v>
      </c>
    </row>
    <row r="666" spans="1:11" ht="145" x14ac:dyDescent="0.35">
      <c r="A666" s="61"/>
      <c r="B666" s="61"/>
      <c r="C666" s="61" t="s">
        <v>8889</v>
      </c>
      <c r="D666" s="1" t="s">
        <v>8890</v>
      </c>
      <c r="E666" s="1" t="s">
        <v>8891</v>
      </c>
      <c r="F666" s="1" t="s">
        <v>5366</v>
      </c>
      <c r="G666" s="1" t="s">
        <v>8892</v>
      </c>
      <c r="H666" s="1" t="s">
        <v>8893</v>
      </c>
      <c r="I666" s="1" t="s">
        <v>4856</v>
      </c>
      <c r="J666" s="1" t="s">
        <v>8894</v>
      </c>
      <c r="K666" s="1" t="s">
        <v>8895</v>
      </c>
    </row>
    <row r="667" spans="1:11" ht="130.5" x14ac:dyDescent="0.35">
      <c r="A667" s="61"/>
      <c r="B667" s="61"/>
      <c r="C667" s="61"/>
      <c r="D667" s="1" t="s">
        <v>8896</v>
      </c>
      <c r="E667" s="1" t="s">
        <v>8897</v>
      </c>
      <c r="F667" s="1" t="s">
        <v>5366</v>
      </c>
      <c r="G667" s="1" t="s">
        <v>8898</v>
      </c>
      <c r="H667" s="1" t="s">
        <v>8899</v>
      </c>
      <c r="I667" s="1" t="s">
        <v>6862</v>
      </c>
      <c r="J667" s="1" t="s">
        <v>8900</v>
      </c>
      <c r="K667" s="1" t="s">
        <v>8901</v>
      </c>
    </row>
    <row r="668" spans="1:11" ht="116" x14ac:dyDescent="0.35">
      <c r="A668" s="61"/>
      <c r="B668" s="61"/>
      <c r="C668" s="61"/>
      <c r="D668" s="1" t="s">
        <v>8902</v>
      </c>
      <c r="E668" s="1" t="s">
        <v>8903</v>
      </c>
      <c r="F668" s="1" t="s">
        <v>5366</v>
      </c>
      <c r="G668" s="1" t="s">
        <v>8904</v>
      </c>
      <c r="H668" s="1" t="s">
        <v>8905</v>
      </c>
      <c r="I668" s="1" t="s">
        <v>120</v>
      </c>
      <c r="J668" s="1" t="s">
        <v>8906</v>
      </c>
      <c r="K668" s="1" t="s">
        <v>8907</v>
      </c>
    </row>
    <row r="669" spans="1:11" ht="159.5" x14ac:dyDescent="0.35">
      <c r="A669" s="61"/>
      <c r="B669" s="61"/>
      <c r="C669" s="61"/>
      <c r="D669" s="1" t="s">
        <v>8908</v>
      </c>
      <c r="E669" s="1" t="s">
        <v>8909</v>
      </c>
      <c r="F669" s="1" t="s">
        <v>5366</v>
      </c>
      <c r="G669" s="1" t="s">
        <v>8910</v>
      </c>
      <c r="H669" s="1" t="s">
        <v>8911</v>
      </c>
      <c r="I669" s="1" t="s">
        <v>120</v>
      </c>
      <c r="J669" s="1" t="s">
        <v>8912</v>
      </c>
      <c r="K669" s="1" t="s">
        <v>8913</v>
      </c>
    </row>
    <row r="670" spans="1:11" ht="130.5" x14ac:dyDescent="0.35">
      <c r="A670" s="61"/>
      <c r="B670" s="61"/>
      <c r="C670" s="61"/>
      <c r="D670" s="1" t="s">
        <v>8914</v>
      </c>
      <c r="E670" s="1" t="s">
        <v>8915</v>
      </c>
      <c r="F670" s="1" t="s">
        <v>5366</v>
      </c>
      <c r="G670" s="1" t="s">
        <v>8916</v>
      </c>
      <c r="H670" s="1" t="s">
        <v>8917</v>
      </c>
      <c r="I670" s="1" t="s">
        <v>4856</v>
      </c>
      <c r="J670" s="1" t="s">
        <v>8918</v>
      </c>
      <c r="K670" s="1" t="s">
        <v>8919</v>
      </c>
    </row>
    <row r="671" spans="1:11" ht="159.5" x14ac:dyDescent="0.35">
      <c r="A671" s="61"/>
      <c r="B671" s="61"/>
      <c r="C671" s="62" t="s">
        <v>8920</v>
      </c>
      <c r="D671" s="1" t="s">
        <v>8921</v>
      </c>
      <c r="E671" s="1" t="s">
        <v>8922</v>
      </c>
      <c r="F671" s="1" t="s">
        <v>5366</v>
      </c>
      <c r="G671" s="1" t="s">
        <v>8923</v>
      </c>
      <c r="H671" s="1" t="s">
        <v>8924</v>
      </c>
      <c r="I671" s="1" t="s">
        <v>4856</v>
      </c>
      <c r="J671" s="1" t="s">
        <v>8925</v>
      </c>
      <c r="K671" s="1" t="s">
        <v>8926</v>
      </c>
    </row>
    <row r="672" spans="1:11" ht="116" x14ac:dyDescent="0.35">
      <c r="A672" s="61"/>
      <c r="B672" s="61"/>
      <c r="C672" s="61"/>
      <c r="D672" s="1" t="s">
        <v>8927</v>
      </c>
      <c r="E672" s="1" t="s">
        <v>8928</v>
      </c>
      <c r="F672" s="1" t="s">
        <v>5366</v>
      </c>
      <c r="G672" s="1" t="s">
        <v>8929</v>
      </c>
      <c r="H672" s="1" t="s">
        <v>8930</v>
      </c>
      <c r="I672" s="1" t="s">
        <v>4856</v>
      </c>
      <c r="J672" s="1" t="s">
        <v>8931</v>
      </c>
      <c r="K672" s="1" t="s">
        <v>8932</v>
      </c>
    </row>
    <row r="673" spans="1:11" ht="116" x14ac:dyDescent="0.35">
      <c r="A673" s="61"/>
      <c r="B673" s="61"/>
      <c r="C673" s="61"/>
      <c r="D673" s="1" t="s">
        <v>8933</v>
      </c>
      <c r="E673" s="1" t="s">
        <v>8934</v>
      </c>
      <c r="F673" s="1" t="s">
        <v>5366</v>
      </c>
      <c r="G673" s="1" t="s">
        <v>8935</v>
      </c>
      <c r="H673" s="1" t="s">
        <v>8936</v>
      </c>
      <c r="I673" s="1" t="s">
        <v>6862</v>
      </c>
      <c r="J673" s="1" t="s">
        <v>8937</v>
      </c>
      <c r="K673" s="1" t="s">
        <v>8938</v>
      </c>
    </row>
    <row r="674" spans="1:11" ht="159.5" x14ac:dyDescent="0.35">
      <c r="A674" s="61"/>
      <c r="B674" s="61"/>
      <c r="C674" s="61"/>
      <c r="D674" s="1" t="s">
        <v>8939</v>
      </c>
      <c r="E674" s="1" t="s">
        <v>8940</v>
      </c>
      <c r="F674" s="1" t="s">
        <v>5366</v>
      </c>
      <c r="G674" s="1" t="s">
        <v>8941</v>
      </c>
      <c r="H674" s="1" t="s">
        <v>8942</v>
      </c>
      <c r="I674" s="1" t="s">
        <v>120</v>
      </c>
      <c r="J674" s="1" t="s">
        <v>8943</v>
      </c>
      <c r="K674" s="1" t="s">
        <v>8944</v>
      </c>
    </row>
    <row r="675" spans="1:11" ht="145" x14ac:dyDescent="0.35">
      <c r="A675" s="61"/>
      <c r="B675" s="61"/>
      <c r="C675" s="61"/>
      <c r="D675" s="1" t="s">
        <v>8945</v>
      </c>
      <c r="E675" s="1" t="s">
        <v>8946</v>
      </c>
      <c r="F675" s="1" t="s">
        <v>5366</v>
      </c>
      <c r="G675" s="1" t="s">
        <v>8947</v>
      </c>
      <c r="H675" s="1" t="s">
        <v>8948</v>
      </c>
      <c r="I675" s="1" t="s">
        <v>120</v>
      </c>
      <c r="J675" s="1" t="s">
        <v>8949</v>
      </c>
      <c r="K675" s="1" t="s">
        <v>8950</v>
      </c>
    </row>
    <row r="676" spans="1:11" ht="130.5" x14ac:dyDescent="0.35">
      <c r="A676" s="61"/>
      <c r="B676" s="61"/>
      <c r="C676" s="62" t="s">
        <v>8951</v>
      </c>
      <c r="D676" s="1" t="s">
        <v>8952</v>
      </c>
      <c r="E676" s="1" t="s">
        <v>8953</v>
      </c>
      <c r="F676" s="1" t="s">
        <v>5366</v>
      </c>
      <c r="G676" s="1" t="s">
        <v>8954</v>
      </c>
      <c r="H676" s="1" t="s">
        <v>8955</v>
      </c>
      <c r="I676" s="1" t="s">
        <v>4856</v>
      </c>
      <c r="J676" s="1" t="s">
        <v>8956</v>
      </c>
      <c r="K676" s="1" t="s">
        <v>8957</v>
      </c>
    </row>
    <row r="677" spans="1:11" ht="101.5" x14ac:dyDescent="0.35">
      <c r="A677" s="61"/>
      <c r="B677" s="61"/>
      <c r="C677" s="61"/>
      <c r="D677" s="1" t="s">
        <v>8958</v>
      </c>
      <c r="E677" s="1" t="s">
        <v>8959</v>
      </c>
      <c r="F677" s="1" t="s">
        <v>5366</v>
      </c>
      <c r="G677" s="1" t="s">
        <v>8960</v>
      </c>
      <c r="H677" s="1" t="s">
        <v>8961</v>
      </c>
      <c r="I677" s="1" t="s">
        <v>6862</v>
      </c>
      <c r="J677" s="1" t="s">
        <v>8962</v>
      </c>
      <c r="K677" s="1" t="s">
        <v>8963</v>
      </c>
    </row>
    <row r="678" spans="1:11" ht="145" x14ac:dyDescent="0.35">
      <c r="A678" s="61"/>
      <c r="B678" s="61"/>
      <c r="C678" s="61"/>
      <c r="D678" s="1" t="s">
        <v>8964</v>
      </c>
      <c r="E678" s="1" t="s">
        <v>8965</v>
      </c>
      <c r="F678" s="1" t="s">
        <v>5366</v>
      </c>
      <c r="G678" s="1" t="s">
        <v>8966</v>
      </c>
      <c r="H678" s="1" t="s">
        <v>8967</v>
      </c>
      <c r="I678" s="1" t="s">
        <v>120</v>
      </c>
      <c r="J678" s="1" t="s">
        <v>8968</v>
      </c>
      <c r="K678" s="1" t="s">
        <v>8969</v>
      </c>
    </row>
    <row r="679" spans="1:11" ht="130.5" x14ac:dyDescent="0.35">
      <c r="A679" s="61"/>
      <c r="B679" s="61"/>
      <c r="C679" s="61"/>
      <c r="D679" s="1" t="s">
        <v>8970</v>
      </c>
      <c r="E679" s="1" t="s">
        <v>8971</v>
      </c>
      <c r="F679" s="1" t="s">
        <v>5366</v>
      </c>
      <c r="G679" s="1" t="s">
        <v>8972</v>
      </c>
      <c r="H679" s="1" t="s">
        <v>8973</v>
      </c>
      <c r="I679" s="1" t="s">
        <v>120</v>
      </c>
      <c r="J679" s="1" t="s">
        <v>8974</v>
      </c>
      <c r="K679" s="1" t="s">
        <v>8975</v>
      </c>
    </row>
    <row r="680" spans="1:11" ht="130.5" x14ac:dyDescent="0.35">
      <c r="A680" s="61"/>
      <c r="B680" s="61"/>
      <c r="C680" s="61"/>
      <c r="D680" s="1" t="s">
        <v>8976</v>
      </c>
      <c r="E680" s="1" t="s">
        <v>8977</v>
      </c>
      <c r="F680" s="1" t="s">
        <v>5366</v>
      </c>
      <c r="G680" s="1" t="s">
        <v>8978</v>
      </c>
      <c r="H680" s="1" t="s">
        <v>8979</v>
      </c>
      <c r="I680" s="1" t="s">
        <v>4856</v>
      </c>
      <c r="J680" s="1" t="s">
        <v>8980</v>
      </c>
      <c r="K680" s="1" t="s">
        <v>8981</v>
      </c>
    </row>
    <row r="681" spans="1:11" ht="145" x14ac:dyDescent="0.35">
      <c r="A681" s="61"/>
      <c r="B681" s="61"/>
      <c r="C681" s="61" t="s">
        <v>8982</v>
      </c>
      <c r="D681" s="1" t="s">
        <v>8983</v>
      </c>
      <c r="E681" s="1" t="s">
        <v>8984</v>
      </c>
      <c r="F681" s="1" t="s">
        <v>5366</v>
      </c>
      <c r="G681" s="1" t="s">
        <v>8985</v>
      </c>
      <c r="H681" s="1" t="s">
        <v>8986</v>
      </c>
      <c r="I681" s="1" t="s">
        <v>4856</v>
      </c>
      <c r="J681" s="1" t="s">
        <v>8987</v>
      </c>
      <c r="K681" s="1" t="s">
        <v>8988</v>
      </c>
    </row>
    <row r="682" spans="1:11" ht="130.5" x14ac:dyDescent="0.35">
      <c r="A682" s="61"/>
      <c r="B682" s="61"/>
      <c r="C682" s="61"/>
      <c r="D682" s="1" t="s">
        <v>8989</v>
      </c>
      <c r="E682" s="1" t="s">
        <v>8990</v>
      </c>
      <c r="F682" s="1" t="s">
        <v>5366</v>
      </c>
      <c r="G682" s="1" t="s">
        <v>8991</v>
      </c>
      <c r="H682" s="1" t="s">
        <v>8992</v>
      </c>
      <c r="I682" s="1" t="s">
        <v>6862</v>
      </c>
      <c r="J682" s="1" t="s">
        <v>8993</v>
      </c>
      <c r="K682" s="1" t="s">
        <v>8994</v>
      </c>
    </row>
    <row r="683" spans="1:11" ht="145" x14ac:dyDescent="0.35">
      <c r="A683" s="61"/>
      <c r="B683" s="61"/>
      <c r="C683" s="61"/>
      <c r="D683" s="1" t="s">
        <v>8995</v>
      </c>
      <c r="E683" s="1" t="s">
        <v>8996</v>
      </c>
      <c r="F683" s="1" t="s">
        <v>5366</v>
      </c>
      <c r="G683" s="1" t="s">
        <v>8997</v>
      </c>
      <c r="H683" s="1" t="s">
        <v>8998</v>
      </c>
      <c r="I683" s="1" t="s">
        <v>120</v>
      </c>
      <c r="J683" s="1" t="s">
        <v>8999</v>
      </c>
      <c r="K683" s="1" t="s">
        <v>9000</v>
      </c>
    </row>
    <row r="684" spans="1:11" ht="130.5" x14ac:dyDescent="0.35">
      <c r="A684" s="61"/>
      <c r="B684" s="61"/>
      <c r="C684" s="61"/>
      <c r="D684" s="1" t="s">
        <v>9001</v>
      </c>
      <c r="E684" s="1" t="s">
        <v>9002</v>
      </c>
      <c r="F684" s="1" t="s">
        <v>5366</v>
      </c>
      <c r="G684" s="1" t="s">
        <v>9003</v>
      </c>
      <c r="H684" s="1" t="s">
        <v>9004</v>
      </c>
      <c r="I684" s="1" t="s">
        <v>120</v>
      </c>
      <c r="J684" s="1" t="s">
        <v>9005</v>
      </c>
      <c r="K684" s="1" t="s">
        <v>9006</v>
      </c>
    </row>
    <row r="685" spans="1:11" ht="130.5" x14ac:dyDescent="0.35">
      <c r="A685" s="61"/>
      <c r="B685" s="61"/>
      <c r="C685" s="61"/>
      <c r="D685" s="1" t="s">
        <v>9007</v>
      </c>
      <c r="E685" s="1" t="s">
        <v>9008</v>
      </c>
      <c r="F685" s="1" t="s">
        <v>5366</v>
      </c>
      <c r="G685" s="1" t="s">
        <v>9009</v>
      </c>
      <c r="H685" s="1" t="s">
        <v>9010</v>
      </c>
      <c r="I685" s="1" t="s">
        <v>4856</v>
      </c>
      <c r="J685" s="1" t="s">
        <v>9011</v>
      </c>
      <c r="K685" s="1" t="s">
        <v>9012</v>
      </c>
    </row>
    <row r="686" spans="1:11" ht="145" x14ac:dyDescent="0.35">
      <c r="A686" s="61"/>
      <c r="B686" s="61"/>
      <c r="C686" s="61" t="s">
        <v>9013</v>
      </c>
      <c r="D686" s="1" t="s">
        <v>9014</v>
      </c>
      <c r="E686" s="1" t="s">
        <v>9015</v>
      </c>
      <c r="F686" s="1" t="s">
        <v>5366</v>
      </c>
      <c r="G686" s="1" t="s">
        <v>9016</v>
      </c>
      <c r="H686" s="1" t="s">
        <v>9017</v>
      </c>
      <c r="I686" s="1" t="s">
        <v>4856</v>
      </c>
      <c r="J686" s="1" t="s">
        <v>9018</v>
      </c>
      <c r="K686" s="1" t="s">
        <v>9019</v>
      </c>
    </row>
    <row r="687" spans="1:11" ht="145" x14ac:dyDescent="0.35">
      <c r="A687" s="61"/>
      <c r="B687" s="61"/>
      <c r="C687" s="61"/>
      <c r="D687" s="1" t="s">
        <v>9020</v>
      </c>
      <c r="E687" s="1" t="s">
        <v>9021</v>
      </c>
      <c r="F687" s="1" t="s">
        <v>5366</v>
      </c>
      <c r="G687" s="1" t="s">
        <v>9022</v>
      </c>
      <c r="H687" s="1" t="s">
        <v>9023</v>
      </c>
      <c r="I687" s="1" t="s">
        <v>6862</v>
      </c>
      <c r="J687" s="1" t="s">
        <v>9024</v>
      </c>
      <c r="K687" s="1" t="s">
        <v>9025</v>
      </c>
    </row>
    <row r="688" spans="1:11" ht="130.5" x14ac:dyDescent="0.35">
      <c r="A688" s="61"/>
      <c r="B688" s="61"/>
      <c r="C688" s="61"/>
      <c r="D688" s="1" t="s">
        <v>8437</v>
      </c>
      <c r="E688" s="1" t="s">
        <v>9026</v>
      </c>
      <c r="F688" s="1" t="s">
        <v>5366</v>
      </c>
      <c r="G688" s="1" t="s">
        <v>9027</v>
      </c>
      <c r="H688" s="1" t="s">
        <v>9028</v>
      </c>
      <c r="I688" s="1" t="s">
        <v>120</v>
      </c>
      <c r="J688" s="1" t="s">
        <v>9029</v>
      </c>
      <c r="K688" s="1" t="s">
        <v>9030</v>
      </c>
    </row>
    <row r="689" spans="1:11" ht="130.5" x14ac:dyDescent="0.35">
      <c r="A689" s="61"/>
      <c r="B689" s="61"/>
      <c r="C689" s="61"/>
      <c r="D689" s="1" t="s">
        <v>9031</v>
      </c>
      <c r="E689" s="1" t="s">
        <v>9032</v>
      </c>
      <c r="F689" s="1" t="s">
        <v>5366</v>
      </c>
      <c r="G689" s="1" t="s">
        <v>9033</v>
      </c>
      <c r="H689" s="1" t="s">
        <v>9034</v>
      </c>
      <c r="I689" s="1" t="s">
        <v>4856</v>
      </c>
      <c r="J689" s="1" t="s">
        <v>9035</v>
      </c>
      <c r="K689" s="1" t="s">
        <v>9036</v>
      </c>
    </row>
    <row r="690" spans="1:11" ht="145" x14ac:dyDescent="0.35">
      <c r="A690" s="61"/>
      <c r="B690" s="61"/>
      <c r="C690" s="61"/>
      <c r="D690" s="1" t="s">
        <v>9037</v>
      </c>
      <c r="E690" s="1" t="s">
        <v>9038</v>
      </c>
      <c r="F690" s="1" t="s">
        <v>5366</v>
      </c>
      <c r="G690" s="1" t="s">
        <v>9039</v>
      </c>
      <c r="H690" s="1" t="s">
        <v>9040</v>
      </c>
      <c r="I690" s="1" t="s">
        <v>120</v>
      </c>
      <c r="J690" s="1" t="s">
        <v>9041</v>
      </c>
      <c r="K690" s="1" t="s">
        <v>9042</v>
      </c>
    </row>
    <row r="691" spans="1:11" ht="159.5" x14ac:dyDescent="0.35">
      <c r="A691" s="61"/>
      <c r="B691" s="61"/>
      <c r="C691" s="62" t="s">
        <v>9043</v>
      </c>
      <c r="D691" s="1" t="s">
        <v>9044</v>
      </c>
      <c r="E691" s="1" t="s">
        <v>9045</v>
      </c>
      <c r="F691" s="1" t="s">
        <v>5366</v>
      </c>
      <c r="G691" s="1" t="s">
        <v>9046</v>
      </c>
      <c r="H691" s="1" t="s">
        <v>9047</v>
      </c>
      <c r="I691" s="1" t="s">
        <v>4856</v>
      </c>
      <c r="J691" s="1" t="s">
        <v>9048</v>
      </c>
      <c r="K691" s="1" t="s">
        <v>9049</v>
      </c>
    </row>
    <row r="692" spans="1:11" ht="159.5" x14ac:dyDescent="0.35">
      <c r="A692" s="61"/>
      <c r="B692" s="61"/>
      <c r="C692" s="61"/>
      <c r="D692" s="1" t="s">
        <v>9050</v>
      </c>
      <c r="E692" s="1" t="s">
        <v>9051</v>
      </c>
      <c r="F692" s="1" t="s">
        <v>5366</v>
      </c>
      <c r="G692" s="1" t="s">
        <v>9052</v>
      </c>
      <c r="H692" s="1" t="s">
        <v>9053</v>
      </c>
      <c r="I692" s="1" t="s">
        <v>120</v>
      </c>
      <c r="J692" s="1" t="s">
        <v>9054</v>
      </c>
      <c r="K692" s="1" t="s">
        <v>9055</v>
      </c>
    </row>
    <row r="693" spans="1:11" ht="145" x14ac:dyDescent="0.35">
      <c r="A693" s="61"/>
      <c r="B693" s="61"/>
      <c r="C693" s="61"/>
      <c r="D693" s="1" t="s">
        <v>9056</v>
      </c>
      <c r="E693" s="1" t="s">
        <v>9057</v>
      </c>
      <c r="F693" s="1" t="s">
        <v>5366</v>
      </c>
      <c r="G693" s="1" t="s">
        <v>9058</v>
      </c>
      <c r="H693" s="1" t="s">
        <v>9059</v>
      </c>
      <c r="I693" s="1" t="s">
        <v>4856</v>
      </c>
      <c r="J693" s="1" t="s">
        <v>9060</v>
      </c>
      <c r="K693" s="1" t="s">
        <v>9061</v>
      </c>
    </row>
    <row r="694" spans="1:11" ht="159.5" x14ac:dyDescent="0.35">
      <c r="A694" s="61"/>
      <c r="B694" s="61"/>
      <c r="C694" s="61"/>
      <c r="D694" s="1" t="s">
        <v>9062</v>
      </c>
      <c r="E694" s="1" t="s">
        <v>9063</v>
      </c>
      <c r="F694" s="1" t="s">
        <v>5366</v>
      </c>
      <c r="G694" s="1" t="s">
        <v>9064</v>
      </c>
      <c r="H694" s="1" t="s">
        <v>9065</v>
      </c>
      <c r="I694" s="1" t="s">
        <v>120</v>
      </c>
      <c r="J694" s="1" t="s">
        <v>9066</v>
      </c>
      <c r="K694" s="1" t="s">
        <v>9067</v>
      </c>
    </row>
    <row r="695" spans="1:11" ht="159.5" x14ac:dyDescent="0.35">
      <c r="A695" s="61"/>
      <c r="B695" s="61"/>
      <c r="C695" s="61"/>
      <c r="D695" s="1" t="s">
        <v>9068</v>
      </c>
      <c r="E695" s="1" t="s">
        <v>9069</v>
      </c>
      <c r="F695" s="1" t="s">
        <v>5366</v>
      </c>
      <c r="G695" s="1" t="s">
        <v>9070</v>
      </c>
      <c r="H695" s="1" t="s">
        <v>9071</v>
      </c>
      <c r="I695" s="1" t="s">
        <v>120</v>
      </c>
      <c r="J695" s="1" t="s">
        <v>9072</v>
      </c>
      <c r="K695" s="1" t="s">
        <v>9073</v>
      </c>
    </row>
    <row r="696" spans="1:11" ht="145" x14ac:dyDescent="0.35">
      <c r="A696" s="61"/>
      <c r="B696" s="61"/>
      <c r="C696" s="61" t="s">
        <v>9074</v>
      </c>
      <c r="D696" s="1" t="s">
        <v>9075</v>
      </c>
      <c r="E696" s="1" t="s">
        <v>9076</v>
      </c>
      <c r="F696" s="1" t="s">
        <v>5366</v>
      </c>
      <c r="G696" s="1" t="s">
        <v>9077</v>
      </c>
      <c r="H696" s="1" t="s">
        <v>9078</v>
      </c>
      <c r="I696" s="1" t="s">
        <v>4856</v>
      </c>
      <c r="J696" s="1" t="s">
        <v>9079</v>
      </c>
      <c r="K696" s="1" t="s">
        <v>9080</v>
      </c>
    </row>
    <row r="697" spans="1:11" ht="116" x14ac:dyDescent="0.35">
      <c r="A697" s="61"/>
      <c r="B697" s="61"/>
      <c r="C697" s="61"/>
      <c r="D697" s="1" t="s">
        <v>9081</v>
      </c>
      <c r="E697" s="1" t="s">
        <v>9082</v>
      </c>
      <c r="F697" s="1" t="s">
        <v>5366</v>
      </c>
      <c r="G697" s="1" t="s">
        <v>9083</v>
      </c>
      <c r="H697" s="1" t="s">
        <v>9084</v>
      </c>
      <c r="I697" s="1" t="s">
        <v>4856</v>
      </c>
      <c r="J697" s="1" t="s">
        <v>9085</v>
      </c>
      <c r="K697" s="1" t="s">
        <v>9086</v>
      </c>
    </row>
    <row r="698" spans="1:11" ht="159.5" x14ac:dyDescent="0.35">
      <c r="A698" s="61"/>
      <c r="B698" s="61"/>
      <c r="C698" s="61"/>
      <c r="D698" s="1" t="s">
        <v>9087</v>
      </c>
      <c r="E698" s="1" t="s">
        <v>9088</v>
      </c>
      <c r="F698" s="1" t="s">
        <v>5366</v>
      </c>
      <c r="G698" s="1" t="s">
        <v>9089</v>
      </c>
      <c r="H698" s="1" t="s">
        <v>9090</v>
      </c>
      <c r="I698" s="1" t="s">
        <v>120</v>
      </c>
      <c r="J698" s="1" t="s">
        <v>9091</v>
      </c>
      <c r="K698" s="1" t="s">
        <v>9092</v>
      </c>
    </row>
    <row r="699" spans="1:11" ht="145" x14ac:dyDescent="0.35">
      <c r="A699" s="61"/>
      <c r="B699" s="61"/>
      <c r="C699" s="61"/>
      <c r="D699" s="1" t="s">
        <v>9093</v>
      </c>
      <c r="E699" s="1" t="s">
        <v>9094</v>
      </c>
      <c r="F699" s="1" t="s">
        <v>5366</v>
      </c>
      <c r="G699" s="1" t="s">
        <v>9095</v>
      </c>
      <c r="H699" s="1" t="s">
        <v>9096</v>
      </c>
      <c r="I699" s="1" t="s">
        <v>120</v>
      </c>
      <c r="J699" s="1" t="s">
        <v>9097</v>
      </c>
      <c r="K699" s="1" t="s">
        <v>9098</v>
      </c>
    </row>
    <row r="700" spans="1:11" ht="159.5" x14ac:dyDescent="0.35">
      <c r="A700" s="61"/>
      <c r="B700" s="61"/>
      <c r="C700" s="61"/>
      <c r="D700" s="1" t="s">
        <v>9099</v>
      </c>
      <c r="E700" s="1" t="s">
        <v>9100</v>
      </c>
      <c r="F700" s="1" t="s">
        <v>5366</v>
      </c>
      <c r="G700" s="1" t="s">
        <v>9101</v>
      </c>
      <c r="H700" s="1" t="s">
        <v>9102</v>
      </c>
      <c r="I700" s="1" t="s">
        <v>4856</v>
      </c>
      <c r="J700" s="1" t="s">
        <v>9103</v>
      </c>
      <c r="K700" s="1" t="s">
        <v>9104</v>
      </c>
    </row>
    <row r="701" spans="1:11" ht="145" x14ac:dyDescent="0.35">
      <c r="A701" s="61"/>
      <c r="B701" s="61" t="s">
        <v>9105</v>
      </c>
      <c r="C701" s="61" t="s">
        <v>9106</v>
      </c>
      <c r="D701" s="1" t="s">
        <v>9107</v>
      </c>
      <c r="E701" s="1" t="s">
        <v>9108</v>
      </c>
      <c r="F701" s="1" t="s">
        <v>5366</v>
      </c>
      <c r="G701" s="1" t="s">
        <v>9109</v>
      </c>
      <c r="H701" s="1" t="s">
        <v>9110</v>
      </c>
      <c r="I701" s="1" t="s">
        <v>4856</v>
      </c>
      <c r="J701" s="1" t="s">
        <v>9111</v>
      </c>
      <c r="K701" s="1" t="s">
        <v>9112</v>
      </c>
    </row>
    <row r="702" spans="1:11" ht="174" x14ac:dyDescent="0.35">
      <c r="A702" s="61"/>
      <c r="B702" s="61"/>
      <c r="C702" s="61"/>
      <c r="D702" s="1" t="s">
        <v>9113</v>
      </c>
      <c r="E702" s="1" t="s">
        <v>9114</v>
      </c>
      <c r="F702" s="1" t="s">
        <v>5366</v>
      </c>
      <c r="G702" s="1" t="s">
        <v>9115</v>
      </c>
      <c r="H702" s="1" t="s">
        <v>9116</v>
      </c>
      <c r="I702" s="1" t="s">
        <v>4856</v>
      </c>
      <c r="J702" s="1" t="s">
        <v>9117</v>
      </c>
      <c r="K702" s="1" t="s">
        <v>9118</v>
      </c>
    </row>
    <row r="703" spans="1:11" ht="203" x14ac:dyDescent="0.35">
      <c r="A703" s="61"/>
      <c r="B703" s="61"/>
      <c r="C703" s="61"/>
      <c r="D703" s="1" t="s">
        <v>9119</v>
      </c>
      <c r="E703" s="1" t="s">
        <v>9120</v>
      </c>
      <c r="F703" s="1" t="s">
        <v>5366</v>
      </c>
      <c r="G703" s="1" t="s">
        <v>9121</v>
      </c>
      <c r="H703" s="1" t="s">
        <v>9122</v>
      </c>
      <c r="I703" s="1" t="s">
        <v>120</v>
      </c>
      <c r="J703" s="1" t="s">
        <v>9123</v>
      </c>
      <c r="K703" s="1" t="s">
        <v>9124</v>
      </c>
    </row>
    <row r="704" spans="1:11" ht="159.5" x14ac:dyDescent="0.35">
      <c r="A704" s="61"/>
      <c r="B704" s="61"/>
      <c r="C704" s="61"/>
      <c r="D704" s="1" t="s">
        <v>9125</v>
      </c>
      <c r="E704" s="1" t="s">
        <v>9126</v>
      </c>
      <c r="F704" s="1" t="s">
        <v>5366</v>
      </c>
      <c r="G704" s="1" t="s">
        <v>9127</v>
      </c>
      <c r="H704" s="1" t="s">
        <v>9128</v>
      </c>
      <c r="I704" s="1" t="s">
        <v>120</v>
      </c>
      <c r="J704" s="1" t="s">
        <v>9129</v>
      </c>
      <c r="K704" s="1" t="s">
        <v>9130</v>
      </c>
    </row>
    <row r="705" spans="1:11" ht="159.5" x14ac:dyDescent="0.35">
      <c r="A705" s="61"/>
      <c r="B705" s="61"/>
      <c r="C705" s="61"/>
      <c r="D705" s="1" t="s">
        <v>9131</v>
      </c>
      <c r="E705" s="1" t="s">
        <v>9132</v>
      </c>
      <c r="F705" s="1" t="s">
        <v>5366</v>
      </c>
      <c r="G705" s="1" t="s">
        <v>9133</v>
      </c>
      <c r="H705" s="1" t="s">
        <v>9134</v>
      </c>
      <c r="I705" s="1" t="s">
        <v>120</v>
      </c>
      <c r="J705" s="1" t="s">
        <v>9135</v>
      </c>
      <c r="K705" s="1" t="s">
        <v>9136</v>
      </c>
    </row>
    <row r="706" spans="1:11" ht="232" x14ac:dyDescent="0.35">
      <c r="A706" s="61"/>
      <c r="B706" s="61"/>
      <c r="C706" s="62" t="s">
        <v>9137</v>
      </c>
      <c r="D706" s="1" t="s">
        <v>9138</v>
      </c>
      <c r="E706" s="1" t="s">
        <v>9139</v>
      </c>
      <c r="F706" s="1" t="s">
        <v>5366</v>
      </c>
      <c r="G706" s="1" t="s">
        <v>9140</v>
      </c>
      <c r="H706" s="1" t="s">
        <v>9141</v>
      </c>
      <c r="I706" s="1" t="s">
        <v>4856</v>
      </c>
      <c r="J706" s="1" t="s">
        <v>9142</v>
      </c>
      <c r="K706" s="1" t="s">
        <v>9143</v>
      </c>
    </row>
    <row r="707" spans="1:11" ht="145" x14ac:dyDescent="0.35">
      <c r="A707" s="61"/>
      <c r="B707" s="61"/>
      <c r="C707" s="61"/>
      <c r="D707" s="1" t="s">
        <v>9107</v>
      </c>
      <c r="E707" s="1" t="s">
        <v>9144</v>
      </c>
      <c r="F707" s="1" t="s">
        <v>5366</v>
      </c>
      <c r="G707" s="1" t="s">
        <v>9145</v>
      </c>
      <c r="H707" s="1" t="s">
        <v>9146</v>
      </c>
      <c r="I707" s="1" t="s">
        <v>4856</v>
      </c>
      <c r="J707" s="1" t="s">
        <v>9147</v>
      </c>
      <c r="K707" s="1" t="s">
        <v>9148</v>
      </c>
    </row>
    <row r="708" spans="1:11" ht="174" x14ac:dyDescent="0.35">
      <c r="A708" s="61"/>
      <c r="B708" s="61"/>
      <c r="C708" s="61"/>
      <c r="D708" s="1" t="s">
        <v>9149</v>
      </c>
      <c r="E708" s="1" t="s">
        <v>9150</v>
      </c>
      <c r="F708" s="1" t="s">
        <v>5366</v>
      </c>
      <c r="G708" s="1" t="s">
        <v>9151</v>
      </c>
      <c r="H708" s="1" t="s">
        <v>9152</v>
      </c>
      <c r="I708" s="1" t="s">
        <v>120</v>
      </c>
      <c r="J708" s="1" t="s">
        <v>9153</v>
      </c>
      <c r="K708" s="1" t="s">
        <v>9154</v>
      </c>
    </row>
    <row r="709" spans="1:11" ht="232" x14ac:dyDescent="0.35">
      <c r="A709" s="61"/>
      <c r="B709" s="61"/>
      <c r="C709" s="61"/>
      <c r="D709" s="1" t="s">
        <v>9155</v>
      </c>
      <c r="E709" s="1" t="s">
        <v>9156</v>
      </c>
      <c r="F709" s="1" t="s">
        <v>5366</v>
      </c>
      <c r="G709" s="1" t="s">
        <v>9157</v>
      </c>
      <c r="H709" s="1" t="s">
        <v>9158</v>
      </c>
      <c r="I709" s="1" t="s">
        <v>120</v>
      </c>
      <c r="J709" s="1" t="s">
        <v>9159</v>
      </c>
      <c r="K709" s="1" t="s">
        <v>9160</v>
      </c>
    </row>
    <row r="710" spans="1:11" ht="203" x14ac:dyDescent="0.35">
      <c r="A710" s="61"/>
      <c r="B710" s="61"/>
      <c r="C710" s="61"/>
      <c r="D710" s="1" t="s">
        <v>9161</v>
      </c>
      <c r="E710" s="1" t="s">
        <v>9162</v>
      </c>
      <c r="F710" s="1" t="s">
        <v>5366</v>
      </c>
      <c r="G710" s="1" t="s">
        <v>9163</v>
      </c>
      <c r="H710" s="1" t="s">
        <v>9164</v>
      </c>
      <c r="I710" s="1" t="s">
        <v>4856</v>
      </c>
      <c r="J710" s="1" t="s">
        <v>9165</v>
      </c>
      <c r="K710" s="1" t="s">
        <v>9166</v>
      </c>
    </row>
    <row r="711" spans="1:11" ht="188.5" x14ac:dyDescent="0.35">
      <c r="A711" s="61"/>
      <c r="B711" s="61"/>
      <c r="C711" s="61" t="s">
        <v>9167</v>
      </c>
      <c r="D711" s="1" t="s">
        <v>9168</v>
      </c>
      <c r="E711" s="1" t="s">
        <v>9169</v>
      </c>
      <c r="F711" s="1" t="s">
        <v>5366</v>
      </c>
      <c r="G711" s="1" t="s">
        <v>9170</v>
      </c>
      <c r="H711" s="1" t="s">
        <v>9171</v>
      </c>
      <c r="I711" s="1" t="s">
        <v>4856</v>
      </c>
      <c r="J711" s="1" t="s">
        <v>9172</v>
      </c>
      <c r="K711" s="1" t="s">
        <v>9173</v>
      </c>
    </row>
    <row r="712" spans="1:11" ht="159.5" x14ac:dyDescent="0.35">
      <c r="A712" s="61"/>
      <c r="B712" s="61"/>
      <c r="C712" s="61"/>
      <c r="D712" s="1" t="s">
        <v>9174</v>
      </c>
      <c r="E712" s="1" t="s">
        <v>9175</v>
      </c>
      <c r="F712" s="1" t="s">
        <v>5366</v>
      </c>
      <c r="G712" s="1" t="s">
        <v>9176</v>
      </c>
      <c r="H712" s="1" t="s">
        <v>9177</v>
      </c>
      <c r="I712" s="1" t="s">
        <v>4856</v>
      </c>
      <c r="J712" s="1" t="s">
        <v>9178</v>
      </c>
      <c r="K712" s="1" t="s">
        <v>9179</v>
      </c>
    </row>
    <row r="713" spans="1:11" ht="174" x14ac:dyDescent="0.35">
      <c r="A713" s="61"/>
      <c r="B713" s="61"/>
      <c r="C713" s="61"/>
      <c r="D713" s="1" t="s">
        <v>9180</v>
      </c>
      <c r="E713" s="1" t="s">
        <v>9181</v>
      </c>
      <c r="F713" s="1" t="s">
        <v>5366</v>
      </c>
      <c r="G713" s="1" t="s">
        <v>9182</v>
      </c>
      <c r="H713" s="1" t="s">
        <v>9183</v>
      </c>
      <c r="I713" s="1" t="s">
        <v>120</v>
      </c>
      <c r="J713" s="1" t="s">
        <v>9184</v>
      </c>
      <c r="K713" s="1" t="s">
        <v>9185</v>
      </c>
    </row>
    <row r="714" spans="1:11" ht="188.5" x14ac:dyDescent="0.35">
      <c r="A714" s="61"/>
      <c r="B714" s="61"/>
      <c r="C714" s="61"/>
      <c r="D714" s="1" t="s">
        <v>9186</v>
      </c>
      <c r="E714" s="1" t="s">
        <v>9187</v>
      </c>
      <c r="F714" s="1" t="s">
        <v>5366</v>
      </c>
      <c r="G714" s="1" t="s">
        <v>9188</v>
      </c>
      <c r="H714" s="1" t="s">
        <v>9189</v>
      </c>
      <c r="I714" s="1" t="s">
        <v>4856</v>
      </c>
      <c r="J714" s="1" t="s">
        <v>9190</v>
      </c>
      <c r="K714" s="1" t="s">
        <v>9191</v>
      </c>
    </row>
    <row r="715" spans="1:11" ht="159.5" x14ac:dyDescent="0.35">
      <c r="A715" s="61"/>
      <c r="B715" s="61"/>
      <c r="C715" s="61"/>
      <c r="D715" s="1" t="s">
        <v>9192</v>
      </c>
      <c r="E715" s="1" t="s">
        <v>9193</v>
      </c>
      <c r="F715" s="1" t="s">
        <v>5366</v>
      </c>
      <c r="G715" s="1" t="s">
        <v>9194</v>
      </c>
      <c r="H715" s="1" t="s">
        <v>9195</v>
      </c>
      <c r="I715" s="1" t="s">
        <v>120</v>
      </c>
      <c r="J715" s="1" t="s">
        <v>9196</v>
      </c>
      <c r="K715" s="1" t="s">
        <v>9197</v>
      </c>
    </row>
    <row r="716" spans="1:11" ht="188.5" x14ac:dyDescent="0.35">
      <c r="A716" s="61"/>
      <c r="B716" s="61"/>
      <c r="C716" s="62" t="s">
        <v>9167</v>
      </c>
      <c r="D716" s="1" t="s">
        <v>9168</v>
      </c>
      <c r="E716" s="1" t="s">
        <v>9169</v>
      </c>
      <c r="F716" s="1" t="s">
        <v>5366</v>
      </c>
      <c r="G716" s="1" t="s">
        <v>9170</v>
      </c>
      <c r="H716" s="1" t="s">
        <v>9171</v>
      </c>
      <c r="I716" s="1" t="s">
        <v>4856</v>
      </c>
      <c r="J716" s="1" t="s">
        <v>9172</v>
      </c>
      <c r="K716" s="1" t="s">
        <v>9198</v>
      </c>
    </row>
    <row r="717" spans="1:11" ht="159.5" x14ac:dyDescent="0.35">
      <c r="A717" s="61"/>
      <c r="B717" s="61"/>
      <c r="C717" s="61"/>
      <c r="D717" s="1" t="s">
        <v>9174</v>
      </c>
      <c r="E717" s="1" t="s">
        <v>9175</v>
      </c>
      <c r="F717" s="1" t="s">
        <v>5366</v>
      </c>
      <c r="G717" s="1" t="s">
        <v>9176</v>
      </c>
      <c r="H717" s="1" t="s">
        <v>9177</v>
      </c>
      <c r="I717" s="1" t="s">
        <v>4856</v>
      </c>
      <c r="J717" s="1" t="s">
        <v>9178</v>
      </c>
      <c r="K717" s="1" t="s">
        <v>9199</v>
      </c>
    </row>
    <row r="718" spans="1:11" ht="174" x14ac:dyDescent="0.35">
      <c r="A718" s="61"/>
      <c r="B718" s="61"/>
      <c r="C718" s="61"/>
      <c r="D718" s="1" t="s">
        <v>9180</v>
      </c>
      <c r="E718" s="1" t="s">
        <v>9181</v>
      </c>
      <c r="F718" s="1" t="s">
        <v>5366</v>
      </c>
      <c r="G718" s="1" t="s">
        <v>9182</v>
      </c>
      <c r="H718" s="1" t="s">
        <v>9183</v>
      </c>
      <c r="I718" s="1" t="s">
        <v>120</v>
      </c>
      <c r="J718" s="1" t="s">
        <v>9184</v>
      </c>
      <c r="K718" s="1" t="s">
        <v>9200</v>
      </c>
    </row>
    <row r="719" spans="1:11" ht="188.5" x14ac:dyDescent="0.35">
      <c r="A719" s="61"/>
      <c r="B719" s="61"/>
      <c r="C719" s="61"/>
      <c r="D719" s="1" t="s">
        <v>9201</v>
      </c>
      <c r="E719" s="1" t="s">
        <v>9187</v>
      </c>
      <c r="F719" s="1" t="s">
        <v>5366</v>
      </c>
      <c r="G719" s="1" t="s">
        <v>9188</v>
      </c>
      <c r="H719" s="1" t="s">
        <v>9189</v>
      </c>
      <c r="I719" s="1" t="s">
        <v>4856</v>
      </c>
      <c r="J719" s="1" t="s">
        <v>9202</v>
      </c>
      <c r="K719" s="1" t="s">
        <v>9203</v>
      </c>
    </row>
    <row r="720" spans="1:11" ht="159.5" x14ac:dyDescent="0.35">
      <c r="A720" s="61"/>
      <c r="B720" s="61"/>
      <c r="C720" s="61"/>
      <c r="D720" s="1" t="s">
        <v>9192</v>
      </c>
      <c r="E720" s="1" t="s">
        <v>9193</v>
      </c>
      <c r="F720" s="1" t="s">
        <v>5366</v>
      </c>
      <c r="G720" s="1" t="s">
        <v>9194</v>
      </c>
      <c r="H720" s="1" t="s">
        <v>9195</v>
      </c>
      <c r="I720" s="1" t="s">
        <v>120</v>
      </c>
      <c r="J720" s="1" t="s">
        <v>9204</v>
      </c>
      <c r="K720" s="1" t="s">
        <v>9205</v>
      </c>
    </row>
    <row r="721" spans="1:11" ht="217.5" x14ac:dyDescent="0.35">
      <c r="A721" s="61"/>
      <c r="B721" s="61"/>
      <c r="C721" s="61" t="s">
        <v>9206</v>
      </c>
      <c r="D721" s="1" t="s">
        <v>9207</v>
      </c>
      <c r="E721" s="1" t="s">
        <v>9208</v>
      </c>
      <c r="F721" s="1" t="s">
        <v>5366</v>
      </c>
      <c r="G721" s="1" t="s">
        <v>9209</v>
      </c>
      <c r="H721" s="1" t="s">
        <v>9210</v>
      </c>
      <c r="I721" s="1" t="s">
        <v>4856</v>
      </c>
      <c r="J721" s="1" t="s">
        <v>9211</v>
      </c>
      <c r="K721" s="1" t="s">
        <v>9212</v>
      </c>
    </row>
    <row r="722" spans="1:11" ht="174" x14ac:dyDescent="0.35">
      <c r="A722" s="61"/>
      <c r="B722" s="61"/>
      <c r="C722" s="61"/>
      <c r="D722" s="1" t="s">
        <v>9213</v>
      </c>
      <c r="E722" s="1" t="s">
        <v>9214</v>
      </c>
      <c r="F722" s="1" t="s">
        <v>5366</v>
      </c>
      <c r="G722" s="1" t="s">
        <v>9215</v>
      </c>
      <c r="H722" s="1" t="s">
        <v>9216</v>
      </c>
      <c r="I722" s="1" t="s">
        <v>4856</v>
      </c>
      <c r="J722" s="1" t="s">
        <v>9217</v>
      </c>
      <c r="K722" s="1" t="s">
        <v>9218</v>
      </c>
    </row>
    <row r="723" spans="1:11" ht="217.5" x14ac:dyDescent="0.35">
      <c r="A723" s="61"/>
      <c r="B723" s="61"/>
      <c r="C723" s="61"/>
      <c r="D723" s="1" t="s">
        <v>9219</v>
      </c>
      <c r="E723" s="1" t="s">
        <v>9220</v>
      </c>
      <c r="F723" s="1" t="s">
        <v>5366</v>
      </c>
      <c r="G723" s="1" t="s">
        <v>9221</v>
      </c>
      <c r="H723" s="1" t="s">
        <v>9222</v>
      </c>
      <c r="I723" s="1" t="s">
        <v>120</v>
      </c>
      <c r="J723" s="1" t="s">
        <v>9223</v>
      </c>
      <c r="K723" s="1" t="s">
        <v>9224</v>
      </c>
    </row>
    <row r="724" spans="1:11" ht="188.5" x14ac:dyDescent="0.35">
      <c r="A724" s="61"/>
      <c r="B724" s="61"/>
      <c r="C724" s="61"/>
      <c r="D724" s="1" t="s">
        <v>9225</v>
      </c>
      <c r="E724" s="1" t="s">
        <v>9226</v>
      </c>
      <c r="F724" s="1" t="s">
        <v>5366</v>
      </c>
      <c r="G724" s="1" t="s">
        <v>9227</v>
      </c>
      <c r="H724" s="1" t="s">
        <v>9228</v>
      </c>
      <c r="I724" s="1" t="s">
        <v>4856</v>
      </c>
      <c r="J724" s="1" t="s">
        <v>9229</v>
      </c>
      <c r="K724" s="1" t="s">
        <v>9230</v>
      </c>
    </row>
    <row r="725" spans="1:11" ht="188.5" x14ac:dyDescent="0.35">
      <c r="A725" s="61"/>
      <c r="B725" s="61"/>
      <c r="C725" s="61"/>
      <c r="D725" s="1" t="s">
        <v>9231</v>
      </c>
      <c r="E725" s="1" t="s">
        <v>9232</v>
      </c>
      <c r="F725" s="1" t="s">
        <v>5366</v>
      </c>
      <c r="G725" s="1" t="s">
        <v>9233</v>
      </c>
      <c r="H725" s="1" t="s">
        <v>9234</v>
      </c>
      <c r="I725" s="1" t="s">
        <v>120</v>
      </c>
      <c r="J725" s="1" t="s">
        <v>9235</v>
      </c>
      <c r="K725" s="1" t="s">
        <v>9236</v>
      </c>
    </row>
    <row r="726" spans="1:11" ht="174" x14ac:dyDescent="0.35">
      <c r="A726" s="61"/>
      <c r="B726" s="61"/>
      <c r="C726" s="61" t="s">
        <v>9237</v>
      </c>
      <c r="D726" s="1" t="s">
        <v>9238</v>
      </c>
      <c r="E726" s="1" t="s">
        <v>9239</v>
      </c>
      <c r="F726" s="1" t="s">
        <v>5366</v>
      </c>
      <c r="G726" s="1" t="s">
        <v>9240</v>
      </c>
      <c r="H726" s="1" t="s">
        <v>9241</v>
      </c>
      <c r="I726" s="1" t="s">
        <v>4856</v>
      </c>
      <c r="J726" s="1" t="s">
        <v>9242</v>
      </c>
      <c r="K726" s="1" t="s">
        <v>9243</v>
      </c>
    </row>
    <row r="727" spans="1:11" ht="203" x14ac:dyDescent="0.35">
      <c r="A727" s="61"/>
      <c r="B727" s="61"/>
      <c r="C727" s="61"/>
      <c r="D727" s="1" t="s">
        <v>9244</v>
      </c>
      <c r="E727" s="1" t="s">
        <v>9245</v>
      </c>
      <c r="F727" s="1" t="s">
        <v>5366</v>
      </c>
      <c r="G727" s="1" t="s">
        <v>9246</v>
      </c>
      <c r="H727" s="1" t="s">
        <v>9247</v>
      </c>
      <c r="I727" s="1" t="s">
        <v>4856</v>
      </c>
      <c r="J727" s="1" t="s">
        <v>9248</v>
      </c>
      <c r="K727" s="1" t="s">
        <v>9249</v>
      </c>
    </row>
    <row r="728" spans="1:11" ht="188.5" x14ac:dyDescent="0.35">
      <c r="A728" s="61"/>
      <c r="B728" s="61"/>
      <c r="C728" s="61"/>
      <c r="D728" s="1" t="s">
        <v>9250</v>
      </c>
      <c r="E728" s="1" t="s">
        <v>9251</v>
      </c>
      <c r="F728" s="1" t="s">
        <v>5366</v>
      </c>
      <c r="G728" s="1" t="s">
        <v>9252</v>
      </c>
      <c r="H728" s="1" t="s">
        <v>9253</v>
      </c>
      <c r="I728" s="1" t="s">
        <v>120</v>
      </c>
      <c r="J728" s="1" t="s">
        <v>9254</v>
      </c>
      <c r="K728" s="1" t="s">
        <v>9255</v>
      </c>
    </row>
    <row r="729" spans="1:11" ht="232" x14ac:dyDescent="0.35">
      <c r="A729" s="61"/>
      <c r="B729" s="61"/>
      <c r="C729" s="61"/>
      <c r="D729" s="1" t="s">
        <v>9256</v>
      </c>
      <c r="E729" s="1" t="s">
        <v>9257</v>
      </c>
      <c r="F729" s="1" t="s">
        <v>5366</v>
      </c>
      <c r="G729" s="1" t="s">
        <v>9258</v>
      </c>
      <c r="H729" s="1" t="s">
        <v>9259</v>
      </c>
      <c r="I729" s="1" t="s">
        <v>120</v>
      </c>
      <c r="J729" s="1" t="s">
        <v>9260</v>
      </c>
      <c r="K729" s="1" t="s">
        <v>9261</v>
      </c>
    </row>
    <row r="730" spans="1:11" ht="159.5" x14ac:dyDescent="0.35">
      <c r="A730" s="61"/>
      <c r="B730" s="61"/>
      <c r="C730" s="61"/>
      <c r="D730" s="1" t="s">
        <v>9262</v>
      </c>
      <c r="E730" s="1" t="s">
        <v>9263</v>
      </c>
      <c r="F730" s="1" t="s">
        <v>5366</v>
      </c>
      <c r="G730" s="1" t="s">
        <v>9264</v>
      </c>
      <c r="H730" s="1" t="s">
        <v>9265</v>
      </c>
      <c r="I730" s="1" t="s">
        <v>4856</v>
      </c>
      <c r="J730" s="1" t="s">
        <v>9266</v>
      </c>
      <c r="K730" s="1" t="s">
        <v>9267</v>
      </c>
    </row>
  </sheetData>
  <mergeCells count="162">
    <mergeCell ref="C686:C690"/>
    <mergeCell ref="C691:C695"/>
    <mergeCell ref="C696:C700"/>
    <mergeCell ref="B701:B730"/>
    <mergeCell ref="C701:C705"/>
    <mergeCell ref="C706:C710"/>
    <mergeCell ref="C711:C715"/>
    <mergeCell ref="C716:C720"/>
    <mergeCell ref="C721:C725"/>
    <mergeCell ref="C726:C730"/>
    <mergeCell ref="C641:C645"/>
    <mergeCell ref="C646:C650"/>
    <mergeCell ref="B651:B700"/>
    <mergeCell ref="C651:C655"/>
    <mergeCell ref="C656:C660"/>
    <mergeCell ref="C661:C665"/>
    <mergeCell ref="C666:C670"/>
    <mergeCell ref="C671:C675"/>
    <mergeCell ref="C676:C680"/>
    <mergeCell ref="C681:C685"/>
    <mergeCell ref="C596:C600"/>
    <mergeCell ref="B601:B650"/>
    <mergeCell ref="C601:C605"/>
    <mergeCell ref="C606:C610"/>
    <mergeCell ref="C611:C615"/>
    <mergeCell ref="C616:C620"/>
    <mergeCell ref="C621:C625"/>
    <mergeCell ref="C626:C630"/>
    <mergeCell ref="C631:C635"/>
    <mergeCell ref="C636:C640"/>
    <mergeCell ref="C551:C555"/>
    <mergeCell ref="B556:B600"/>
    <mergeCell ref="C556:C560"/>
    <mergeCell ref="C561:C565"/>
    <mergeCell ref="C566:C570"/>
    <mergeCell ref="C571:C575"/>
    <mergeCell ref="C576:C580"/>
    <mergeCell ref="C581:C585"/>
    <mergeCell ref="C586:C590"/>
    <mergeCell ref="C591:C595"/>
    <mergeCell ref="C506:C510"/>
    <mergeCell ref="B511:B555"/>
    <mergeCell ref="C511:C515"/>
    <mergeCell ref="C516:C520"/>
    <mergeCell ref="C521:C525"/>
    <mergeCell ref="C526:C530"/>
    <mergeCell ref="C531:C535"/>
    <mergeCell ref="C536:C540"/>
    <mergeCell ref="C541:C545"/>
    <mergeCell ref="C546:C550"/>
    <mergeCell ref="B461:B510"/>
    <mergeCell ref="C461:C465"/>
    <mergeCell ref="C466:C470"/>
    <mergeCell ref="C471:C475"/>
    <mergeCell ref="C476:C480"/>
    <mergeCell ref="C481:C485"/>
    <mergeCell ref="C486:C490"/>
    <mergeCell ref="C491:C495"/>
    <mergeCell ref="C496:C500"/>
    <mergeCell ref="C501:C505"/>
    <mergeCell ref="C416:C420"/>
    <mergeCell ref="B421:B460"/>
    <mergeCell ref="C421:C425"/>
    <mergeCell ref="C426:C430"/>
    <mergeCell ref="C431:C435"/>
    <mergeCell ref="C436:C440"/>
    <mergeCell ref="C441:C445"/>
    <mergeCell ref="C446:C450"/>
    <mergeCell ref="C451:C455"/>
    <mergeCell ref="C456:C460"/>
    <mergeCell ref="C371:C375"/>
    <mergeCell ref="C376:C380"/>
    <mergeCell ref="B381:B420"/>
    <mergeCell ref="C381:C385"/>
    <mergeCell ref="C386:C390"/>
    <mergeCell ref="C391:C395"/>
    <mergeCell ref="C396:C400"/>
    <mergeCell ref="C401:C405"/>
    <mergeCell ref="C406:C410"/>
    <mergeCell ref="C411:C415"/>
    <mergeCell ref="C326:C330"/>
    <mergeCell ref="B331:B380"/>
    <mergeCell ref="C331:C335"/>
    <mergeCell ref="C336:C340"/>
    <mergeCell ref="C341:C345"/>
    <mergeCell ref="C346:C350"/>
    <mergeCell ref="C351:C355"/>
    <mergeCell ref="C356:C360"/>
    <mergeCell ref="C361:C365"/>
    <mergeCell ref="C366:C370"/>
    <mergeCell ref="C296:C300"/>
    <mergeCell ref="C301:C305"/>
    <mergeCell ref="C306:C310"/>
    <mergeCell ref="C311:C315"/>
    <mergeCell ref="C316:C320"/>
    <mergeCell ref="C321:C325"/>
    <mergeCell ref="C251:C255"/>
    <mergeCell ref="C256:C260"/>
    <mergeCell ref="C261:C265"/>
    <mergeCell ref="C266:C270"/>
    <mergeCell ref="C271:C275"/>
    <mergeCell ref="B276:B330"/>
    <mergeCell ref="C276:C280"/>
    <mergeCell ref="C281:C285"/>
    <mergeCell ref="C286:C290"/>
    <mergeCell ref="C291:C295"/>
    <mergeCell ref="C206:C210"/>
    <mergeCell ref="C211:C215"/>
    <mergeCell ref="C216:C220"/>
    <mergeCell ref="B221:B275"/>
    <mergeCell ref="C221:C225"/>
    <mergeCell ref="C226:C230"/>
    <mergeCell ref="C231:C235"/>
    <mergeCell ref="C236:C240"/>
    <mergeCell ref="C241:C245"/>
    <mergeCell ref="C246:C250"/>
    <mergeCell ref="B161:B220"/>
    <mergeCell ref="C161:C165"/>
    <mergeCell ref="C166:C170"/>
    <mergeCell ref="C171:C175"/>
    <mergeCell ref="C176:C180"/>
    <mergeCell ref="C181:C185"/>
    <mergeCell ref="C186:C190"/>
    <mergeCell ref="C191:C195"/>
    <mergeCell ref="C196:C200"/>
    <mergeCell ref="C201:C205"/>
    <mergeCell ref="C131:C135"/>
    <mergeCell ref="C136:C140"/>
    <mergeCell ref="C141:C145"/>
    <mergeCell ref="C146:C150"/>
    <mergeCell ref="C151:C155"/>
    <mergeCell ref="C156:C160"/>
    <mergeCell ref="C86:C90"/>
    <mergeCell ref="C91:C95"/>
    <mergeCell ref="C96:C100"/>
    <mergeCell ref="C101:C105"/>
    <mergeCell ref="B106:B160"/>
    <mergeCell ref="C106:C110"/>
    <mergeCell ref="C111:C115"/>
    <mergeCell ref="C116:C120"/>
    <mergeCell ref="C121:C125"/>
    <mergeCell ref="C126:C130"/>
    <mergeCell ref="B41:B105"/>
    <mergeCell ref="C41:C45"/>
    <mergeCell ref="C46:C50"/>
    <mergeCell ref="C51:C55"/>
    <mergeCell ref="C56:C60"/>
    <mergeCell ref="C61:C65"/>
    <mergeCell ref="C66:C70"/>
    <mergeCell ref="C71:C75"/>
    <mergeCell ref="C76:C80"/>
    <mergeCell ref="C81:C85"/>
    <mergeCell ref="A1:A730"/>
    <mergeCell ref="B1:B40"/>
    <mergeCell ref="C1:C5"/>
    <mergeCell ref="C6:C10"/>
    <mergeCell ref="C11:C15"/>
    <mergeCell ref="C16:C20"/>
    <mergeCell ref="C21:C25"/>
    <mergeCell ref="C26:C30"/>
    <mergeCell ref="C31:C35"/>
    <mergeCell ref="C36:C4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346B3-73E7-467B-AC82-8EF32F986C18}">
  <dimension ref="A1:K461"/>
  <sheetViews>
    <sheetView zoomScale="34" workbookViewId="0">
      <selection sqref="A1:K461"/>
    </sheetView>
  </sheetViews>
  <sheetFormatPr baseColWidth="10" defaultRowHeight="14.5" x14ac:dyDescent="0.35"/>
  <cols>
    <col min="1" max="1" width="50.90625" customWidth="1"/>
    <col min="2" max="2" width="58.36328125" customWidth="1"/>
    <col min="3" max="3" width="51.7265625" customWidth="1"/>
    <col min="4" max="4" width="88.453125" customWidth="1"/>
    <col min="5" max="5" width="77.26953125" customWidth="1"/>
    <col min="6" max="6" width="26.1796875" customWidth="1"/>
    <col min="7" max="7" width="43.81640625" customWidth="1"/>
    <col min="8" max="8" width="52.453125" customWidth="1"/>
    <col min="9" max="9" width="42.08984375" customWidth="1"/>
    <col min="10" max="10" width="42.6328125" customWidth="1"/>
    <col min="11" max="11" width="58.7265625" customWidth="1"/>
  </cols>
  <sheetData>
    <row r="1" spans="1:11" ht="17.5" x14ac:dyDescent="0.35">
      <c r="A1" s="112" t="s">
        <v>16454</v>
      </c>
      <c r="B1" s="112" t="s">
        <v>9268</v>
      </c>
      <c r="C1" s="112" t="s">
        <v>16453</v>
      </c>
      <c r="D1" s="112" t="s">
        <v>34</v>
      </c>
      <c r="E1" s="112" t="s">
        <v>4843</v>
      </c>
      <c r="F1" s="112" t="s">
        <v>7196</v>
      </c>
      <c r="G1" s="112" t="s">
        <v>12947</v>
      </c>
      <c r="H1" s="112" t="s">
        <v>12948</v>
      </c>
      <c r="I1" s="111" t="s">
        <v>7197</v>
      </c>
      <c r="J1" s="111" t="s">
        <v>4838</v>
      </c>
      <c r="K1" s="111" t="s">
        <v>4837</v>
      </c>
    </row>
    <row r="2" spans="1:11" ht="17.5" x14ac:dyDescent="0.45">
      <c r="A2" s="104" t="s">
        <v>16452</v>
      </c>
      <c r="B2" s="106" t="s">
        <v>16451</v>
      </c>
      <c r="C2" s="110" t="s">
        <v>16450</v>
      </c>
      <c r="D2" s="102" t="s">
        <v>16449</v>
      </c>
      <c r="E2" s="106" t="s">
        <v>16448</v>
      </c>
      <c r="F2" s="107" t="s">
        <v>65</v>
      </c>
      <c r="G2" s="98" t="s">
        <v>16447</v>
      </c>
      <c r="H2" s="99" t="s">
        <v>16446</v>
      </c>
      <c r="I2" s="100" t="s">
        <v>14217</v>
      </c>
      <c r="J2" s="98" t="s">
        <v>16446</v>
      </c>
      <c r="K2" s="99" t="s">
        <v>16445</v>
      </c>
    </row>
    <row r="3" spans="1:11" ht="17.5" x14ac:dyDescent="0.45">
      <c r="A3" s="104"/>
      <c r="B3" s="106"/>
      <c r="C3" s="108"/>
      <c r="D3" s="102"/>
      <c r="E3" s="106"/>
      <c r="F3" s="105"/>
      <c r="G3" s="99" t="s">
        <v>9506</v>
      </c>
      <c r="H3" s="98" t="s">
        <v>16439</v>
      </c>
      <c r="I3" s="100" t="s">
        <v>14212</v>
      </c>
      <c r="J3" s="99" t="s">
        <v>16444</v>
      </c>
      <c r="K3" s="98" t="s">
        <v>16443</v>
      </c>
    </row>
    <row r="4" spans="1:11" ht="17.5" x14ac:dyDescent="0.45">
      <c r="A4" s="104"/>
      <c r="B4" s="106"/>
      <c r="C4" s="108"/>
      <c r="D4" s="106" t="s">
        <v>16442</v>
      </c>
      <c r="E4" s="102" t="s">
        <v>16441</v>
      </c>
      <c r="F4" s="107" t="s">
        <v>65</v>
      </c>
      <c r="G4" s="98" t="s">
        <v>16440</v>
      </c>
      <c r="H4" s="99" t="s">
        <v>16431</v>
      </c>
      <c r="I4" s="100" t="s">
        <v>14228</v>
      </c>
      <c r="J4" s="98" t="s">
        <v>16439</v>
      </c>
      <c r="K4" s="99" t="s">
        <v>16438</v>
      </c>
    </row>
    <row r="5" spans="1:11" ht="17.5" x14ac:dyDescent="0.45">
      <c r="A5" s="104"/>
      <c r="B5" s="106"/>
      <c r="C5" s="108"/>
      <c r="D5" s="106"/>
      <c r="E5" s="102"/>
      <c r="F5" s="105" t="s">
        <v>244</v>
      </c>
      <c r="G5" s="99" t="s">
        <v>16437</v>
      </c>
      <c r="H5" s="98" t="s">
        <v>16424</v>
      </c>
      <c r="I5" s="100" t="s">
        <v>14217</v>
      </c>
      <c r="J5" s="99" t="s">
        <v>16436</v>
      </c>
      <c r="K5" s="98" t="s">
        <v>16435</v>
      </c>
    </row>
    <row r="6" spans="1:11" ht="17.5" x14ac:dyDescent="0.45">
      <c r="A6" s="104"/>
      <c r="B6" s="106"/>
      <c r="C6" s="108"/>
      <c r="D6" s="102" t="s">
        <v>16434</v>
      </c>
      <c r="E6" s="106" t="s">
        <v>16433</v>
      </c>
      <c r="F6" s="107" t="s">
        <v>65</v>
      </c>
      <c r="G6" s="98" t="s">
        <v>16432</v>
      </c>
      <c r="H6" s="99" t="s">
        <v>16417</v>
      </c>
      <c r="I6" s="100" t="s">
        <v>14212</v>
      </c>
      <c r="J6" s="98" t="s">
        <v>16431</v>
      </c>
      <c r="K6" s="99" t="s">
        <v>16430</v>
      </c>
    </row>
    <row r="7" spans="1:11" ht="17.5" x14ac:dyDescent="0.45">
      <c r="A7" s="104"/>
      <c r="B7" s="106"/>
      <c r="C7" s="108"/>
      <c r="D7" s="102"/>
      <c r="E7" s="106"/>
      <c r="F7" s="105" t="s">
        <v>65</v>
      </c>
      <c r="G7" s="99" t="s">
        <v>16429</v>
      </c>
      <c r="H7" s="98" t="s">
        <v>16408</v>
      </c>
      <c r="I7" s="100" t="s">
        <v>14245</v>
      </c>
      <c r="J7" s="99" t="s">
        <v>16428</v>
      </c>
      <c r="K7" s="98" t="s">
        <v>16427</v>
      </c>
    </row>
    <row r="8" spans="1:11" ht="17.5" x14ac:dyDescent="0.45">
      <c r="A8" s="104"/>
      <c r="B8" s="106"/>
      <c r="C8" s="108"/>
      <c r="D8" s="106" t="s">
        <v>16426</v>
      </c>
      <c r="E8" s="102" t="s">
        <v>16425</v>
      </c>
      <c r="F8" s="107" t="s">
        <v>244</v>
      </c>
      <c r="G8" s="98" t="s">
        <v>1349</v>
      </c>
      <c r="H8" s="99" t="s">
        <v>16401</v>
      </c>
      <c r="I8" s="100" t="s">
        <v>14217</v>
      </c>
      <c r="J8" s="98" t="s">
        <v>16424</v>
      </c>
      <c r="K8" s="99" t="s">
        <v>16423</v>
      </c>
    </row>
    <row r="9" spans="1:11" ht="17.5" x14ac:dyDescent="0.45">
      <c r="A9" s="104"/>
      <c r="B9" s="106"/>
      <c r="C9" s="108"/>
      <c r="D9" s="106"/>
      <c r="E9" s="102"/>
      <c r="F9" s="105" t="s">
        <v>65</v>
      </c>
      <c r="G9" s="99" t="s">
        <v>14358</v>
      </c>
      <c r="H9" s="98" t="s">
        <v>16393</v>
      </c>
      <c r="I9" s="100" t="s">
        <v>14212</v>
      </c>
      <c r="J9" s="99" t="s">
        <v>16422</v>
      </c>
      <c r="K9" s="98" t="s">
        <v>16421</v>
      </c>
    </row>
    <row r="10" spans="1:11" ht="17.5" x14ac:dyDescent="0.45">
      <c r="A10" s="104"/>
      <c r="B10" s="106"/>
      <c r="C10" s="108"/>
      <c r="D10" s="102" t="s">
        <v>16420</v>
      </c>
      <c r="E10" s="106" t="s">
        <v>16419</v>
      </c>
      <c r="F10" s="107" t="s">
        <v>244</v>
      </c>
      <c r="G10" s="98" t="s">
        <v>16418</v>
      </c>
      <c r="H10" s="99" t="s">
        <v>16385</v>
      </c>
      <c r="I10" s="100" t="s">
        <v>14228</v>
      </c>
      <c r="J10" s="98" t="s">
        <v>16417</v>
      </c>
      <c r="K10" s="99" t="s">
        <v>16416</v>
      </c>
    </row>
    <row r="11" spans="1:11" ht="17.5" x14ac:dyDescent="0.45">
      <c r="A11" s="104"/>
      <c r="B11" s="106"/>
      <c r="C11" s="108"/>
      <c r="D11" s="102"/>
      <c r="E11" s="106"/>
      <c r="F11" s="105" t="s">
        <v>65</v>
      </c>
      <c r="G11" s="99" t="s">
        <v>16415</v>
      </c>
      <c r="H11" s="98" t="s">
        <v>16377</v>
      </c>
      <c r="I11" s="100" t="s">
        <v>14217</v>
      </c>
      <c r="J11" s="99" t="s">
        <v>16414</v>
      </c>
      <c r="K11" s="98" t="s">
        <v>16413</v>
      </c>
    </row>
    <row r="12" spans="1:11" ht="17.5" x14ac:dyDescent="0.45">
      <c r="A12" s="104"/>
      <c r="B12" s="106"/>
      <c r="C12" s="109" t="s">
        <v>16412</v>
      </c>
      <c r="D12" s="106" t="s">
        <v>16411</v>
      </c>
      <c r="E12" s="102" t="s">
        <v>16410</v>
      </c>
      <c r="F12" s="107" t="s">
        <v>244</v>
      </c>
      <c r="G12" s="98" t="s">
        <v>16409</v>
      </c>
      <c r="H12" s="99" t="s">
        <v>16368</v>
      </c>
      <c r="I12" s="100" t="s">
        <v>14326</v>
      </c>
      <c r="J12" s="98" t="s">
        <v>16408</v>
      </c>
      <c r="K12" s="99" t="s">
        <v>16407</v>
      </c>
    </row>
    <row r="13" spans="1:11" ht="17.5" x14ac:dyDescent="0.45">
      <c r="A13" s="104"/>
      <c r="B13" s="106"/>
      <c r="C13" s="103"/>
      <c r="D13" s="106"/>
      <c r="E13" s="102"/>
      <c r="F13" s="105" t="s">
        <v>65</v>
      </c>
      <c r="G13" s="99" t="s">
        <v>15463</v>
      </c>
      <c r="H13" s="98" t="s">
        <v>16360</v>
      </c>
      <c r="I13" s="100" t="s">
        <v>14217</v>
      </c>
      <c r="J13" s="99" t="s">
        <v>16406</v>
      </c>
      <c r="K13" s="98" t="s">
        <v>16405</v>
      </c>
    </row>
    <row r="14" spans="1:11" ht="17.5" x14ac:dyDescent="0.45">
      <c r="A14" s="104"/>
      <c r="B14" s="106"/>
      <c r="C14" s="103"/>
      <c r="D14" s="102" t="s">
        <v>16404</v>
      </c>
      <c r="E14" s="106" t="s">
        <v>16403</v>
      </c>
      <c r="F14" s="107" t="s">
        <v>244</v>
      </c>
      <c r="G14" s="98" t="s">
        <v>16402</v>
      </c>
      <c r="H14" s="99" t="s">
        <v>16353</v>
      </c>
      <c r="I14" s="100" t="s">
        <v>14212</v>
      </c>
      <c r="J14" s="98" t="s">
        <v>16401</v>
      </c>
      <c r="K14" s="99" t="s">
        <v>16400</v>
      </c>
    </row>
    <row r="15" spans="1:11" ht="17.5" x14ac:dyDescent="0.45">
      <c r="A15" s="104"/>
      <c r="B15" s="106"/>
      <c r="C15" s="103"/>
      <c r="D15" s="102"/>
      <c r="E15" s="106"/>
      <c r="F15" s="105" t="s">
        <v>244</v>
      </c>
      <c r="G15" s="99" t="s">
        <v>16399</v>
      </c>
      <c r="H15" s="98" t="s">
        <v>16345</v>
      </c>
      <c r="I15" s="100" t="s">
        <v>14217</v>
      </c>
      <c r="J15" s="99" t="s">
        <v>16398</v>
      </c>
      <c r="K15" s="98" t="s">
        <v>16397</v>
      </c>
    </row>
    <row r="16" spans="1:11" ht="17.5" x14ac:dyDescent="0.45">
      <c r="A16" s="104"/>
      <c r="B16" s="106"/>
      <c r="C16" s="103"/>
      <c r="D16" s="106" t="s">
        <v>16396</v>
      </c>
      <c r="E16" s="102" t="s">
        <v>16395</v>
      </c>
      <c r="F16" s="107" t="s">
        <v>65</v>
      </c>
      <c r="G16" s="98" t="s">
        <v>16394</v>
      </c>
      <c r="H16" s="99" t="s">
        <v>16337</v>
      </c>
      <c r="I16" s="100" t="s">
        <v>14228</v>
      </c>
      <c r="J16" s="98" t="s">
        <v>16393</v>
      </c>
      <c r="K16" s="99" t="s">
        <v>16392</v>
      </c>
    </row>
    <row r="17" spans="1:11" ht="17.5" x14ac:dyDescent="0.45">
      <c r="A17" s="104"/>
      <c r="B17" s="106"/>
      <c r="C17" s="103"/>
      <c r="D17" s="106"/>
      <c r="E17" s="102"/>
      <c r="F17" s="105" t="s">
        <v>65</v>
      </c>
      <c r="G17" s="99" t="s">
        <v>16391</v>
      </c>
      <c r="H17" s="98" t="s">
        <v>16328</v>
      </c>
      <c r="I17" s="100" t="s">
        <v>14212</v>
      </c>
      <c r="J17" s="99" t="s">
        <v>16390</v>
      </c>
      <c r="K17" s="98" t="s">
        <v>16389</v>
      </c>
    </row>
    <row r="18" spans="1:11" ht="17.5" x14ac:dyDescent="0.45">
      <c r="A18" s="104"/>
      <c r="B18" s="106"/>
      <c r="C18" s="103"/>
      <c r="D18" s="102" t="s">
        <v>16388</v>
      </c>
      <c r="E18" s="106" t="s">
        <v>16387</v>
      </c>
      <c r="F18" s="107" t="s">
        <v>244</v>
      </c>
      <c r="G18" s="98" t="s">
        <v>16386</v>
      </c>
      <c r="H18" s="99" t="s">
        <v>16320</v>
      </c>
      <c r="I18" s="100" t="s">
        <v>14217</v>
      </c>
      <c r="J18" s="98" t="s">
        <v>16385</v>
      </c>
      <c r="K18" s="99" t="s">
        <v>16384</v>
      </c>
    </row>
    <row r="19" spans="1:11" ht="17.5" x14ac:dyDescent="0.45">
      <c r="A19" s="104"/>
      <c r="B19" s="106"/>
      <c r="C19" s="103"/>
      <c r="D19" s="102"/>
      <c r="E19" s="106"/>
      <c r="F19" s="105" t="s">
        <v>65</v>
      </c>
      <c r="G19" s="99" t="s">
        <v>16383</v>
      </c>
      <c r="H19" s="98" t="s">
        <v>16312</v>
      </c>
      <c r="I19" s="100" t="s">
        <v>14245</v>
      </c>
      <c r="J19" s="99" t="s">
        <v>16382</v>
      </c>
      <c r="K19" s="98" t="s">
        <v>16381</v>
      </c>
    </row>
    <row r="20" spans="1:11" ht="17.5" x14ac:dyDescent="0.45">
      <c r="A20" s="104"/>
      <c r="B20" s="106"/>
      <c r="C20" s="103"/>
      <c r="D20" s="106" t="s">
        <v>16380</v>
      </c>
      <c r="E20" s="102" t="s">
        <v>16379</v>
      </c>
      <c r="F20" s="107" t="s">
        <v>244</v>
      </c>
      <c r="G20" s="98" t="s">
        <v>16378</v>
      </c>
      <c r="H20" s="99" t="s">
        <v>16304</v>
      </c>
      <c r="I20" s="100" t="s">
        <v>14212</v>
      </c>
      <c r="J20" s="98" t="s">
        <v>16377</v>
      </c>
      <c r="K20" s="99" t="s">
        <v>16376</v>
      </c>
    </row>
    <row r="21" spans="1:11" ht="17.5" x14ac:dyDescent="0.45">
      <c r="A21" s="104"/>
      <c r="B21" s="106"/>
      <c r="C21" s="103"/>
      <c r="D21" s="106"/>
      <c r="E21" s="102"/>
      <c r="F21" s="105" t="s">
        <v>65</v>
      </c>
      <c r="G21" s="99" t="s">
        <v>16375</v>
      </c>
      <c r="H21" s="98" t="s">
        <v>1186</v>
      </c>
      <c r="I21" s="100" t="s">
        <v>14217</v>
      </c>
      <c r="J21" s="99" t="s">
        <v>16374</v>
      </c>
      <c r="K21" s="98" t="s">
        <v>16373</v>
      </c>
    </row>
    <row r="22" spans="1:11" ht="17.5" x14ac:dyDescent="0.45">
      <c r="A22" s="104"/>
      <c r="B22" s="106"/>
      <c r="C22" s="108" t="s">
        <v>16372</v>
      </c>
      <c r="D22" s="102" t="s">
        <v>16371</v>
      </c>
      <c r="E22" s="106" t="s">
        <v>16370</v>
      </c>
      <c r="F22" s="107" t="s">
        <v>65</v>
      </c>
      <c r="G22" s="98" t="s">
        <v>16369</v>
      </c>
      <c r="H22" s="99" t="s">
        <v>16289</v>
      </c>
      <c r="I22" s="100" t="s">
        <v>14228</v>
      </c>
      <c r="J22" s="98" t="s">
        <v>16368</v>
      </c>
      <c r="K22" s="99" t="s">
        <v>16367</v>
      </c>
    </row>
    <row r="23" spans="1:11" ht="17.5" x14ac:dyDescent="0.45">
      <c r="A23" s="104"/>
      <c r="B23" s="106"/>
      <c r="C23" s="108"/>
      <c r="D23" s="102"/>
      <c r="E23" s="106"/>
      <c r="F23" s="105" t="s">
        <v>244</v>
      </c>
      <c r="G23" s="99" t="s">
        <v>16366</v>
      </c>
      <c r="H23" s="98" t="s">
        <v>16281</v>
      </c>
      <c r="I23" s="100" t="s">
        <v>14212</v>
      </c>
      <c r="J23" s="99" t="s">
        <v>16365</v>
      </c>
      <c r="K23" s="98" t="s">
        <v>16364</v>
      </c>
    </row>
    <row r="24" spans="1:11" ht="17.5" x14ac:dyDescent="0.45">
      <c r="A24" s="104"/>
      <c r="B24" s="106"/>
      <c r="C24" s="108"/>
      <c r="D24" s="106" t="s">
        <v>16363</v>
      </c>
      <c r="E24" s="102" t="s">
        <v>16362</v>
      </c>
      <c r="F24" s="107" t="s">
        <v>244</v>
      </c>
      <c r="G24" s="98" t="s">
        <v>16361</v>
      </c>
      <c r="H24" s="99" t="s">
        <v>16274</v>
      </c>
      <c r="I24" s="100" t="s">
        <v>14217</v>
      </c>
      <c r="J24" s="98" t="s">
        <v>16360</v>
      </c>
      <c r="K24" s="99" t="s">
        <v>16359</v>
      </c>
    </row>
    <row r="25" spans="1:11" ht="17.5" x14ac:dyDescent="0.45">
      <c r="A25" s="104"/>
      <c r="B25" s="106"/>
      <c r="C25" s="108"/>
      <c r="D25" s="106"/>
      <c r="E25" s="102"/>
      <c r="F25" s="105" t="s">
        <v>65</v>
      </c>
      <c r="G25" s="99" t="s">
        <v>10338</v>
      </c>
      <c r="H25" s="98" t="s">
        <v>16266</v>
      </c>
      <c r="I25" s="100" t="s">
        <v>14217</v>
      </c>
      <c r="J25" s="99" t="s">
        <v>16358</v>
      </c>
      <c r="K25" s="98" t="s">
        <v>16357</v>
      </c>
    </row>
    <row r="26" spans="1:11" ht="17.5" x14ac:dyDescent="0.45">
      <c r="A26" s="104"/>
      <c r="B26" s="106"/>
      <c r="C26" s="108"/>
      <c r="D26" s="102" t="s">
        <v>16356</v>
      </c>
      <c r="E26" s="106" t="s">
        <v>16355</v>
      </c>
      <c r="F26" s="107" t="s">
        <v>244</v>
      </c>
      <c r="G26" s="98" t="s">
        <v>16354</v>
      </c>
      <c r="H26" s="99" t="s">
        <v>16258</v>
      </c>
      <c r="I26" s="100" t="s">
        <v>14212</v>
      </c>
      <c r="J26" s="98" t="s">
        <v>16353</v>
      </c>
      <c r="K26" s="99" t="s">
        <v>16352</v>
      </c>
    </row>
    <row r="27" spans="1:11" ht="17.5" x14ac:dyDescent="0.45">
      <c r="A27" s="104"/>
      <c r="B27" s="106"/>
      <c r="C27" s="108"/>
      <c r="D27" s="102"/>
      <c r="E27" s="106"/>
      <c r="F27" s="105" t="s">
        <v>65</v>
      </c>
      <c r="G27" s="99" t="s">
        <v>16351</v>
      </c>
      <c r="H27" s="98" t="s">
        <v>16248</v>
      </c>
      <c r="I27" s="100" t="s">
        <v>14228</v>
      </c>
      <c r="J27" s="99" t="s">
        <v>16350</v>
      </c>
      <c r="K27" s="98" t="s">
        <v>16349</v>
      </c>
    </row>
    <row r="28" spans="1:11" ht="17.5" x14ac:dyDescent="0.45">
      <c r="A28" s="104"/>
      <c r="B28" s="106"/>
      <c r="C28" s="108"/>
      <c r="D28" s="106" t="s">
        <v>16348</v>
      </c>
      <c r="E28" s="102" t="s">
        <v>16347</v>
      </c>
      <c r="F28" s="107" t="s">
        <v>244</v>
      </c>
      <c r="G28" s="98" t="s">
        <v>16346</v>
      </c>
      <c r="H28" s="99" t="s">
        <v>16238</v>
      </c>
      <c r="I28" s="100" t="s">
        <v>14217</v>
      </c>
      <c r="J28" s="98" t="s">
        <v>16345</v>
      </c>
      <c r="K28" s="99" t="s">
        <v>16344</v>
      </c>
    </row>
    <row r="29" spans="1:11" ht="17.5" x14ac:dyDescent="0.45">
      <c r="A29" s="104"/>
      <c r="B29" s="106"/>
      <c r="C29" s="108"/>
      <c r="D29" s="106"/>
      <c r="E29" s="102"/>
      <c r="F29" s="105" t="s">
        <v>65</v>
      </c>
      <c r="G29" s="99" t="s">
        <v>16343</v>
      </c>
      <c r="H29" s="98" t="s">
        <v>16228</v>
      </c>
      <c r="I29" s="100" t="s">
        <v>14326</v>
      </c>
      <c r="J29" s="99" t="s">
        <v>16342</v>
      </c>
      <c r="K29" s="98" t="s">
        <v>16341</v>
      </c>
    </row>
    <row r="30" spans="1:11" ht="17.5" x14ac:dyDescent="0.45">
      <c r="A30" s="104"/>
      <c r="B30" s="106"/>
      <c r="C30" s="108"/>
      <c r="D30" s="102" t="s">
        <v>16340</v>
      </c>
      <c r="E30" s="106" t="s">
        <v>16339</v>
      </c>
      <c r="F30" s="107" t="s">
        <v>244</v>
      </c>
      <c r="G30" s="98" t="s">
        <v>16338</v>
      </c>
      <c r="H30" s="99" t="s">
        <v>16218</v>
      </c>
      <c r="I30" s="100" t="s">
        <v>14212</v>
      </c>
      <c r="J30" s="98" t="s">
        <v>16337</v>
      </c>
      <c r="K30" s="99" t="s">
        <v>16336</v>
      </c>
    </row>
    <row r="31" spans="1:11" ht="17.5" x14ac:dyDescent="0.45">
      <c r="A31" s="104"/>
      <c r="B31" s="106"/>
      <c r="C31" s="108"/>
      <c r="D31" s="102"/>
      <c r="E31" s="106"/>
      <c r="F31" s="105" t="s">
        <v>65</v>
      </c>
      <c r="G31" s="99" t="s">
        <v>16335</v>
      </c>
      <c r="H31" s="98" t="s">
        <v>16208</v>
      </c>
      <c r="I31" s="100" t="s">
        <v>14217</v>
      </c>
      <c r="J31" s="99" t="s">
        <v>16334</v>
      </c>
      <c r="K31" s="98" t="s">
        <v>16333</v>
      </c>
    </row>
    <row r="32" spans="1:11" ht="17.5" x14ac:dyDescent="0.45">
      <c r="A32" s="104"/>
      <c r="B32" s="106"/>
      <c r="C32" s="103" t="s">
        <v>16332</v>
      </c>
      <c r="D32" s="106" t="s">
        <v>16331</v>
      </c>
      <c r="E32" s="102" t="s">
        <v>16330</v>
      </c>
      <c r="F32" s="107" t="s">
        <v>65</v>
      </c>
      <c r="G32" s="98" t="s">
        <v>16329</v>
      </c>
      <c r="H32" s="99" t="s">
        <v>16197</v>
      </c>
      <c r="I32" s="100" t="s">
        <v>14228</v>
      </c>
      <c r="J32" s="98" t="s">
        <v>16328</v>
      </c>
      <c r="K32" s="99" t="s">
        <v>16327</v>
      </c>
    </row>
    <row r="33" spans="1:11" ht="17.5" x14ac:dyDescent="0.45">
      <c r="A33" s="104"/>
      <c r="B33" s="106"/>
      <c r="C33" s="103"/>
      <c r="D33" s="106"/>
      <c r="E33" s="102"/>
      <c r="F33" s="105" t="s">
        <v>244</v>
      </c>
      <c r="G33" s="99" t="s">
        <v>16326</v>
      </c>
      <c r="H33" s="98" t="s">
        <v>16187</v>
      </c>
      <c r="I33" s="100" t="s">
        <v>14212</v>
      </c>
      <c r="J33" s="99" t="s">
        <v>16325</v>
      </c>
      <c r="K33" s="98" t="s">
        <v>16324</v>
      </c>
    </row>
    <row r="34" spans="1:11" ht="17.5" x14ac:dyDescent="0.45">
      <c r="A34" s="104"/>
      <c r="B34" s="106"/>
      <c r="C34" s="103"/>
      <c r="D34" s="102" t="s">
        <v>16323</v>
      </c>
      <c r="E34" s="106" t="s">
        <v>16322</v>
      </c>
      <c r="F34" s="107" t="s">
        <v>65</v>
      </c>
      <c r="G34" s="98" t="s">
        <v>16321</v>
      </c>
      <c r="H34" s="99" t="s">
        <v>16177</v>
      </c>
      <c r="I34" s="100" t="s">
        <v>14217</v>
      </c>
      <c r="J34" s="98" t="s">
        <v>16320</v>
      </c>
      <c r="K34" s="99" t="s">
        <v>16319</v>
      </c>
    </row>
    <row r="35" spans="1:11" ht="17.5" x14ac:dyDescent="0.45">
      <c r="A35" s="104"/>
      <c r="B35" s="106"/>
      <c r="C35" s="103"/>
      <c r="D35" s="102"/>
      <c r="E35" s="106"/>
      <c r="F35" s="105" t="s">
        <v>244</v>
      </c>
      <c r="G35" s="99" t="s">
        <v>16318</v>
      </c>
      <c r="H35" s="98" t="s">
        <v>16167</v>
      </c>
      <c r="I35" s="100" t="s">
        <v>14245</v>
      </c>
      <c r="J35" s="99" t="s">
        <v>16317</v>
      </c>
      <c r="K35" s="98" t="s">
        <v>16316</v>
      </c>
    </row>
    <row r="36" spans="1:11" ht="17.5" x14ac:dyDescent="0.45">
      <c r="A36" s="104"/>
      <c r="B36" s="106"/>
      <c r="C36" s="103"/>
      <c r="D36" s="106" t="s">
        <v>16315</v>
      </c>
      <c r="E36" s="102" t="s">
        <v>16314</v>
      </c>
      <c r="F36" s="107" t="s">
        <v>244</v>
      </c>
      <c r="G36" s="98" t="s">
        <v>16313</v>
      </c>
      <c r="H36" s="99" t="s">
        <v>16157</v>
      </c>
      <c r="I36" s="100" t="s">
        <v>14212</v>
      </c>
      <c r="J36" s="98" t="s">
        <v>16312</v>
      </c>
      <c r="K36" s="99" t="s">
        <v>16311</v>
      </c>
    </row>
    <row r="37" spans="1:11" ht="17.5" x14ac:dyDescent="0.45">
      <c r="A37" s="104"/>
      <c r="B37" s="106"/>
      <c r="C37" s="103"/>
      <c r="D37" s="106"/>
      <c r="E37" s="102"/>
      <c r="F37" s="105" t="s">
        <v>65</v>
      </c>
      <c r="G37" s="99" t="s">
        <v>16310</v>
      </c>
      <c r="H37" s="98" t="s">
        <v>16146</v>
      </c>
      <c r="I37" s="100" t="s">
        <v>14217</v>
      </c>
      <c r="J37" s="99" t="s">
        <v>16309</v>
      </c>
      <c r="K37" s="98" t="s">
        <v>16308</v>
      </c>
    </row>
    <row r="38" spans="1:11" ht="17.5" x14ac:dyDescent="0.45">
      <c r="A38" s="104"/>
      <c r="B38" s="106"/>
      <c r="C38" s="103"/>
      <c r="D38" s="102" t="s">
        <v>16307</v>
      </c>
      <c r="E38" s="106" t="s">
        <v>16306</v>
      </c>
      <c r="F38" s="107" t="s">
        <v>65</v>
      </c>
      <c r="G38" s="98" t="s">
        <v>16305</v>
      </c>
      <c r="H38" s="99" t="s">
        <v>16136</v>
      </c>
      <c r="I38" s="100" t="s">
        <v>14228</v>
      </c>
      <c r="J38" s="98" t="s">
        <v>16304</v>
      </c>
      <c r="K38" s="99" t="s">
        <v>16303</v>
      </c>
    </row>
    <row r="39" spans="1:11" ht="17.5" x14ac:dyDescent="0.45">
      <c r="A39" s="104"/>
      <c r="B39" s="106"/>
      <c r="C39" s="103"/>
      <c r="D39" s="102"/>
      <c r="E39" s="106"/>
      <c r="F39" s="105" t="s">
        <v>244</v>
      </c>
      <c r="G39" s="99" t="s">
        <v>16302</v>
      </c>
      <c r="H39" s="98" t="s">
        <v>16126</v>
      </c>
      <c r="I39" s="100" t="s">
        <v>14217</v>
      </c>
      <c r="J39" s="99" t="s">
        <v>1927</v>
      </c>
      <c r="K39" s="98" t="s">
        <v>16301</v>
      </c>
    </row>
    <row r="40" spans="1:11" ht="17.5" x14ac:dyDescent="0.45">
      <c r="A40" s="104"/>
      <c r="B40" s="106"/>
      <c r="C40" s="103"/>
      <c r="D40" s="106" t="s">
        <v>16300</v>
      </c>
      <c r="E40" s="102" t="s">
        <v>16299</v>
      </c>
      <c r="F40" s="107" t="s">
        <v>244</v>
      </c>
      <c r="G40" s="98" t="s">
        <v>16298</v>
      </c>
      <c r="H40" s="99" t="s">
        <v>16117</v>
      </c>
      <c r="I40" s="100" t="s">
        <v>14217</v>
      </c>
      <c r="J40" s="98" t="s">
        <v>1186</v>
      </c>
      <c r="K40" s="99" t="s">
        <v>16297</v>
      </c>
    </row>
    <row r="41" spans="1:11" ht="17.5" x14ac:dyDescent="0.45">
      <c r="A41" s="104"/>
      <c r="B41" s="106"/>
      <c r="C41" s="103"/>
      <c r="D41" s="106"/>
      <c r="E41" s="102"/>
      <c r="F41" s="105" t="s">
        <v>65</v>
      </c>
      <c r="G41" s="99" t="s">
        <v>16296</v>
      </c>
      <c r="H41" s="98" t="s">
        <v>15568</v>
      </c>
      <c r="I41" s="100" t="s">
        <v>14212</v>
      </c>
      <c r="J41" s="99" t="s">
        <v>16295</v>
      </c>
      <c r="K41" s="98" t="s">
        <v>16294</v>
      </c>
    </row>
    <row r="42" spans="1:11" ht="17.5" x14ac:dyDescent="0.45">
      <c r="A42" s="104"/>
      <c r="B42" s="106"/>
      <c r="C42" s="108" t="s">
        <v>16293</v>
      </c>
      <c r="D42" s="102" t="s">
        <v>16292</v>
      </c>
      <c r="E42" s="106" t="s">
        <v>16291</v>
      </c>
      <c r="F42" s="107" t="s">
        <v>244</v>
      </c>
      <c r="G42" s="98" t="s">
        <v>16290</v>
      </c>
      <c r="H42" s="99" t="s">
        <v>16098</v>
      </c>
      <c r="I42" s="100" t="s">
        <v>14228</v>
      </c>
      <c r="J42" s="98" t="s">
        <v>16289</v>
      </c>
      <c r="K42" s="99" t="s">
        <v>16288</v>
      </c>
    </row>
    <row r="43" spans="1:11" ht="17.5" x14ac:dyDescent="0.45">
      <c r="A43" s="104"/>
      <c r="B43" s="106"/>
      <c r="C43" s="108"/>
      <c r="D43" s="102"/>
      <c r="E43" s="106"/>
      <c r="F43" s="105" t="s">
        <v>65</v>
      </c>
      <c r="G43" s="99" t="s">
        <v>16287</v>
      </c>
      <c r="H43" s="98" t="s">
        <v>15938</v>
      </c>
      <c r="I43" s="100" t="s">
        <v>14217</v>
      </c>
      <c r="J43" s="99" t="s">
        <v>16286</v>
      </c>
      <c r="K43" s="98" t="s">
        <v>16285</v>
      </c>
    </row>
    <row r="44" spans="1:11" ht="17.5" x14ac:dyDescent="0.45">
      <c r="A44" s="104"/>
      <c r="B44" s="106"/>
      <c r="C44" s="108"/>
      <c r="D44" s="106" t="s">
        <v>16284</v>
      </c>
      <c r="E44" s="102" t="s">
        <v>16283</v>
      </c>
      <c r="F44" s="107" t="s">
        <v>65</v>
      </c>
      <c r="G44" s="98" t="s">
        <v>16282</v>
      </c>
      <c r="H44" s="99" t="s">
        <v>16079</v>
      </c>
      <c r="I44" s="100" t="s">
        <v>14212</v>
      </c>
      <c r="J44" s="98" t="s">
        <v>16281</v>
      </c>
      <c r="K44" s="99" t="s">
        <v>16280</v>
      </c>
    </row>
    <row r="45" spans="1:11" ht="17.5" x14ac:dyDescent="0.45">
      <c r="A45" s="104"/>
      <c r="B45" s="106"/>
      <c r="C45" s="108"/>
      <c r="D45" s="106"/>
      <c r="E45" s="102"/>
      <c r="F45" s="105" t="s">
        <v>244</v>
      </c>
      <c r="G45" s="99" t="s">
        <v>16279</v>
      </c>
      <c r="H45" s="98" t="s">
        <v>16069</v>
      </c>
      <c r="I45" s="100" t="s">
        <v>14245</v>
      </c>
      <c r="J45" s="99" t="s">
        <v>16278</v>
      </c>
      <c r="K45" s="98" t="s">
        <v>16277</v>
      </c>
    </row>
    <row r="46" spans="1:11" ht="17.5" x14ac:dyDescent="0.45">
      <c r="A46" s="104"/>
      <c r="B46" s="106"/>
      <c r="C46" s="108"/>
      <c r="D46" s="102" t="s">
        <v>16276</v>
      </c>
      <c r="E46" s="106" t="s">
        <v>16275</v>
      </c>
      <c r="F46" s="107" t="s">
        <v>65</v>
      </c>
      <c r="G46" s="98" t="s">
        <v>15288</v>
      </c>
      <c r="H46" s="99" t="s">
        <v>16059</v>
      </c>
      <c r="I46" s="100" t="s">
        <v>14217</v>
      </c>
      <c r="J46" s="98" t="s">
        <v>16274</v>
      </c>
      <c r="K46" s="99" t="s">
        <v>16273</v>
      </c>
    </row>
    <row r="47" spans="1:11" ht="17.5" x14ac:dyDescent="0.45">
      <c r="A47" s="104"/>
      <c r="B47" s="106"/>
      <c r="C47" s="108"/>
      <c r="D47" s="102"/>
      <c r="E47" s="106"/>
      <c r="F47" s="105" t="s">
        <v>244</v>
      </c>
      <c r="G47" s="99" t="s">
        <v>16272</v>
      </c>
      <c r="H47" s="98" t="s">
        <v>16048</v>
      </c>
      <c r="I47" s="100" t="s">
        <v>14212</v>
      </c>
      <c r="J47" s="99" t="s">
        <v>16271</v>
      </c>
      <c r="K47" s="98" t="s">
        <v>16270</v>
      </c>
    </row>
    <row r="48" spans="1:11" ht="17.5" x14ac:dyDescent="0.45">
      <c r="A48" s="104"/>
      <c r="B48" s="106"/>
      <c r="C48" s="108"/>
      <c r="D48" s="106" t="s">
        <v>16269</v>
      </c>
      <c r="E48" s="102" t="s">
        <v>16268</v>
      </c>
      <c r="F48" s="107" t="s">
        <v>244</v>
      </c>
      <c r="G48" s="98" t="s">
        <v>16267</v>
      </c>
      <c r="H48" s="99" t="s">
        <v>16039</v>
      </c>
      <c r="I48" s="100" t="s">
        <v>14228</v>
      </c>
      <c r="J48" s="98" t="s">
        <v>16266</v>
      </c>
      <c r="K48" s="99" t="s">
        <v>16265</v>
      </c>
    </row>
    <row r="49" spans="1:11" ht="17.5" x14ac:dyDescent="0.45">
      <c r="A49" s="104"/>
      <c r="B49" s="106"/>
      <c r="C49" s="108"/>
      <c r="D49" s="106"/>
      <c r="E49" s="102"/>
      <c r="F49" s="105" t="s">
        <v>65</v>
      </c>
      <c r="G49" s="99" t="s">
        <v>16264</v>
      </c>
      <c r="H49" s="98" t="s">
        <v>16029</v>
      </c>
      <c r="I49" s="100" t="s">
        <v>14217</v>
      </c>
      <c r="J49" s="99" t="s">
        <v>16263</v>
      </c>
      <c r="K49" s="98" t="s">
        <v>16262</v>
      </c>
    </row>
    <row r="50" spans="1:11" ht="17.5" x14ac:dyDescent="0.45">
      <c r="A50" s="104"/>
      <c r="B50" s="106"/>
      <c r="C50" s="108"/>
      <c r="D50" s="102" t="s">
        <v>16261</v>
      </c>
      <c r="E50" s="106" t="s">
        <v>16260</v>
      </c>
      <c r="F50" s="107" t="s">
        <v>65</v>
      </c>
      <c r="G50" s="98" t="s">
        <v>16259</v>
      </c>
      <c r="H50" s="99" t="s">
        <v>16019</v>
      </c>
      <c r="I50" s="100" t="s">
        <v>14217</v>
      </c>
      <c r="J50" s="98" t="s">
        <v>16258</v>
      </c>
      <c r="K50" s="99" t="s">
        <v>16257</v>
      </c>
    </row>
    <row r="51" spans="1:11" ht="17.5" x14ac:dyDescent="0.45">
      <c r="A51" s="104"/>
      <c r="B51" s="106"/>
      <c r="C51" s="108"/>
      <c r="D51" s="102"/>
      <c r="E51" s="106"/>
      <c r="F51" s="105" t="s">
        <v>244</v>
      </c>
      <c r="G51" s="99" t="s">
        <v>16256</v>
      </c>
      <c r="H51" s="98" t="s">
        <v>16009</v>
      </c>
      <c r="I51" s="100" t="s">
        <v>14212</v>
      </c>
      <c r="J51" s="99" t="s">
        <v>16255</v>
      </c>
      <c r="K51" s="98" t="s">
        <v>16254</v>
      </c>
    </row>
    <row r="52" spans="1:11" ht="17.5" x14ac:dyDescent="0.45">
      <c r="A52" s="104"/>
      <c r="B52" s="106"/>
      <c r="C52" s="109" t="s">
        <v>16253</v>
      </c>
      <c r="D52" s="106" t="s">
        <v>16252</v>
      </c>
      <c r="E52" s="102" t="s">
        <v>16251</v>
      </c>
      <c r="F52" s="107" t="s">
        <v>65</v>
      </c>
      <c r="G52" s="98" t="s">
        <v>16250</v>
      </c>
      <c r="H52" s="99" t="s">
        <v>16249</v>
      </c>
      <c r="I52" s="100" t="s">
        <v>14228</v>
      </c>
      <c r="J52" s="98" t="s">
        <v>16248</v>
      </c>
      <c r="K52" s="99" t="s">
        <v>16247</v>
      </c>
    </row>
    <row r="53" spans="1:11" ht="17.5" x14ac:dyDescent="0.45">
      <c r="A53" s="104"/>
      <c r="B53" s="106"/>
      <c r="C53" s="103"/>
      <c r="D53" s="106"/>
      <c r="E53" s="102"/>
      <c r="F53" s="105" t="s">
        <v>244</v>
      </c>
      <c r="G53" s="99" t="s">
        <v>16246</v>
      </c>
      <c r="H53" s="98" t="s">
        <v>16245</v>
      </c>
      <c r="I53" s="100" t="s">
        <v>14217</v>
      </c>
      <c r="J53" s="99" t="s">
        <v>16244</v>
      </c>
      <c r="K53" s="98" t="s">
        <v>16243</v>
      </c>
    </row>
    <row r="54" spans="1:11" ht="17.5" x14ac:dyDescent="0.45">
      <c r="A54" s="104"/>
      <c r="B54" s="106"/>
      <c r="C54" s="103"/>
      <c r="D54" s="102" t="s">
        <v>16242</v>
      </c>
      <c r="E54" s="106" t="s">
        <v>16241</v>
      </c>
      <c r="F54" s="107" t="s">
        <v>65</v>
      </c>
      <c r="G54" s="98" t="s">
        <v>16240</v>
      </c>
      <c r="H54" s="99" t="s">
        <v>16239</v>
      </c>
      <c r="I54" s="100" t="s">
        <v>14326</v>
      </c>
      <c r="J54" s="98" t="s">
        <v>16238</v>
      </c>
      <c r="K54" s="99" t="s">
        <v>16237</v>
      </c>
    </row>
    <row r="55" spans="1:11" ht="17.5" x14ac:dyDescent="0.45">
      <c r="A55" s="104"/>
      <c r="B55" s="106"/>
      <c r="C55" s="103"/>
      <c r="D55" s="102"/>
      <c r="E55" s="106"/>
      <c r="F55" s="105" t="s">
        <v>244</v>
      </c>
      <c r="G55" s="99" t="s">
        <v>16236</v>
      </c>
      <c r="H55" s="98" t="s">
        <v>16235</v>
      </c>
      <c r="I55" s="100" t="s">
        <v>14212</v>
      </c>
      <c r="J55" s="99" t="s">
        <v>16234</v>
      </c>
      <c r="K55" s="98" t="s">
        <v>16233</v>
      </c>
    </row>
    <row r="56" spans="1:11" ht="17.5" x14ac:dyDescent="0.45">
      <c r="A56" s="104"/>
      <c r="B56" s="106"/>
      <c r="C56" s="103"/>
      <c r="D56" s="106" t="s">
        <v>16232</v>
      </c>
      <c r="E56" s="102" t="s">
        <v>16231</v>
      </c>
      <c r="F56" s="107" t="s">
        <v>244</v>
      </c>
      <c r="G56" s="98" t="s">
        <v>16230</v>
      </c>
      <c r="H56" s="99" t="s">
        <v>16229</v>
      </c>
      <c r="I56" s="100" t="s">
        <v>14217</v>
      </c>
      <c r="J56" s="98" t="s">
        <v>16228</v>
      </c>
      <c r="K56" s="99" t="s">
        <v>16227</v>
      </c>
    </row>
    <row r="57" spans="1:11" ht="17.5" x14ac:dyDescent="0.45">
      <c r="A57" s="104"/>
      <c r="B57" s="106"/>
      <c r="C57" s="103"/>
      <c r="D57" s="106"/>
      <c r="E57" s="102"/>
      <c r="F57" s="105" t="s">
        <v>65</v>
      </c>
      <c r="G57" s="99" t="s">
        <v>16226</v>
      </c>
      <c r="H57" s="98" t="s">
        <v>16225</v>
      </c>
      <c r="I57" s="100" t="s">
        <v>14228</v>
      </c>
      <c r="J57" s="99" t="s">
        <v>16224</v>
      </c>
      <c r="K57" s="98" t="s">
        <v>16223</v>
      </c>
    </row>
    <row r="58" spans="1:11" ht="17.5" x14ac:dyDescent="0.45">
      <c r="A58" s="104"/>
      <c r="B58" s="106"/>
      <c r="C58" s="103"/>
      <c r="D58" s="102" t="s">
        <v>16222</v>
      </c>
      <c r="E58" s="106" t="s">
        <v>16221</v>
      </c>
      <c r="F58" s="107" t="s">
        <v>244</v>
      </c>
      <c r="G58" s="98" t="s">
        <v>16220</v>
      </c>
      <c r="H58" s="99" t="s">
        <v>16219</v>
      </c>
      <c r="I58" s="100" t="s">
        <v>14212</v>
      </c>
      <c r="J58" s="98" t="s">
        <v>16218</v>
      </c>
      <c r="K58" s="99" t="s">
        <v>16217</v>
      </c>
    </row>
    <row r="59" spans="1:11" ht="17.5" x14ac:dyDescent="0.45">
      <c r="A59" s="104"/>
      <c r="B59" s="106"/>
      <c r="C59" s="103"/>
      <c r="D59" s="102"/>
      <c r="E59" s="106"/>
      <c r="F59" s="105" t="s">
        <v>65</v>
      </c>
      <c r="G59" s="99" t="s">
        <v>16216</v>
      </c>
      <c r="H59" s="98" t="s">
        <v>16215</v>
      </c>
      <c r="I59" s="100" t="s">
        <v>14217</v>
      </c>
      <c r="J59" s="99" t="s">
        <v>16214</v>
      </c>
      <c r="K59" s="98" t="s">
        <v>16213</v>
      </c>
    </row>
    <row r="60" spans="1:11" ht="17.5" x14ac:dyDescent="0.45">
      <c r="A60" s="104"/>
      <c r="B60" s="106"/>
      <c r="C60" s="103"/>
      <c r="D60" s="106" t="s">
        <v>16212</v>
      </c>
      <c r="E60" s="102" t="s">
        <v>16211</v>
      </c>
      <c r="F60" s="107" t="s">
        <v>65</v>
      </c>
      <c r="G60" s="98" t="s">
        <v>16210</v>
      </c>
      <c r="H60" s="99" t="s">
        <v>16209</v>
      </c>
      <c r="I60" s="100" t="s">
        <v>14245</v>
      </c>
      <c r="J60" s="98" t="s">
        <v>16208</v>
      </c>
      <c r="K60" s="99" t="s">
        <v>16207</v>
      </c>
    </row>
    <row r="61" spans="1:11" ht="17.5" x14ac:dyDescent="0.45">
      <c r="A61" s="104"/>
      <c r="B61" s="106"/>
      <c r="C61" s="103"/>
      <c r="D61" s="106"/>
      <c r="E61" s="102"/>
      <c r="F61" s="105" t="s">
        <v>244</v>
      </c>
      <c r="G61" s="99" t="s">
        <v>16206</v>
      </c>
      <c r="H61" s="98" t="s">
        <v>16205</v>
      </c>
      <c r="I61" s="100" t="s">
        <v>14212</v>
      </c>
      <c r="J61" s="99" t="s">
        <v>16204</v>
      </c>
      <c r="K61" s="98" t="s">
        <v>16203</v>
      </c>
    </row>
    <row r="62" spans="1:11" ht="17.5" x14ac:dyDescent="0.45">
      <c r="A62" s="104"/>
      <c r="B62" s="106"/>
      <c r="C62" s="110" t="s">
        <v>16202</v>
      </c>
      <c r="D62" s="102" t="s">
        <v>16201</v>
      </c>
      <c r="E62" s="106" t="s">
        <v>16200</v>
      </c>
      <c r="F62" s="107" t="s">
        <v>244</v>
      </c>
      <c r="G62" s="98" t="s">
        <v>16199</v>
      </c>
      <c r="H62" s="99" t="s">
        <v>16198</v>
      </c>
      <c r="I62" s="100" t="s">
        <v>14217</v>
      </c>
      <c r="J62" s="98" t="s">
        <v>16197</v>
      </c>
      <c r="K62" s="99" t="s">
        <v>16196</v>
      </c>
    </row>
    <row r="63" spans="1:11" ht="17.5" x14ac:dyDescent="0.45">
      <c r="A63" s="104"/>
      <c r="B63" s="106"/>
      <c r="C63" s="108"/>
      <c r="D63" s="102"/>
      <c r="E63" s="106"/>
      <c r="F63" s="105" t="s">
        <v>65</v>
      </c>
      <c r="G63" s="99" t="s">
        <v>16195</v>
      </c>
      <c r="H63" s="98" t="s">
        <v>16194</v>
      </c>
      <c r="I63" s="100" t="s">
        <v>14228</v>
      </c>
      <c r="J63" s="99" t="s">
        <v>16193</v>
      </c>
      <c r="K63" s="98" t="s">
        <v>16192</v>
      </c>
    </row>
    <row r="64" spans="1:11" ht="17.5" x14ac:dyDescent="0.45">
      <c r="A64" s="104"/>
      <c r="B64" s="106"/>
      <c r="C64" s="108"/>
      <c r="D64" s="106" t="s">
        <v>16191</v>
      </c>
      <c r="E64" s="102" t="s">
        <v>16190</v>
      </c>
      <c r="F64" s="107" t="s">
        <v>244</v>
      </c>
      <c r="G64" s="98" t="s">
        <v>16189</v>
      </c>
      <c r="H64" s="99" t="s">
        <v>16188</v>
      </c>
      <c r="I64" s="100" t="s">
        <v>14217</v>
      </c>
      <c r="J64" s="98" t="s">
        <v>16187</v>
      </c>
      <c r="K64" s="99" t="s">
        <v>16186</v>
      </c>
    </row>
    <row r="65" spans="1:11" ht="17.5" x14ac:dyDescent="0.45">
      <c r="A65" s="104"/>
      <c r="B65" s="106"/>
      <c r="C65" s="108"/>
      <c r="D65" s="106"/>
      <c r="E65" s="102"/>
      <c r="F65" s="105" t="s">
        <v>65</v>
      </c>
      <c r="G65" s="99" t="s">
        <v>16185</v>
      </c>
      <c r="H65" s="98" t="s">
        <v>16184</v>
      </c>
      <c r="I65" s="100" t="s">
        <v>14217</v>
      </c>
      <c r="J65" s="99" t="s">
        <v>16183</v>
      </c>
      <c r="K65" s="98" t="s">
        <v>16182</v>
      </c>
    </row>
    <row r="66" spans="1:11" ht="17.5" x14ac:dyDescent="0.45">
      <c r="A66" s="104"/>
      <c r="B66" s="106"/>
      <c r="C66" s="108"/>
      <c r="D66" s="102" t="s">
        <v>16181</v>
      </c>
      <c r="E66" s="106" t="s">
        <v>16180</v>
      </c>
      <c r="F66" s="107" t="s">
        <v>244</v>
      </c>
      <c r="G66" s="98" t="s">
        <v>16179</v>
      </c>
      <c r="H66" s="99" t="s">
        <v>16178</v>
      </c>
      <c r="I66" s="100" t="s">
        <v>14212</v>
      </c>
      <c r="J66" s="98" t="s">
        <v>16177</v>
      </c>
      <c r="K66" s="99" t="s">
        <v>16176</v>
      </c>
    </row>
    <row r="67" spans="1:11" ht="17.5" x14ac:dyDescent="0.45">
      <c r="A67" s="104"/>
      <c r="B67" s="106"/>
      <c r="C67" s="108"/>
      <c r="D67" s="102"/>
      <c r="E67" s="106"/>
      <c r="F67" s="105" t="s">
        <v>65</v>
      </c>
      <c r="G67" s="99" t="s">
        <v>16175</v>
      </c>
      <c r="H67" s="98" t="s">
        <v>16174</v>
      </c>
      <c r="I67" s="100" t="s">
        <v>14228</v>
      </c>
      <c r="J67" s="99" t="s">
        <v>16173</v>
      </c>
      <c r="K67" s="98" t="s">
        <v>16172</v>
      </c>
    </row>
    <row r="68" spans="1:11" ht="17.5" x14ac:dyDescent="0.45">
      <c r="A68" s="104"/>
      <c r="B68" s="106"/>
      <c r="C68" s="108"/>
      <c r="D68" s="106" t="s">
        <v>16171</v>
      </c>
      <c r="E68" s="102" t="s">
        <v>16170</v>
      </c>
      <c r="F68" s="107" t="s">
        <v>65</v>
      </c>
      <c r="G68" s="98" t="s">
        <v>16169</v>
      </c>
      <c r="H68" s="99" t="s">
        <v>16168</v>
      </c>
      <c r="I68" s="100" t="s">
        <v>14217</v>
      </c>
      <c r="J68" s="98" t="s">
        <v>16167</v>
      </c>
      <c r="K68" s="99" t="s">
        <v>16166</v>
      </c>
    </row>
    <row r="69" spans="1:11" ht="17.5" x14ac:dyDescent="0.45">
      <c r="A69" s="104"/>
      <c r="B69" s="106"/>
      <c r="C69" s="108"/>
      <c r="D69" s="106"/>
      <c r="E69" s="102"/>
      <c r="F69" s="105" t="s">
        <v>244</v>
      </c>
      <c r="G69" s="99" t="s">
        <v>16165</v>
      </c>
      <c r="H69" s="98" t="s">
        <v>16164</v>
      </c>
      <c r="I69" s="100" t="s">
        <v>14212</v>
      </c>
      <c r="J69" s="99" t="s">
        <v>16163</v>
      </c>
      <c r="K69" s="98" t="s">
        <v>16162</v>
      </c>
    </row>
    <row r="70" spans="1:11" ht="17.5" x14ac:dyDescent="0.45">
      <c r="A70" s="104"/>
      <c r="B70" s="106"/>
      <c r="C70" s="108"/>
      <c r="D70" s="102" t="s">
        <v>16161</v>
      </c>
      <c r="E70" s="106" t="s">
        <v>16160</v>
      </c>
      <c r="F70" s="107" t="s">
        <v>65</v>
      </c>
      <c r="G70" s="98" t="s">
        <v>16159</v>
      </c>
      <c r="H70" s="99" t="s">
        <v>16158</v>
      </c>
      <c r="I70" s="100" t="s">
        <v>14245</v>
      </c>
      <c r="J70" s="98" t="s">
        <v>16157</v>
      </c>
      <c r="K70" s="99" t="s">
        <v>16156</v>
      </c>
    </row>
    <row r="71" spans="1:11" ht="17.5" x14ac:dyDescent="0.45">
      <c r="A71" s="104"/>
      <c r="B71" s="106"/>
      <c r="C71" s="108"/>
      <c r="D71" s="102"/>
      <c r="E71" s="106"/>
      <c r="F71" s="105" t="s">
        <v>244</v>
      </c>
      <c r="G71" s="99" t="s">
        <v>16155</v>
      </c>
      <c r="H71" s="98" t="s">
        <v>16154</v>
      </c>
      <c r="I71" s="100" t="s">
        <v>14217</v>
      </c>
      <c r="J71" s="99" t="s">
        <v>16153</v>
      </c>
      <c r="K71" s="98" t="s">
        <v>16152</v>
      </c>
    </row>
    <row r="72" spans="1:11" ht="17.5" x14ac:dyDescent="0.45">
      <c r="A72" s="104"/>
      <c r="B72" s="106"/>
      <c r="C72" s="109" t="s">
        <v>16151</v>
      </c>
      <c r="D72" s="106" t="s">
        <v>16150</v>
      </c>
      <c r="E72" s="102" t="s">
        <v>16149</v>
      </c>
      <c r="F72" s="107" t="s">
        <v>244</v>
      </c>
      <c r="G72" s="98" t="s">
        <v>16148</v>
      </c>
      <c r="H72" s="99" t="s">
        <v>16147</v>
      </c>
      <c r="I72" s="100" t="s">
        <v>14212</v>
      </c>
      <c r="J72" s="98" t="s">
        <v>16146</v>
      </c>
      <c r="K72" s="99" t="s">
        <v>16145</v>
      </c>
    </row>
    <row r="73" spans="1:11" ht="17.5" x14ac:dyDescent="0.45">
      <c r="A73" s="104"/>
      <c r="B73" s="106"/>
      <c r="C73" s="103"/>
      <c r="D73" s="106"/>
      <c r="E73" s="102"/>
      <c r="F73" s="105" t="s">
        <v>65</v>
      </c>
      <c r="G73" s="99" t="s">
        <v>16144</v>
      </c>
      <c r="H73" s="98" t="s">
        <v>16143</v>
      </c>
      <c r="I73" s="100" t="s">
        <v>14228</v>
      </c>
      <c r="J73" s="99" t="s">
        <v>16142</v>
      </c>
      <c r="K73" s="98" t="s">
        <v>16141</v>
      </c>
    </row>
    <row r="74" spans="1:11" ht="17.5" x14ac:dyDescent="0.45">
      <c r="A74" s="104"/>
      <c r="B74" s="106"/>
      <c r="C74" s="103"/>
      <c r="D74" s="102" t="s">
        <v>16140</v>
      </c>
      <c r="E74" s="106" t="s">
        <v>16139</v>
      </c>
      <c r="F74" s="107" t="s">
        <v>244</v>
      </c>
      <c r="G74" s="98" t="s">
        <v>16138</v>
      </c>
      <c r="H74" s="99" t="s">
        <v>16137</v>
      </c>
      <c r="I74" s="100" t="s">
        <v>14217</v>
      </c>
      <c r="J74" s="98" t="s">
        <v>16136</v>
      </c>
      <c r="K74" s="99" t="s">
        <v>16135</v>
      </c>
    </row>
    <row r="75" spans="1:11" ht="17.5" x14ac:dyDescent="0.45">
      <c r="A75" s="104"/>
      <c r="B75" s="106"/>
      <c r="C75" s="103"/>
      <c r="D75" s="102"/>
      <c r="E75" s="106"/>
      <c r="F75" s="105" t="s">
        <v>65</v>
      </c>
      <c r="G75" s="99" t="s">
        <v>16134</v>
      </c>
      <c r="H75" s="98" t="s">
        <v>16133</v>
      </c>
      <c r="I75" s="100" t="s">
        <v>14217</v>
      </c>
      <c r="J75" s="99" t="s">
        <v>16132</v>
      </c>
      <c r="K75" s="98" t="s">
        <v>16131</v>
      </c>
    </row>
    <row r="76" spans="1:11" ht="17.5" x14ac:dyDescent="0.45">
      <c r="A76" s="104"/>
      <c r="B76" s="106"/>
      <c r="C76" s="103"/>
      <c r="D76" s="106" t="s">
        <v>16130</v>
      </c>
      <c r="E76" s="102" t="s">
        <v>16129</v>
      </c>
      <c r="F76" s="107" t="s">
        <v>244</v>
      </c>
      <c r="G76" s="98" t="s">
        <v>16128</v>
      </c>
      <c r="H76" s="99" t="s">
        <v>16127</v>
      </c>
      <c r="I76" s="100" t="s">
        <v>14212</v>
      </c>
      <c r="J76" s="98" t="s">
        <v>16126</v>
      </c>
      <c r="K76" s="99" t="s">
        <v>16125</v>
      </c>
    </row>
    <row r="77" spans="1:11" ht="17.5" x14ac:dyDescent="0.45">
      <c r="A77" s="104"/>
      <c r="B77" s="106"/>
      <c r="C77" s="103"/>
      <c r="D77" s="106"/>
      <c r="E77" s="102"/>
      <c r="F77" s="105" t="s">
        <v>65</v>
      </c>
      <c r="G77" s="99" t="s">
        <v>16124</v>
      </c>
      <c r="H77" s="98" t="s">
        <v>16123</v>
      </c>
      <c r="I77" s="100" t="s">
        <v>14228</v>
      </c>
      <c r="J77" s="99" t="s">
        <v>16122</v>
      </c>
      <c r="K77" s="98" t="s">
        <v>16121</v>
      </c>
    </row>
    <row r="78" spans="1:11" ht="17.5" x14ac:dyDescent="0.45">
      <c r="A78" s="104"/>
      <c r="B78" s="106"/>
      <c r="C78" s="103"/>
      <c r="D78" s="102" t="s">
        <v>16120</v>
      </c>
      <c r="E78" s="106" t="s">
        <v>16119</v>
      </c>
      <c r="F78" s="107" t="s">
        <v>244</v>
      </c>
      <c r="G78" s="98" t="s">
        <v>2336</v>
      </c>
      <c r="H78" s="99" t="s">
        <v>16118</v>
      </c>
      <c r="I78" s="100" t="s">
        <v>14217</v>
      </c>
      <c r="J78" s="98" t="s">
        <v>16117</v>
      </c>
      <c r="K78" s="99" t="s">
        <v>16116</v>
      </c>
    </row>
    <row r="79" spans="1:11" ht="17.5" x14ac:dyDescent="0.45">
      <c r="A79" s="104"/>
      <c r="B79" s="106"/>
      <c r="C79" s="103"/>
      <c r="D79" s="102"/>
      <c r="E79" s="106"/>
      <c r="F79" s="105" t="s">
        <v>65</v>
      </c>
      <c r="G79" s="99" t="s">
        <v>16115</v>
      </c>
      <c r="H79" s="98" t="s">
        <v>16114</v>
      </c>
      <c r="I79" s="100" t="s">
        <v>14326</v>
      </c>
      <c r="J79" s="99" t="s">
        <v>16113</v>
      </c>
      <c r="K79" s="98" t="s">
        <v>16112</v>
      </c>
    </row>
    <row r="80" spans="1:11" ht="17.5" x14ac:dyDescent="0.45">
      <c r="A80" s="104"/>
      <c r="B80" s="106"/>
      <c r="C80" s="103"/>
      <c r="D80" s="106" t="s">
        <v>16111</v>
      </c>
      <c r="E80" s="102" t="s">
        <v>16110</v>
      </c>
      <c r="F80" s="107" t="s">
        <v>65</v>
      </c>
      <c r="G80" s="98" t="s">
        <v>16109</v>
      </c>
      <c r="H80" s="99" t="s">
        <v>16108</v>
      </c>
      <c r="I80" s="100" t="s">
        <v>14212</v>
      </c>
      <c r="J80" s="98" t="s">
        <v>15568</v>
      </c>
      <c r="K80" s="99" t="s">
        <v>16107</v>
      </c>
    </row>
    <row r="81" spans="1:11" ht="17.5" x14ac:dyDescent="0.45">
      <c r="A81" s="104"/>
      <c r="B81" s="106"/>
      <c r="C81" s="103"/>
      <c r="D81" s="106"/>
      <c r="E81" s="102"/>
      <c r="F81" s="105" t="s">
        <v>244</v>
      </c>
      <c r="G81" s="99" t="s">
        <v>16106</v>
      </c>
      <c r="H81" s="98" t="s">
        <v>16105</v>
      </c>
      <c r="I81" s="100" t="s">
        <v>14217</v>
      </c>
      <c r="J81" s="99" t="s">
        <v>16104</v>
      </c>
      <c r="K81" s="98" t="s">
        <v>16103</v>
      </c>
    </row>
    <row r="82" spans="1:11" ht="17.5" x14ac:dyDescent="0.45">
      <c r="A82" s="104"/>
      <c r="B82" s="106"/>
      <c r="C82" s="108" t="s">
        <v>16102</v>
      </c>
      <c r="D82" s="102" t="s">
        <v>16101</v>
      </c>
      <c r="E82" s="106" t="s">
        <v>16100</v>
      </c>
      <c r="F82" s="107" t="s">
        <v>244</v>
      </c>
      <c r="G82" s="98" t="s">
        <v>16099</v>
      </c>
      <c r="H82" s="99" t="s">
        <v>1200</v>
      </c>
      <c r="I82" s="100" t="s">
        <v>14228</v>
      </c>
      <c r="J82" s="98" t="s">
        <v>16098</v>
      </c>
      <c r="K82" s="99" t="s">
        <v>16097</v>
      </c>
    </row>
    <row r="83" spans="1:11" ht="17.5" x14ac:dyDescent="0.45">
      <c r="A83" s="104"/>
      <c r="B83" s="106"/>
      <c r="C83" s="108"/>
      <c r="D83" s="102"/>
      <c r="E83" s="106"/>
      <c r="F83" s="105" t="s">
        <v>65</v>
      </c>
      <c r="G83" s="99" t="s">
        <v>16096</v>
      </c>
      <c r="H83" s="98" t="s">
        <v>16095</v>
      </c>
      <c r="I83" s="100" t="s">
        <v>14212</v>
      </c>
      <c r="J83" s="99" t="s">
        <v>16094</v>
      </c>
      <c r="K83" s="98" t="s">
        <v>16093</v>
      </c>
    </row>
    <row r="84" spans="1:11" ht="17.5" x14ac:dyDescent="0.45">
      <c r="A84" s="104"/>
      <c r="B84" s="106"/>
      <c r="C84" s="108"/>
      <c r="D84" s="106" t="s">
        <v>16092</v>
      </c>
      <c r="E84" s="102" t="s">
        <v>16091</v>
      </c>
      <c r="F84" s="107" t="s">
        <v>244</v>
      </c>
      <c r="G84" s="98" t="s">
        <v>16090</v>
      </c>
      <c r="H84" s="99" t="s">
        <v>16089</v>
      </c>
      <c r="I84" s="100" t="s">
        <v>14217</v>
      </c>
      <c r="J84" s="98" t="s">
        <v>15938</v>
      </c>
      <c r="K84" s="99" t="s">
        <v>16088</v>
      </c>
    </row>
    <row r="85" spans="1:11" ht="17.5" x14ac:dyDescent="0.45">
      <c r="A85" s="104"/>
      <c r="B85" s="106"/>
      <c r="C85" s="108"/>
      <c r="D85" s="106"/>
      <c r="E85" s="102"/>
      <c r="F85" s="105" t="s">
        <v>65</v>
      </c>
      <c r="G85" s="99" t="s">
        <v>16087</v>
      </c>
      <c r="H85" s="98" t="s">
        <v>16086</v>
      </c>
      <c r="I85" s="100" t="s">
        <v>14245</v>
      </c>
      <c r="J85" s="99" t="s">
        <v>16085</v>
      </c>
      <c r="K85" s="98" t="s">
        <v>16084</v>
      </c>
    </row>
    <row r="86" spans="1:11" ht="17.5" x14ac:dyDescent="0.45">
      <c r="A86" s="104"/>
      <c r="B86" s="106"/>
      <c r="C86" s="108"/>
      <c r="D86" s="102" t="s">
        <v>16083</v>
      </c>
      <c r="E86" s="106" t="s">
        <v>16082</v>
      </c>
      <c r="F86" s="107" t="s">
        <v>65</v>
      </c>
      <c r="G86" s="98" t="s">
        <v>16081</v>
      </c>
      <c r="H86" s="99" t="s">
        <v>16080</v>
      </c>
      <c r="I86" s="100" t="s">
        <v>14212</v>
      </c>
      <c r="J86" s="98" t="s">
        <v>16079</v>
      </c>
      <c r="K86" s="99" t="s">
        <v>16078</v>
      </c>
    </row>
    <row r="87" spans="1:11" ht="17.5" x14ac:dyDescent="0.45">
      <c r="A87" s="104"/>
      <c r="B87" s="106"/>
      <c r="C87" s="108"/>
      <c r="D87" s="102"/>
      <c r="E87" s="106"/>
      <c r="F87" s="105" t="s">
        <v>244</v>
      </c>
      <c r="G87" s="99" t="s">
        <v>16077</v>
      </c>
      <c r="H87" s="98" t="s">
        <v>16076</v>
      </c>
      <c r="I87" s="100" t="s">
        <v>14217</v>
      </c>
      <c r="J87" s="99" t="s">
        <v>16075</v>
      </c>
      <c r="K87" s="98" t="s">
        <v>16074</v>
      </c>
    </row>
    <row r="88" spans="1:11" ht="17.5" x14ac:dyDescent="0.45">
      <c r="A88" s="104"/>
      <c r="B88" s="106"/>
      <c r="C88" s="108"/>
      <c r="D88" s="106" t="s">
        <v>16073</v>
      </c>
      <c r="E88" s="102" t="s">
        <v>16072</v>
      </c>
      <c r="F88" s="107" t="s">
        <v>65</v>
      </c>
      <c r="G88" s="98" t="s">
        <v>16071</v>
      </c>
      <c r="H88" s="99" t="s">
        <v>16070</v>
      </c>
      <c r="I88" s="100" t="s">
        <v>14228</v>
      </c>
      <c r="J88" s="98" t="s">
        <v>16069</v>
      </c>
      <c r="K88" s="99" t="s">
        <v>16068</v>
      </c>
    </row>
    <row r="89" spans="1:11" ht="17.5" x14ac:dyDescent="0.45">
      <c r="A89" s="104"/>
      <c r="B89" s="106"/>
      <c r="C89" s="108"/>
      <c r="D89" s="106"/>
      <c r="E89" s="102"/>
      <c r="F89" s="105" t="s">
        <v>244</v>
      </c>
      <c r="G89" s="99" t="s">
        <v>16067</v>
      </c>
      <c r="H89" s="98" t="s">
        <v>16066</v>
      </c>
      <c r="I89" s="100" t="s">
        <v>14217</v>
      </c>
      <c r="J89" s="99" t="s">
        <v>16065</v>
      </c>
      <c r="K89" s="98" t="s">
        <v>16064</v>
      </c>
    </row>
    <row r="90" spans="1:11" ht="17.5" x14ac:dyDescent="0.45">
      <c r="A90" s="104"/>
      <c r="B90" s="106"/>
      <c r="C90" s="108"/>
      <c r="D90" s="102" t="s">
        <v>16063</v>
      </c>
      <c r="E90" s="106" t="s">
        <v>16062</v>
      </c>
      <c r="F90" s="107" t="s">
        <v>65</v>
      </c>
      <c r="G90" s="98" t="s">
        <v>16061</v>
      </c>
      <c r="H90" s="99" t="s">
        <v>16060</v>
      </c>
      <c r="I90" s="100" t="s">
        <v>14217</v>
      </c>
      <c r="J90" s="98" t="s">
        <v>16059</v>
      </c>
      <c r="K90" s="99" t="s">
        <v>16058</v>
      </c>
    </row>
    <row r="91" spans="1:11" ht="17.5" x14ac:dyDescent="0.45">
      <c r="A91" s="104"/>
      <c r="B91" s="106"/>
      <c r="C91" s="108"/>
      <c r="D91" s="102"/>
      <c r="E91" s="106"/>
      <c r="F91" s="105" t="s">
        <v>244</v>
      </c>
      <c r="G91" s="99" t="s">
        <v>16057</v>
      </c>
      <c r="H91" s="98" t="s">
        <v>16056</v>
      </c>
      <c r="I91" s="100" t="s">
        <v>14212</v>
      </c>
      <c r="J91" s="99" t="s">
        <v>16055</v>
      </c>
      <c r="K91" s="98" t="s">
        <v>16054</v>
      </c>
    </row>
    <row r="92" spans="1:11" ht="17.5" x14ac:dyDescent="0.45">
      <c r="A92" s="104"/>
      <c r="B92" s="106"/>
      <c r="C92" s="103" t="s">
        <v>16053</v>
      </c>
      <c r="D92" s="106" t="s">
        <v>16052</v>
      </c>
      <c r="E92" s="102" t="s">
        <v>16051</v>
      </c>
      <c r="F92" s="107" t="s">
        <v>244</v>
      </c>
      <c r="G92" s="98" t="s">
        <v>16050</v>
      </c>
      <c r="H92" s="99" t="s">
        <v>16049</v>
      </c>
      <c r="I92" s="100" t="s">
        <v>14228</v>
      </c>
      <c r="J92" s="98" t="s">
        <v>16048</v>
      </c>
      <c r="K92" s="99" t="s">
        <v>16047</v>
      </c>
    </row>
    <row r="93" spans="1:11" ht="17.5" x14ac:dyDescent="0.45">
      <c r="A93" s="104"/>
      <c r="B93" s="106"/>
      <c r="C93" s="103"/>
      <c r="D93" s="106"/>
      <c r="E93" s="102"/>
      <c r="F93" s="105" t="s">
        <v>65</v>
      </c>
      <c r="G93" s="99" t="s">
        <v>16046</v>
      </c>
      <c r="H93" s="98" t="s">
        <v>16045</v>
      </c>
      <c r="I93" s="100" t="s">
        <v>14217</v>
      </c>
      <c r="J93" s="99" t="s">
        <v>16044</v>
      </c>
      <c r="K93" s="98" t="s">
        <v>16043</v>
      </c>
    </row>
    <row r="94" spans="1:11" ht="17.5" x14ac:dyDescent="0.45">
      <c r="A94" s="104"/>
      <c r="B94" s="106"/>
      <c r="C94" s="103"/>
      <c r="D94" s="102" t="s">
        <v>16042</v>
      </c>
      <c r="E94" s="106" t="s">
        <v>16041</v>
      </c>
      <c r="F94" s="107" t="s">
        <v>65</v>
      </c>
      <c r="G94" s="98" t="s">
        <v>15971</v>
      </c>
      <c r="H94" s="99" t="s">
        <v>16040</v>
      </c>
      <c r="I94" s="100" t="s">
        <v>14212</v>
      </c>
      <c r="J94" s="98" t="s">
        <v>16039</v>
      </c>
      <c r="K94" s="99" t="s">
        <v>16038</v>
      </c>
    </row>
    <row r="95" spans="1:11" ht="17.5" x14ac:dyDescent="0.45">
      <c r="A95" s="104"/>
      <c r="B95" s="106"/>
      <c r="C95" s="103"/>
      <c r="D95" s="102"/>
      <c r="E95" s="106"/>
      <c r="F95" s="105" t="s">
        <v>244</v>
      </c>
      <c r="G95" s="99" t="s">
        <v>16037</v>
      </c>
      <c r="H95" s="98" t="s">
        <v>16036</v>
      </c>
      <c r="I95" s="100" t="s">
        <v>14245</v>
      </c>
      <c r="J95" s="99" t="s">
        <v>16035</v>
      </c>
      <c r="K95" s="98" t="s">
        <v>16034</v>
      </c>
    </row>
    <row r="96" spans="1:11" ht="17.5" x14ac:dyDescent="0.45">
      <c r="A96" s="104"/>
      <c r="B96" s="106"/>
      <c r="C96" s="103"/>
      <c r="D96" s="106" t="s">
        <v>16033</v>
      </c>
      <c r="E96" s="102" t="s">
        <v>16032</v>
      </c>
      <c r="F96" s="107" t="s">
        <v>65</v>
      </c>
      <c r="G96" s="98" t="s">
        <v>16031</v>
      </c>
      <c r="H96" s="99" t="s">
        <v>16030</v>
      </c>
      <c r="I96" s="100" t="s">
        <v>14217</v>
      </c>
      <c r="J96" s="98" t="s">
        <v>16029</v>
      </c>
      <c r="K96" s="99" t="s">
        <v>16028</v>
      </c>
    </row>
    <row r="97" spans="1:11" ht="17.5" x14ac:dyDescent="0.45">
      <c r="A97" s="104"/>
      <c r="B97" s="106"/>
      <c r="C97" s="103"/>
      <c r="D97" s="106"/>
      <c r="E97" s="102"/>
      <c r="F97" s="105" t="s">
        <v>244</v>
      </c>
      <c r="G97" s="99" t="s">
        <v>16027</v>
      </c>
      <c r="H97" s="98" t="s">
        <v>16026</v>
      </c>
      <c r="I97" s="100" t="s">
        <v>14212</v>
      </c>
      <c r="J97" s="99" t="s">
        <v>16025</v>
      </c>
      <c r="K97" s="98" t="s">
        <v>16024</v>
      </c>
    </row>
    <row r="98" spans="1:11" ht="17.5" x14ac:dyDescent="0.45">
      <c r="A98" s="104"/>
      <c r="B98" s="106"/>
      <c r="C98" s="103"/>
      <c r="D98" s="102" t="s">
        <v>16023</v>
      </c>
      <c r="E98" s="106" t="s">
        <v>16022</v>
      </c>
      <c r="F98" s="107" t="s">
        <v>65</v>
      </c>
      <c r="G98" s="98" t="s">
        <v>16021</v>
      </c>
      <c r="H98" s="99" t="s">
        <v>16020</v>
      </c>
      <c r="I98" s="100" t="s">
        <v>14228</v>
      </c>
      <c r="J98" s="98" t="s">
        <v>16019</v>
      </c>
      <c r="K98" s="99" t="s">
        <v>16018</v>
      </c>
    </row>
    <row r="99" spans="1:11" ht="17.5" x14ac:dyDescent="0.45">
      <c r="A99" s="104"/>
      <c r="B99" s="106"/>
      <c r="C99" s="103"/>
      <c r="D99" s="102"/>
      <c r="E99" s="106"/>
      <c r="F99" s="105" t="s">
        <v>244</v>
      </c>
      <c r="G99" s="99" t="s">
        <v>16017</v>
      </c>
      <c r="H99" s="98" t="s">
        <v>16016</v>
      </c>
      <c r="I99" s="100" t="s">
        <v>14217</v>
      </c>
      <c r="J99" s="99" t="s">
        <v>16015</v>
      </c>
      <c r="K99" s="98" t="s">
        <v>16014</v>
      </c>
    </row>
    <row r="100" spans="1:11" ht="17.5" x14ac:dyDescent="0.45">
      <c r="A100" s="104"/>
      <c r="B100" s="106"/>
      <c r="C100" s="103"/>
      <c r="D100" s="106" t="s">
        <v>16013</v>
      </c>
      <c r="E100" s="102" t="s">
        <v>16012</v>
      </c>
      <c r="F100" s="107" t="s">
        <v>65</v>
      </c>
      <c r="G100" s="98" t="s">
        <v>16011</v>
      </c>
      <c r="H100" s="99" t="s">
        <v>16010</v>
      </c>
      <c r="I100" s="100" t="s">
        <v>14217</v>
      </c>
      <c r="J100" s="98" t="s">
        <v>16009</v>
      </c>
      <c r="K100" s="99" t="s">
        <v>16008</v>
      </c>
    </row>
    <row r="101" spans="1:11" ht="17.5" x14ac:dyDescent="0.45">
      <c r="A101" s="104"/>
      <c r="B101" s="106"/>
      <c r="C101" s="103"/>
      <c r="D101" s="106"/>
      <c r="E101" s="102"/>
      <c r="F101" s="105" t="s">
        <v>244</v>
      </c>
      <c r="G101" s="99" t="s">
        <v>15923</v>
      </c>
      <c r="H101" s="98" t="s">
        <v>16007</v>
      </c>
      <c r="I101" s="100" t="s">
        <v>14212</v>
      </c>
      <c r="J101" s="99" t="s">
        <v>16006</v>
      </c>
      <c r="K101" s="98" t="s">
        <v>16005</v>
      </c>
    </row>
    <row r="102" spans="1:11" ht="17.5" x14ac:dyDescent="0.45">
      <c r="A102" s="104"/>
      <c r="B102" s="106"/>
      <c r="C102" s="110" t="s">
        <v>16004</v>
      </c>
      <c r="D102" s="102" t="s">
        <v>16003</v>
      </c>
      <c r="E102" s="106" t="s">
        <v>16002</v>
      </c>
      <c r="F102" s="107" t="s">
        <v>244</v>
      </c>
      <c r="G102" s="98" t="s">
        <v>16001</v>
      </c>
      <c r="H102" s="99" t="s">
        <v>16000</v>
      </c>
      <c r="I102" s="100" t="s">
        <v>14217</v>
      </c>
      <c r="J102" s="98" t="s">
        <v>15999</v>
      </c>
      <c r="K102" s="99" t="s">
        <v>15998</v>
      </c>
    </row>
    <row r="103" spans="1:11" ht="17.5" x14ac:dyDescent="0.45">
      <c r="A103" s="104"/>
      <c r="B103" s="106"/>
      <c r="C103" s="108"/>
      <c r="D103" s="102"/>
      <c r="E103" s="106"/>
      <c r="F103" s="105" t="s">
        <v>65</v>
      </c>
      <c r="G103" s="99" t="s">
        <v>15997</v>
      </c>
      <c r="H103" s="98" t="s">
        <v>15996</v>
      </c>
      <c r="I103" s="100" t="s">
        <v>14212</v>
      </c>
      <c r="J103" s="99" t="s">
        <v>15995</v>
      </c>
      <c r="K103" s="98" t="s">
        <v>15994</v>
      </c>
    </row>
    <row r="104" spans="1:11" ht="17.5" x14ac:dyDescent="0.45">
      <c r="A104" s="104"/>
      <c r="B104" s="106"/>
      <c r="C104" s="108"/>
      <c r="D104" s="106" t="s">
        <v>15993</v>
      </c>
      <c r="E104" s="102" t="s">
        <v>15992</v>
      </c>
      <c r="F104" s="107" t="s">
        <v>244</v>
      </c>
      <c r="G104" s="98" t="s">
        <v>15991</v>
      </c>
      <c r="H104" s="99" t="s">
        <v>15990</v>
      </c>
      <c r="I104" s="100" t="s">
        <v>14228</v>
      </c>
      <c r="J104" s="98" t="s">
        <v>15989</v>
      </c>
      <c r="K104" s="99" t="s">
        <v>15988</v>
      </c>
    </row>
    <row r="105" spans="1:11" ht="17.5" x14ac:dyDescent="0.45">
      <c r="A105" s="104"/>
      <c r="B105" s="106"/>
      <c r="C105" s="108"/>
      <c r="D105" s="106"/>
      <c r="E105" s="102"/>
      <c r="F105" s="105" t="s">
        <v>65</v>
      </c>
      <c r="G105" s="99" t="s">
        <v>15987</v>
      </c>
      <c r="H105" s="98" t="s">
        <v>15986</v>
      </c>
      <c r="I105" s="100" t="s">
        <v>14217</v>
      </c>
      <c r="J105" s="99" t="s">
        <v>15985</v>
      </c>
      <c r="K105" s="98" t="s">
        <v>15984</v>
      </c>
    </row>
    <row r="106" spans="1:11" ht="17.5" x14ac:dyDescent="0.45">
      <c r="A106" s="104"/>
      <c r="B106" s="106"/>
      <c r="C106" s="108"/>
      <c r="D106" s="102" t="s">
        <v>15983</v>
      </c>
      <c r="E106" s="106" t="s">
        <v>15982</v>
      </c>
      <c r="F106" s="107" t="s">
        <v>65</v>
      </c>
      <c r="G106" s="98" t="s">
        <v>15981</v>
      </c>
      <c r="H106" s="99" t="s">
        <v>15980</v>
      </c>
      <c r="I106" s="100" t="s">
        <v>14212</v>
      </c>
      <c r="J106" s="98" t="s">
        <v>15979</v>
      </c>
      <c r="K106" s="99" t="s">
        <v>15978</v>
      </c>
    </row>
    <row r="107" spans="1:11" ht="17.5" x14ac:dyDescent="0.45">
      <c r="A107" s="104"/>
      <c r="B107" s="106"/>
      <c r="C107" s="108"/>
      <c r="D107" s="102"/>
      <c r="E107" s="106"/>
      <c r="F107" s="105" t="s">
        <v>244</v>
      </c>
      <c r="G107" s="99" t="s">
        <v>15977</v>
      </c>
      <c r="H107" s="98" t="s">
        <v>15976</v>
      </c>
      <c r="I107" s="100" t="s">
        <v>14245</v>
      </c>
      <c r="J107" s="99" t="s">
        <v>15975</v>
      </c>
      <c r="K107" s="98" t="s">
        <v>15974</v>
      </c>
    </row>
    <row r="108" spans="1:11" ht="17.5" x14ac:dyDescent="0.45">
      <c r="A108" s="104"/>
      <c r="B108" s="106"/>
      <c r="C108" s="108"/>
      <c r="D108" s="106" t="s">
        <v>15973</v>
      </c>
      <c r="E108" s="102" t="s">
        <v>15972</v>
      </c>
      <c r="F108" s="107" t="s">
        <v>65</v>
      </c>
      <c r="G108" s="98" t="s">
        <v>15971</v>
      </c>
      <c r="H108" s="99" t="s">
        <v>15970</v>
      </c>
      <c r="I108" s="100" t="s">
        <v>14217</v>
      </c>
      <c r="J108" s="98" t="s">
        <v>15969</v>
      </c>
      <c r="K108" s="99" t="s">
        <v>15968</v>
      </c>
    </row>
    <row r="109" spans="1:11" ht="17.5" x14ac:dyDescent="0.45">
      <c r="A109" s="104"/>
      <c r="B109" s="106"/>
      <c r="C109" s="108"/>
      <c r="D109" s="106"/>
      <c r="E109" s="102"/>
      <c r="F109" s="105" t="s">
        <v>244</v>
      </c>
      <c r="G109" s="99" t="s">
        <v>15967</v>
      </c>
      <c r="H109" s="98" t="s">
        <v>15966</v>
      </c>
      <c r="I109" s="100" t="s">
        <v>14212</v>
      </c>
      <c r="J109" s="99" t="s">
        <v>15965</v>
      </c>
      <c r="K109" s="98" t="s">
        <v>15964</v>
      </c>
    </row>
    <row r="110" spans="1:11" ht="17.5" x14ac:dyDescent="0.45">
      <c r="A110" s="104"/>
      <c r="B110" s="106"/>
      <c r="C110" s="108"/>
      <c r="D110" s="102" t="s">
        <v>15963</v>
      </c>
      <c r="E110" s="106" t="s">
        <v>15962</v>
      </c>
      <c r="F110" s="107" t="s">
        <v>244</v>
      </c>
      <c r="G110" s="98" t="s">
        <v>15961</v>
      </c>
      <c r="H110" s="99" t="s">
        <v>15960</v>
      </c>
      <c r="I110" s="100" t="s">
        <v>14228</v>
      </c>
      <c r="J110" s="98" t="s">
        <v>15959</v>
      </c>
      <c r="K110" s="99" t="s">
        <v>15958</v>
      </c>
    </row>
    <row r="111" spans="1:11" ht="17.5" x14ac:dyDescent="0.45">
      <c r="A111" s="104"/>
      <c r="B111" s="106"/>
      <c r="C111" s="108"/>
      <c r="D111" s="102"/>
      <c r="E111" s="106"/>
      <c r="F111" s="105" t="s">
        <v>65</v>
      </c>
      <c r="G111" s="99" t="s">
        <v>15957</v>
      </c>
      <c r="H111" s="98" t="s">
        <v>15956</v>
      </c>
      <c r="I111" s="100" t="s">
        <v>14217</v>
      </c>
      <c r="J111" s="99" t="s">
        <v>15955</v>
      </c>
      <c r="K111" s="98" t="s">
        <v>15954</v>
      </c>
    </row>
    <row r="112" spans="1:11" ht="17.5" x14ac:dyDescent="0.45">
      <c r="A112" s="104"/>
      <c r="B112" s="106"/>
      <c r="C112" s="109" t="s">
        <v>15953</v>
      </c>
      <c r="D112" s="106" t="s">
        <v>15952</v>
      </c>
      <c r="E112" s="102" t="s">
        <v>15951</v>
      </c>
      <c r="F112" s="107" t="s">
        <v>244</v>
      </c>
      <c r="G112" s="98" t="s">
        <v>15950</v>
      </c>
      <c r="H112" s="99" t="s">
        <v>15949</v>
      </c>
      <c r="I112" s="100" t="s">
        <v>14326</v>
      </c>
      <c r="J112" s="98" t="s">
        <v>15948</v>
      </c>
      <c r="K112" s="99" t="s">
        <v>15947</v>
      </c>
    </row>
    <row r="113" spans="1:11" ht="17.5" x14ac:dyDescent="0.45">
      <c r="A113" s="104"/>
      <c r="B113" s="106"/>
      <c r="C113" s="103"/>
      <c r="D113" s="106"/>
      <c r="E113" s="102"/>
      <c r="F113" s="105" t="s">
        <v>65</v>
      </c>
      <c r="G113" s="99" t="s">
        <v>9506</v>
      </c>
      <c r="H113" s="98" t="s">
        <v>15644</v>
      </c>
      <c r="I113" s="100" t="s">
        <v>14217</v>
      </c>
      <c r="J113" s="99" t="s">
        <v>15946</v>
      </c>
      <c r="K113" s="98" t="s">
        <v>15945</v>
      </c>
    </row>
    <row r="114" spans="1:11" ht="17.5" x14ac:dyDescent="0.45">
      <c r="A114" s="104"/>
      <c r="B114" s="106"/>
      <c r="C114" s="103"/>
      <c r="D114" s="102" t="s">
        <v>15944</v>
      </c>
      <c r="E114" s="106" t="s">
        <v>15943</v>
      </c>
      <c r="F114" s="107" t="s">
        <v>244</v>
      </c>
      <c r="G114" s="98" t="s">
        <v>15942</v>
      </c>
      <c r="H114" s="99" t="s">
        <v>1741</v>
      </c>
      <c r="I114" s="100" t="s">
        <v>14212</v>
      </c>
      <c r="J114" s="98" t="s">
        <v>15941</v>
      </c>
      <c r="K114" s="99" t="s">
        <v>15940</v>
      </c>
    </row>
    <row r="115" spans="1:11" ht="17.5" x14ac:dyDescent="0.45">
      <c r="A115" s="104"/>
      <c r="B115" s="106"/>
      <c r="C115" s="103"/>
      <c r="D115" s="102"/>
      <c r="E115" s="106"/>
      <c r="F115" s="105" t="s">
        <v>65</v>
      </c>
      <c r="G115" s="99" t="s">
        <v>15939</v>
      </c>
      <c r="H115" s="98" t="s">
        <v>15938</v>
      </c>
      <c r="I115" s="100" t="s">
        <v>14217</v>
      </c>
      <c r="J115" s="99" t="s">
        <v>15937</v>
      </c>
      <c r="K115" s="98" t="s">
        <v>15936</v>
      </c>
    </row>
    <row r="116" spans="1:11" ht="17.5" x14ac:dyDescent="0.45">
      <c r="A116" s="104"/>
      <c r="B116" s="106"/>
      <c r="C116" s="103"/>
      <c r="D116" s="106" t="s">
        <v>15935</v>
      </c>
      <c r="E116" s="102" t="s">
        <v>15934</v>
      </c>
      <c r="F116" s="107" t="s">
        <v>65</v>
      </c>
      <c r="G116" s="98" t="s">
        <v>15933</v>
      </c>
      <c r="H116" s="99" t="s">
        <v>15932</v>
      </c>
      <c r="I116" s="100" t="s">
        <v>14228</v>
      </c>
      <c r="J116" s="98" t="s">
        <v>15931</v>
      </c>
      <c r="K116" s="99" t="s">
        <v>15930</v>
      </c>
    </row>
    <row r="117" spans="1:11" ht="17.5" x14ac:dyDescent="0.45">
      <c r="A117" s="104"/>
      <c r="B117" s="106"/>
      <c r="C117" s="103"/>
      <c r="D117" s="106"/>
      <c r="E117" s="102"/>
      <c r="F117" s="105" t="s">
        <v>244</v>
      </c>
      <c r="G117" s="99" t="s">
        <v>15929</v>
      </c>
      <c r="H117" s="98" t="s">
        <v>15928</v>
      </c>
      <c r="I117" s="100" t="s">
        <v>14212</v>
      </c>
      <c r="J117" s="99" t="s">
        <v>15927</v>
      </c>
      <c r="K117" s="98" t="s">
        <v>15926</v>
      </c>
    </row>
    <row r="118" spans="1:11" ht="17.5" x14ac:dyDescent="0.45">
      <c r="A118" s="104"/>
      <c r="B118" s="106"/>
      <c r="C118" s="103"/>
      <c r="D118" s="102" t="s">
        <v>15925</v>
      </c>
      <c r="E118" s="106" t="s">
        <v>15924</v>
      </c>
      <c r="F118" s="107" t="s">
        <v>65</v>
      </c>
      <c r="G118" s="98" t="s">
        <v>15923</v>
      </c>
      <c r="H118" s="99" t="s">
        <v>722</v>
      </c>
      <c r="I118" s="100" t="s">
        <v>14217</v>
      </c>
      <c r="J118" s="98" t="s">
        <v>15922</v>
      </c>
      <c r="K118" s="99" t="s">
        <v>15921</v>
      </c>
    </row>
    <row r="119" spans="1:11" ht="17.5" x14ac:dyDescent="0.45">
      <c r="A119" s="104"/>
      <c r="B119" s="106"/>
      <c r="C119" s="103"/>
      <c r="D119" s="102"/>
      <c r="E119" s="106"/>
      <c r="F119" s="105" t="s">
        <v>244</v>
      </c>
      <c r="G119" s="99" t="s">
        <v>15920</v>
      </c>
      <c r="H119" s="98" t="s">
        <v>15919</v>
      </c>
      <c r="I119" s="100" t="s">
        <v>14245</v>
      </c>
      <c r="J119" s="99" t="s">
        <v>15918</v>
      </c>
      <c r="K119" s="98" t="s">
        <v>15917</v>
      </c>
    </row>
    <row r="120" spans="1:11" ht="17.5" x14ac:dyDescent="0.45">
      <c r="A120" s="104"/>
      <c r="B120" s="106"/>
      <c r="C120" s="103"/>
      <c r="D120" s="106" t="s">
        <v>15916</v>
      </c>
      <c r="E120" s="102" t="s">
        <v>15915</v>
      </c>
      <c r="F120" s="107" t="s">
        <v>244</v>
      </c>
      <c r="G120" s="98" t="s">
        <v>15914</v>
      </c>
      <c r="H120" s="99" t="s">
        <v>15913</v>
      </c>
      <c r="I120" s="100" t="s">
        <v>14212</v>
      </c>
      <c r="J120" s="98" t="s">
        <v>15912</v>
      </c>
      <c r="K120" s="99" t="s">
        <v>15911</v>
      </c>
    </row>
    <row r="121" spans="1:11" ht="17.5" x14ac:dyDescent="0.45">
      <c r="A121" s="104"/>
      <c r="B121" s="106"/>
      <c r="C121" s="103"/>
      <c r="D121" s="106"/>
      <c r="E121" s="102"/>
      <c r="F121" s="105" t="s">
        <v>65</v>
      </c>
      <c r="G121" s="99" t="s">
        <v>15910</v>
      </c>
      <c r="H121" s="98" t="s">
        <v>15909</v>
      </c>
      <c r="I121" s="100" t="s">
        <v>14217</v>
      </c>
      <c r="J121" s="99" t="s">
        <v>15908</v>
      </c>
      <c r="K121" s="98" t="s">
        <v>15907</v>
      </c>
    </row>
    <row r="122" spans="1:11" ht="17.5" x14ac:dyDescent="0.45">
      <c r="A122" s="104"/>
      <c r="B122" s="106"/>
      <c r="C122" s="110" t="s">
        <v>15906</v>
      </c>
      <c r="D122" s="102" t="s">
        <v>15905</v>
      </c>
      <c r="E122" s="106" t="s">
        <v>15904</v>
      </c>
      <c r="F122" s="107" t="s">
        <v>65</v>
      </c>
      <c r="G122" s="98" t="s">
        <v>15903</v>
      </c>
      <c r="H122" s="99" t="s">
        <v>15902</v>
      </c>
      <c r="I122" s="100" t="s">
        <v>14228</v>
      </c>
      <c r="J122" s="98" t="s">
        <v>15901</v>
      </c>
      <c r="K122" s="99" t="s">
        <v>15900</v>
      </c>
    </row>
    <row r="123" spans="1:11" ht="17.5" x14ac:dyDescent="0.45">
      <c r="A123" s="104"/>
      <c r="B123" s="106"/>
      <c r="C123" s="108"/>
      <c r="D123" s="102"/>
      <c r="E123" s="106"/>
      <c r="F123" s="105" t="s">
        <v>244</v>
      </c>
      <c r="G123" s="99" t="s">
        <v>15899</v>
      </c>
      <c r="H123" s="98" t="s">
        <v>15898</v>
      </c>
      <c r="I123" s="100" t="s">
        <v>14212</v>
      </c>
      <c r="J123" s="99" t="s">
        <v>15897</v>
      </c>
      <c r="K123" s="98" t="s">
        <v>15896</v>
      </c>
    </row>
    <row r="124" spans="1:11" ht="17.5" x14ac:dyDescent="0.45">
      <c r="A124" s="104"/>
      <c r="B124" s="106"/>
      <c r="C124" s="108"/>
      <c r="D124" s="106" t="s">
        <v>15895</v>
      </c>
      <c r="E124" s="102" t="s">
        <v>15894</v>
      </c>
      <c r="F124" s="107" t="s">
        <v>65</v>
      </c>
      <c r="G124" s="98" t="s">
        <v>15893</v>
      </c>
      <c r="H124" s="99" t="s">
        <v>15892</v>
      </c>
      <c r="I124" s="100" t="s">
        <v>14217</v>
      </c>
      <c r="J124" s="98" t="s">
        <v>15891</v>
      </c>
      <c r="K124" s="99" t="s">
        <v>15890</v>
      </c>
    </row>
    <row r="125" spans="1:11" ht="17.5" x14ac:dyDescent="0.45">
      <c r="A125" s="104"/>
      <c r="B125" s="106"/>
      <c r="C125" s="108"/>
      <c r="D125" s="106"/>
      <c r="E125" s="102"/>
      <c r="F125" s="105" t="s">
        <v>244</v>
      </c>
      <c r="G125" s="99" t="s">
        <v>15889</v>
      </c>
      <c r="H125" s="98" t="s">
        <v>15888</v>
      </c>
      <c r="I125" s="100" t="s">
        <v>14217</v>
      </c>
      <c r="J125" s="99" t="s">
        <v>15887</v>
      </c>
      <c r="K125" s="98" t="s">
        <v>15886</v>
      </c>
    </row>
    <row r="126" spans="1:11" ht="17.5" x14ac:dyDescent="0.45">
      <c r="A126" s="104"/>
      <c r="B126" s="106"/>
      <c r="C126" s="108"/>
      <c r="D126" s="102" t="s">
        <v>15885</v>
      </c>
      <c r="E126" s="106" t="s">
        <v>15884</v>
      </c>
      <c r="F126" s="107" t="s">
        <v>65</v>
      </c>
      <c r="G126" s="98" t="s">
        <v>15883</v>
      </c>
      <c r="H126" s="99" t="s">
        <v>15882</v>
      </c>
      <c r="I126" s="100" t="s">
        <v>14212</v>
      </c>
      <c r="J126" s="98" t="s">
        <v>15881</v>
      </c>
      <c r="K126" s="99" t="s">
        <v>15880</v>
      </c>
    </row>
    <row r="127" spans="1:11" ht="17.5" x14ac:dyDescent="0.45">
      <c r="A127" s="104"/>
      <c r="B127" s="106"/>
      <c r="C127" s="108"/>
      <c r="D127" s="102"/>
      <c r="E127" s="106"/>
      <c r="F127" s="105" t="s">
        <v>65</v>
      </c>
      <c r="G127" s="99" t="s">
        <v>15879</v>
      </c>
      <c r="H127" s="98" t="s">
        <v>15878</v>
      </c>
      <c r="I127" s="100" t="s">
        <v>14228</v>
      </c>
      <c r="J127" s="99" t="s">
        <v>15877</v>
      </c>
      <c r="K127" s="98" t="s">
        <v>15876</v>
      </c>
    </row>
    <row r="128" spans="1:11" ht="17.5" x14ac:dyDescent="0.45">
      <c r="A128" s="104"/>
      <c r="B128" s="106"/>
      <c r="C128" s="108"/>
      <c r="D128" s="106" t="s">
        <v>15875</v>
      </c>
      <c r="E128" s="102" t="s">
        <v>15874</v>
      </c>
      <c r="F128" s="107" t="s">
        <v>244</v>
      </c>
      <c r="G128" s="98" t="s">
        <v>15873</v>
      </c>
      <c r="H128" s="99" t="s">
        <v>15872</v>
      </c>
      <c r="I128" s="100" t="s">
        <v>14217</v>
      </c>
      <c r="J128" s="98" t="s">
        <v>15871</v>
      </c>
      <c r="K128" s="99" t="s">
        <v>15870</v>
      </c>
    </row>
    <row r="129" spans="1:11" ht="17.5" x14ac:dyDescent="0.45">
      <c r="A129" s="104"/>
      <c r="B129" s="106"/>
      <c r="C129" s="108"/>
      <c r="D129" s="106"/>
      <c r="E129" s="102"/>
      <c r="F129" s="105" t="s">
        <v>244</v>
      </c>
      <c r="G129" s="99" t="s">
        <v>14449</v>
      </c>
      <c r="H129" s="98" t="s">
        <v>15869</v>
      </c>
      <c r="I129" s="100" t="s">
        <v>14326</v>
      </c>
      <c r="J129" s="99" t="s">
        <v>15868</v>
      </c>
      <c r="K129" s="98" t="s">
        <v>15867</v>
      </c>
    </row>
    <row r="130" spans="1:11" ht="17.5" x14ac:dyDescent="0.45">
      <c r="A130" s="104"/>
      <c r="B130" s="106"/>
      <c r="C130" s="108"/>
      <c r="D130" s="102" t="s">
        <v>15866</v>
      </c>
      <c r="E130" s="106" t="s">
        <v>15865</v>
      </c>
      <c r="F130" s="107" t="s">
        <v>65</v>
      </c>
      <c r="G130" s="98" t="s">
        <v>15864</v>
      </c>
      <c r="H130" s="99" t="s">
        <v>15863</v>
      </c>
      <c r="I130" s="100" t="s">
        <v>14212</v>
      </c>
      <c r="J130" s="98" t="s">
        <v>15862</v>
      </c>
      <c r="K130" s="99" t="s">
        <v>15861</v>
      </c>
    </row>
    <row r="131" spans="1:11" ht="17.5" x14ac:dyDescent="0.45">
      <c r="A131" s="104"/>
      <c r="B131" s="106"/>
      <c r="C131" s="108"/>
      <c r="D131" s="102"/>
      <c r="E131" s="106"/>
      <c r="F131" s="105" t="s">
        <v>244</v>
      </c>
      <c r="G131" s="99" t="s">
        <v>15860</v>
      </c>
      <c r="H131" s="98" t="s">
        <v>669</v>
      </c>
      <c r="I131" s="100" t="s">
        <v>14217</v>
      </c>
      <c r="J131" s="99" t="s">
        <v>15859</v>
      </c>
      <c r="K131" s="98" t="s">
        <v>15858</v>
      </c>
    </row>
    <row r="132" spans="1:11" ht="17.5" x14ac:dyDescent="0.45">
      <c r="A132" s="104"/>
      <c r="B132" s="106"/>
      <c r="C132" s="109" t="s">
        <v>15857</v>
      </c>
      <c r="D132" s="106" t="s">
        <v>15856</v>
      </c>
      <c r="E132" s="102" t="s">
        <v>15855</v>
      </c>
      <c r="F132" s="107" t="s">
        <v>65</v>
      </c>
      <c r="G132" s="98" t="s">
        <v>15854</v>
      </c>
      <c r="H132" s="99" t="s">
        <v>15853</v>
      </c>
      <c r="I132" s="100" t="s">
        <v>14228</v>
      </c>
      <c r="J132" s="98" t="s">
        <v>15852</v>
      </c>
      <c r="K132" s="99" t="s">
        <v>15851</v>
      </c>
    </row>
    <row r="133" spans="1:11" ht="17.5" x14ac:dyDescent="0.45">
      <c r="A133" s="104"/>
      <c r="B133" s="106"/>
      <c r="C133" s="103"/>
      <c r="D133" s="106"/>
      <c r="E133" s="102"/>
      <c r="F133" s="105" t="s">
        <v>65</v>
      </c>
      <c r="G133" s="99" t="s">
        <v>15850</v>
      </c>
      <c r="H133" s="98" t="s">
        <v>15849</v>
      </c>
      <c r="I133" s="100" t="s">
        <v>14212</v>
      </c>
      <c r="J133" s="99" t="s">
        <v>15848</v>
      </c>
      <c r="K133" s="98" t="s">
        <v>15847</v>
      </c>
    </row>
    <row r="134" spans="1:11" ht="17.5" x14ac:dyDescent="0.45">
      <c r="A134" s="104"/>
      <c r="B134" s="106"/>
      <c r="C134" s="103"/>
      <c r="D134" s="102" t="s">
        <v>15846</v>
      </c>
      <c r="E134" s="106" t="s">
        <v>15845</v>
      </c>
      <c r="F134" s="107" t="s">
        <v>244</v>
      </c>
      <c r="G134" s="98" t="s">
        <v>15666</v>
      </c>
      <c r="H134" s="99" t="s">
        <v>15844</v>
      </c>
      <c r="I134" s="100" t="s">
        <v>14217</v>
      </c>
      <c r="J134" s="98" t="s">
        <v>15843</v>
      </c>
      <c r="K134" s="99" t="s">
        <v>15842</v>
      </c>
    </row>
    <row r="135" spans="1:11" ht="17.5" x14ac:dyDescent="0.45">
      <c r="A135" s="104"/>
      <c r="B135" s="106"/>
      <c r="C135" s="103"/>
      <c r="D135" s="102"/>
      <c r="E135" s="106"/>
      <c r="F135" s="105" t="s">
        <v>65</v>
      </c>
      <c r="G135" s="99" t="s">
        <v>15841</v>
      </c>
      <c r="H135" s="98" t="s">
        <v>15840</v>
      </c>
      <c r="I135" s="100" t="s">
        <v>14245</v>
      </c>
      <c r="J135" s="99" t="s">
        <v>15839</v>
      </c>
      <c r="K135" s="98" t="s">
        <v>15838</v>
      </c>
    </row>
    <row r="136" spans="1:11" ht="17.5" x14ac:dyDescent="0.45">
      <c r="A136" s="104"/>
      <c r="B136" s="106"/>
      <c r="C136" s="103"/>
      <c r="D136" s="106" t="s">
        <v>15837</v>
      </c>
      <c r="E136" s="102" t="s">
        <v>15836</v>
      </c>
      <c r="F136" s="107" t="s">
        <v>244</v>
      </c>
      <c r="G136" s="98" t="s">
        <v>15835</v>
      </c>
      <c r="H136" s="99" t="s">
        <v>15834</v>
      </c>
      <c r="I136" s="100" t="s">
        <v>14212</v>
      </c>
      <c r="J136" s="98" t="s">
        <v>15833</v>
      </c>
      <c r="K136" s="99" t="s">
        <v>15832</v>
      </c>
    </row>
    <row r="137" spans="1:11" ht="17.5" x14ac:dyDescent="0.45">
      <c r="A137" s="104"/>
      <c r="B137" s="106"/>
      <c r="C137" s="103"/>
      <c r="D137" s="106"/>
      <c r="E137" s="102"/>
      <c r="F137" s="105" t="s">
        <v>65</v>
      </c>
      <c r="G137" s="99" t="s">
        <v>15831</v>
      </c>
      <c r="H137" s="98" t="s">
        <v>15830</v>
      </c>
      <c r="I137" s="100" t="s">
        <v>14217</v>
      </c>
      <c r="J137" s="99" t="s">
        <v>15829</v>
      </c>
      <c r="K137" s="98" t="s">
        <v>15828</v>
      </c>
    </row>
    <row r="138" spans="1:11" ht="17.5" x14ac:dyDescent="0.45">
      <c r="A138" s="104"/>
      <c r="B138" s="106"/>
      <c r="C138" s="103"/>
      <c r="D138" s="102" t="s">
        <v>15827</v>
      </c>
      <c r="E138" s="106" t="s">
        <v>15826</v>
      </c>
      <c r="F138" s="107" t="s">
        <v>244</v>
      </c>
      <c r="G138" s="98" t="s">
        <v>14489</v>
      </c>
      <c r="H138" s="99" t="s">
        <v>15825</v>
      </c>
      <c r="I138" s="100" t="s">
        <v>14228</v>
      </c>
      <c r="J138" s="98" t="s">
        <v>15824</v>
      </c>
      <c r="K138" s="99" t="s">
        <v>15823</v>
      </c>
    </row>
    <row r="139" spans="1:11" ht="17.5" x14ac:dyDescent="0.45">
      <c r="A139" s="104"/>
      <c r="B139" s="106"/>
      <c r="C139" s="103"/>
      <c r="D139" s="102"/>
      <c r="E139" s="106"/>
      <c r="F139" s="105" t="s">
        <v>65</v>
      </c>
      <c r="G139" s="99" t="s">
        <v>15822</v>
      </c>
      <c r="H139" s="98" t="s">
        <v>15821</v>
      </c>
      <c r="I139" s="100" t="s">
        <v>14217</v>
      </c>
      <c r="J139" s="99" t="s">
        <v>15820</v>
      </c>
      <c r="K139" s="98" t="s">
        <v>15819</v>
      </c>
    </row>
    <row r="140" spans="1:11" ht="17.5" x14ac:dyDescent="0.45">
      <c r="A140" s="104"/>
      <c r="B140" s="106"/>
      <c r="C140" s="103"/>
      <c r="D140" s="106" t="s">
        <v>15818</v>
      </c>
      <c r="E140" s="102" t="s">
        <v>15817</v>
      </c>
      <c r="F140" s="107" t="s">
        <v>65</v>
      </c>
      <c r="G140" s="98" t="s">
        <v>15816</v>
      </c>
      <c r="H140" s="99" t="s">
        <v>15815</v>
      </c>
      <c r="I140" s="100" t="s">
        <v>14217</v>
      </c>
      <c r="J140" s="98" t="s">
        <v>15814</v>
      </c>
      <c r="K140" s="99" t="s">
        <v>15813</v>
      </c>
    </row>
    <row r="141" spans="1:11" ht="17.5" x14ac:dyDescent="0.45">
      <c r="A141" s="104"/>
      <c r="B141" s="106"/>
      <c r="C141" s="103"/>
      <c r="D141" s="106"/>
      <c r="E141" s="102"/>
      <c r="F141" s="105" t="s">
        <v>244</v>
      </c>
      <c r="G141" s="99" t="s">
        <v>15812</v>
      </c>
      <c r="H141" s="98" t="s">
        <v>15811</v>
      </c>
      <c r="I141" s="100" t="s">
        <v>14212</v>
      </c>
      <c r="J141" s="99" t="s">
        <v>15810</v>
      </c>
      <c r="K141" s="98" t="s">
        <v>15809</v>
      </c>
    </row>
    <row r="142" spans="1:11" ht="17.5" x14ac:dyDescent="0.45">
      <c r="A142" s="104"/>
      <c r="B142" s="106"/>
      <c r="C142" s="110" t="s">
        <v>15808</v>
      </c>
      <c r="D142" s="102" t="s">
        <v>15807</v>
      </c>
      <c r="E142" s="106" t="s">
        <v>15806</v>
      </c>
      <c r="F142" s="107" t="s">
        <v>244</v>
      </c>
      <c r="G142" s="98" t="s">
        <v>15805</v>
      </c>
      <c r="H142" s="99" t="s">
        <v>15804</v>
      </c>
      <c r="I142" s="100" t="s">
        <v>14228</v>
      </c>
      <c r="J142" s="98" t="s">
        <v>15803</v>
      </c>
      <c r="K142" s="99" t="s">
        <v>15802</v>
      </c>
    </row>
    <row r="143" spans="1:11" ht="17.5" x14ac:dyDescent="0.45">
      <c r="A143" s="104"/>
      <c r="B143" s="106"/>
      <c r="C143" s="108"/>
      <c r="D143" s="102"/>
      <c r="E143" s="106"/>
      <c r="F143" s="105" t="s">
        <v>65</v>
      </c>
      <c r="G143" s="99" t="s">
        <v>15801</v>
      </c>
      <c r="H143" s="98" t="s">
        <v>15800</v>
      </c>
      <c r="I143" s="100" t="s">
        <v>14217</v>
      </c>
      <c r="J143" s="99" t="s">
        <v>15799</v>
      </c>
      <c r="K143" s="98" t="s">
        <v>15798</v>
      </c>
    </row>
    <row r="144" spans="1:11" ht="17.5" x14ac:dyDescent="0.45">
      <c r="A144" s="104"/>
      <c r="B144" s="106"/>
      <c r="C144" s="108"/>
      <c r="D144" s="106" t="s">
        <v>15797</v>
      </c>
      <c r="E144" s="102" t="s">
        <v>15796</v>
      </c>
      <c r="F144" s="107" t="s">
        <v>244</v>
      </c>
      <c r="G144" s="98" t="s">
        <v>1997</v>
      </c>
      <c r="H144" s="99" t="s">
        <v>15795</v>
      </c>
      <c r="I144" s="100" t="s">
        <v>14212</v>
      </c>
      <c r="J144" s="98" t="s">
        <v>15794</v>
      </c>
      <c r="K144" s="99" t="s">
        <v>15793</v>
      </c>
    </row>
    <row r="145" spans="1:11" ht="17.5" x14ac:dyDescent="0.45">
      <c r="A145" s="104"/>
      <c r="B145" s="106"/>
      <c r="C145" s="108"/>
      <c r="D145" s="106"/>
      <c r="E145" s="102"/>
      <c r="F145" s="105" t="s">
        <v>65</v>
      </c>
      <c r="G145" s="99" t="s">
        <v>15792</v>
      </c>
      <c r="H145" s="98" t="s">
        <v>15791</v>
      </c>
      <c r="I145" s="100" t="s">
        <v>14245</v>
      </c>
      <c r="J145" s="99" t="s">
        <v>15790</v>
      </c>
      <c r="K145" s="98" t="s">
        <v>15789</v>
      </c>
    </row>
    <row r="146" spans="1:11" ht="17.5" x14ac:dyDescent="0.45">
      <c r="A146" s="104"/>
      <c r="B146" s="106"/>
      <c r="C146" s="108"/>
      <c r="D146" s="102" t="s">
        <v>15788</v>
      </c>
      <c r="E146" s="106" t="s">
        <v>15787</v>
      </c>
      <c r="F146" s="107" t="s">
        <v>244</v>
      </c>
      <c r="G146" s="98" t="s">
        <v>15786</v>
      </c>
      <c r="H146" s="99" t="s">
        <v>15785</v>
      </c>
      <c r="I146" s="100" t="s">
        <v>14217</v>
      </c>
      <c r="J146" s="98" t="s">
        <v>15784</v>
      </c>
      <c r="K146" s="99" t="s">
        <v>15783</v>
      </c>
    </row>
    <row r="147" spans="1:11" ht="17.5" x14ac:dyDescent="0.45">
      <c r="A147" s="104"/>
      <c r="B147" s="106"/>
      <c r="C147" s="108"/>
      <c r="D147" s="102"/>
      <c r="E147" s="106"/>
      <c r="F147" s="105" t="s">
        <v>65</v>
      </c>
      <c r="G147" s="99" t="s">
        <v>15782</v>
      </c>
      <c r="H147" s="98" t="s">
        <v>15781</v>
      </c>
      <c r="I147" s="100" t="s">
        <v>14212</v>
      </c>
      <c r="J147" s="99" t="s">
        <v>15780</v>
      </c>
      <c r="K147" s="98" t="s">
        <v>15779</v>
      </c>
    </row>
    <row r="148" spans="1:11" ht="17.5" x14ac:dyDescent="0.45">
      <c r="A148" s="104"/>
      <c r="B148" s="106"/>
      <c r="C148" s="108"/>
      <c r="D148" s="106" t="s">
        <v>15778</v>
      </c>
      <c r="E148" s="102" t="s">
        <v>15777</v>
      </c>
      <c r="F148" s="107" t="s">
        <v>244</v>
      </c>
      <c r="G148" s="98" t="s">
        <v>14317</v>
      </c>
      <c r="H148" s="99" t="s">
        <v>15776</v>
      </c>
      <c r="I148" s="100" t="s">
        <v>14228</v>
      </c>
      <c r="J148" s="98" t="s">
        <v>15775</v>
      </c>
      <c r="K148" s="99" t="s">
        <v>15774</v>
      </c>
    </row>
    <row r="149" spans="1:11" ht="17.5" x14ac:dyDescent="0.45">
      <c r="A149" s="104"/>
      <c r="B149" s="106"/>
      <c r="C149" s="108"/>
      <c r="D149" s="106"/>
      <c r="E149" s="102"/>
      <c r="F149" s="105" t="s">
        <v>65</v>
      </c>
      <c r="G149" s="99" t="s">
        <v>15308</v>
      </c>
      <c r="H149" s="98" t="s">
        <v>15773</v>
      </c>
      <c r="I149" s="100" t="s">
        <v>14217</v>
      </c>
      <c r="J149" s="99" t="s">
        <v>15772</v>
      </c>
      <c r="K149" s="98" t="s">
        <v>15771</v>
      </c>
    </row>
    <row r="150" spans="1:11" ht="17.5" x14ac:dyDescent="0.45">
      <c r="A150" s="104"/>
      <c r="B150" s="106"/>
      <c r="C150" s="108"/>
      <c r="D150" s="102" t="s">
        <v>15770</v>
      </c>
      <c r="E150" s="106" t="s">
        <v>15769</v>
      </c>
      <c r="F150" s="107" t="s">
        <v>65</v>
      </c>
      <c r="G150" s="98" t="s">
        <v>15302</v>
      </c>
      <c r="H150" s="99" t="s">
        <v>15768</v>
      </c>
      <c r="I150" s="100" t="s">
        <v>14217</v>
      </c>
      <c r="J150" s="98" t="s">
        <v>15767</v>
      </c>
      <c r="K150" s="99" t="s">
        <v>15766</v>
      </c>
    </row>
    <row r="151" spans="1:11" ht="17.5" x14ac:dyDescent="0.45">
      <c r="A151" s="104"/>
      <c r="B151" s="106"/>
      <c r="C151" s="108"/>
      <c r="D151" s="102"/>
      <c r="E151" s="106"/>
      <c r="F151" s="105" t="s">
        <v>244</v>
      </c>
      <c r="G151" s="99" t="s">
        <v>15298</v>
      </c>
      <c r="H151" s="98" t="s">
        <v>15765</v>
      </c>
      <c r="I151" s="100" t="s">
        <v>14212</v>
      </c>
      <c r="J151" s="99" t="s">
        <v>15764</v>
      </c>
      <c r="K151" s="98" t="s">
        <v>15763</v>
      </c>
    </row>
    <row r="152" spans="1:11" ht="17.5" x14ac:dyDescent="0.45">
      <c r="A152" s="104"/>
      <c r="B152" s="106"/>
      <c r="C152" s="109" t="s">
        <v>15762</v>
      </c>
      <c r="D152" s="106" t="s">
        <v>15761</v>
      </c>
      <c r="E152" s="102" t="s">
        <v>15760</v>
      </c>
      <c r="F152" s="107" t="s">
        <v>65</v>
      </c>
      <c r="G152" s="98" t="s">
        <v>15759</v>
      </c>
      <c r="H152" s="99" t="s">
        <v>15758</v>
      </c>
      <c r="I152" s="100" t="s">
        <v>14228</v>
      </c>
      <c r="J152" s="98" t="s">
        <v>15757</v>
      </c>
      <c r="K152" s="99" t="s">
        <v>15756</v>
      </c>
    </row>
    <row r="153" spans="1:11" ht="17.5" x14ac:dyDescent="0.45">
      <c r="A153" s="104"/>
      <c r="B153" s="106"/>
      <c r="C153" s="103"/>
      <c r="D153" s="106"/>
      <c r="E153" s="102"/>
      <c r="F153" s="105" t="s">
        <v>244</v>
      </c>
      <c r="G153" s="99" t="s">
        <v>15755</v>
      </c>
      <c r="H153" s="98" t="s">
        <v>15754</v>
      </c>
      <c r="I153" s="100" t="s">
        <v>14217</v>
      </c>
      <c r="J153" s="99" t="s">
        <v>15753</v>
      </c>
      <c r="K153" s="98" t="s">
        <v>15752</v>
      </c>
    </row>
    <row r="154" spans="1:11" ht="17.5" x14ac:dyDescent="0.45">
      <c r="A154" s="104"/>
      <c r="B154" s="106"/>
      <c r="C154" s="103"/>
      <c r="D154" s="102" t="s">
        <v>15751</v>
      </c>
      <c r="E154" s="106" t="s">
        <v>15750</v>
      </c>
      <c r="F154" s="107" t="s">
        <v>244</v>
      </c>
      <c r="G154" s="98" t="s">
        <v>15749</v>
      </c>
      <c r="H154" s="99" t="s">
        <v>15748</v>
      </c>
      <c r="I154" s="100" t="s">
        <v>14326</v>
      </c>
      <c r="J154" s="98" t="s">
        <v>15747</v>
      </c>
      <c r="K154" s="99" t="s">
        <v>15746</v>
      </c>
    </row>
    <row r="155" spans="1:11" ht="17.5" x14ac:dyDescent="0.45">
      <c r="A155" s="104"/>
      <c r="B155" s="106"/>
      <c r="C155" s="103"/>
      <c r="D155" s="102"/>
      <c r="E155" s="106"/>
      <c r="F155" s="105" t="s">
        <v>65</v>
      </c>
      <c r="G155" s="99" t="s">
        <v>15745</v>
      </c>
      <c r="H155" s="98" t="s">
        <v>15744</v>
      </c>
      <c r="I155" s="100" t="s">
        <v>14212</v>
      </c>
      <c r="J155" s="99" t="s">
        <v>15743</v>
      </c>
      <c r="K155" s="98" t="s">
        <v>15742</v>
      </c>
    </row>
    <row r="156" spans="1:11" ht="17.5" x14ac:dyDescent="0.45">
      <c r="A156" s="104"/>
      <c r="B156" s="106"/>
      <c r="C156" s="103"/>
      <c r="D156" s="106" t="s">
        <v>15741</v>
      </c>
      <c r="E156" s="102" t="s">
        <v>15740</v>
      </c>
      <c r="F156" s="107" t="s">
        <v>65</v>
      </c>
      <c r="G156" s="98" t="s">
        <v>15739</v>
      </c>
      <c r="H156" s="99" t="s">
        <v>15738</v>
      </c>
      <c r="I156" s="100" t="s">
        <v>14217</v>
      </c>
      <c r="J156" s="98" t="s">
        <v>15737</v>
      </c>
      <c r="K156" s="99" t="s">
        <v>15736</v>
      </c>
    </row>
    <row r="157" spans="1:11" ht="17.5" x14ac:dyDescent="0.45">
      <c r="A157" s="104"/>
      <c r="B157" s="106"/>
      <c r="C157" s="103"/>
      <c r="D157" s="106"/>
      <c r="E157" s="102"/>
      <c r="F157" s="105" t="s">
        <v>244</v>
      </c>
      <c r="G157" s="99" t="s">
        <v>15735</v>
      </c>
      <c r="H157" s="98" t="s">
        <v>15734</v>
      </c>
      <c r="I157" s="100" t="s">
        <v>14228</v>
      </c>
      <c r="J157" s="99" t="s">
        <v>15733</v>
      </c>
      <c r="K157" s="98" t="s">
        <v>15732</v>
      </c>
    </row>
    <row r="158" spans="1:11" ht="17.5" x14ac:dyDescent="0.45">
      <c r="A158" s="104"/>
      <c r="B158" s="106"/>
      <c r="C158" s="103"/>
      <c r="D158" s="102" t="s">
        <v>15731</v>
      </c>
      <c r="E158" s="106" t="s">
        <v>15730</v>
      </c>
      <c r="F158" s="107" t="s">
        <v>244</v>
      </c>
      <c r="G158" s="98" t="s">
        <v>15729</v>
      </c>
      <c r="H158" s="99" t="s">
        <v>15728</v>
      </c>
      <c r="I158" s="100" t="s">
        <v>14212</v>
      </c>
      <c r="J158" s="98" t="s">
        <v>15727</v>
      </c>
      <c r="K158" s="99" t="s">
        <v>15726</v>
      </c>
    </row>
    <row r="159" spans="1:11" ht="17.5" x14ac:dyDescent="0.45">
      <c r="A159" s="104"/>
      <c r="B159" s="106"/>
      <c r="C159" s="103"/>
      <c r="D159" s="102"/>
      <c r="E159" s="106"/>
      <c r="F159" s="105" t="s">
        <v>65</v>
      </c>
      <c r="G159" s="99" t="s">
        <v>15725</v>
      </c>
      <c r="H159" s="98" t="s">
        <v>15724</v>
      </c>
      <c r="I159" s="100" t="s">
        <v>14217</v>
      </c>
      <c r="J159" s="99" t="s">
        <v>15723</v>
      </c>
      <c r="K159" s="98" t="s">
        <v>15722</v>
      </c>
    </row>
    <row r="160" spans="1:11" ht="17.5" x14ac:dyDescent="0.45">
      <c r="A160" s="104"/>
      <c r="B160" s="106"/>
      <c r="C160" s="103"/>
      <c r="D160" s="106" t="s">
        <v>15721</v>
      </c>
      <c r="E160" s="102" t="s">
        <v>15720</v>
      </c>
      <c r="F160" s="107" t="s">
        <v>244</v>
      </c>
      <c r="G160" s="98" t="s">
        <v>15719</v>
      </c>
      <c r="H160" s="99" t="s">
        <v>15718</v>
      </c>
      <c r="I160" s="100" t="s">
        <v>14245</v>
      </c>
      <c r="J160" s="98" t="s">
        <v>15717</v>
      </c>
      <c r="K160" s="99" t="s">
        <v>15716</v>
      </c>
    </row>
    <row r="161" spans="1:11" ht="17.5" x14ac:dyDescent="0.45">
      <c r="A161" s="104"/>
      <c r="B161" s="106"/>
      <c r="C161" s="103"/>
      <c r="D161" s="106"/>
      <c r="E161" s="102"/>
      <c r="F161" s="105" t="s">
        <v>65</v>
      </c>
      <c r="G161" s="99" t="s">
        <v>15715</v>
      </c>
      <c r="H161" s="98" t="s">
        <v>15714</v>
      </c>
      <c r="I161" s="100" t="s">
        <v>14212</v>
      </c>
      <c r="J161" s="99" t="s">
        <v>15713</v>
      </c>
      <c r="K161" s="98" t="s">
        <v>15712</v>
      </c>
    </row>
    <row r="162" spans="1:11" ht="17.5" x14ac:dyDescent="0.45">
      <c r="A162" s="104"/>
      <c r="B162" s="106"/>
      <c r="C162" s="108" t="s">
        <v>15711</v>
      </c>
      <c r="D162" s="102" t="s">
        <v>15710</v>
      </c>
      <c r="E162" s="106" t="s">
        <v>15709</v>
      </c>
      <c r="F162" s="107" t="s">
        <v>65</v>
      </c>
      <c r="G162" s="98" t="s">
        <v>15708</v>
      </c>
      <c r="H162" s="99" t="s">
        <v>15707</v>
      </c>
      <c r="I162" s="100" t="s">
        <v>14217</v>
      </c>
      <c r="J162" s="98" t="s">
        <v>15706</v>
      </c>
      <c r="K162" s="99" t="s">
        <v>15705</v>
      </c>
    </row>
    <row r="163" spans="1:11" ht="17.5" x14ac:dyDescent="0.45">
      <c r="A163" s="104"/>
      <c r="B163" s="106"/>
      <c r="C163" s="108"/>
      <c r="D163" s="102"/>
      <c r="E163" s="106"/>
      <c r="F163" s="105" t="s">
        <v>244</v>
      </c>
      <c r="G163" s="99" t="s">
        <v>15704</v>
      </c>
      <c r="H163" s="98" t="s">
        <v>15703</v>
      </c>
      <c r="I163" s="100" t="s">
        <v>14228</v>
      </c>
      <c r="J163" s="99" t="s">
        <v>15702</v>
      </c>
      <c r="K163" s="98" t="s">
        <v>15701</v>
      </c>
    </row>
    <row r="164" spans="1:11" ht="17.5" x14ac:dyDescent="0.45">
      <c r="A164" s="104"/>
      <c r="B164" s="106"/>
      <c r="C164" s="108"/>
      <c r="D164" s="106" t="s">
        <v>15700</v>
      </c>
      <c r="E164" s="102" t="s">
        <v>15699</v>
      </c>
      <c r="F164" s="107" t="s">
        <v>65</v>
      </c>
      <c r="G164" s="98" t="s">
        <v>15698</v>
      </c>
      <c r="H164" s="99" t="s">
        <v>15697</v>
      </c>
      <c r="I164" s="100" t="s">
        <v>14217</v>
      </c>
      <c r="J164" s="98" t="s">
        <v>15696</v>
      </c>
      <c r="K164" s="99" t="s">
        <v>15695</v>
      </c>
    </row>
    <row r="165" spans="1:11" ht="17.5" x14ac:dyDescent="0.45">
      <c r="A165" s="104"/>
      <c r="B165" s="106"/>
      <c r="C165" s="108"/>
      <c r="D165" s="106"/>
      <c r="E165" s="102"/>
      <c r="F165" s="105" t="s">
        <v>244</v>
      </c>
      <c r="G165" s="99" t="s">
        <v>15694</v>
      </c>
      <c r="H165" s="98" t="s">
        <v>15693</v>
      </c>
      <c r="I165" s="100" t="s">
        <v>14217</v>
      </c>
      <c r="J165" s="99" t="s">
        <v>15692</v>
      </c>
      <c r="K165" s="98" t="s">
        <v>15691</v>
      </c>
    </row>
    <row r="166" spans="1:11" ht="17.5" x14ac:dyDescent="0.45">
      <c r="A166" s="104"/>
      <c r="B166" s="106"/>
      <c r="C166" s="108"/>
      <c r="D166" s="102" t="s">
        <v>15690</v>
      </c>
      <c r="E166" s="106" t="s">
        <v>15689</v>
      </c>
      <c r="F166" s="107" t="s">
        <v>244</v>
      </c>
      <c r="G166" s="98" t="s">
        <v>15688</v>
      </c>
      <c r="H166" s="99" t="s">
        <v>15687</v>
      </c>
      <c r="I166" s="100" t="s">
        <v>14212</v>
      </c>
      <c r="J166" s="98" t="s">
        <v>15686</v>
      </c>
      <c r="K166" s="99" t="s">
        <v>15685</v>
      </c>
    </row>
    <row r="167" spans="1:11" ht="17.5" x14ac:dyDescent="0.45">
      <c r="A167" s="104"/>
      <c r="B167" s="106"/>
      <c r="C167" s="108"/>
      <c r="D167" s="102"/>
      <c r="E167" s="106"/>
      <c r="F167" s="105" t="s">
        <v>65</v>
      </c>
      <c r="G167" s="99" t="s">
        <v>15684</v>
      </c>
      <c r="H167" s="98" t="s">
        <v>15683</v>
      </c>
      <c r="I167" s="100" t="s">
        <v>14228</v>
      </c>
      <c r="J167" s="99" t="s">
        <v>15682</v>
      </c>
      <c r="K167" s="98" t="s">
        <v>15681</v>
      </c>
    </row>
    <row r="168" spans="1:11" ht="17.5" x14ac:dyDescent="0.45">
      <c r="A168" s="104"/>
      <c r="B168" s="106"/>
      <c r="C168" s="108"/>
      <c r="D168" s="106" t="s">
        <v>15680</v>
      </c>
      <c r="E168" s="102" t="s">
        <v>15679</v>
      </c>
      <c r="F168" s="107" t="s">
        <v>65</v>
      </c>
      <c r="G168" s="98" t="s">
        <v>12528</v>
      </c>
      <c r="H168" s="99" t="s">
        <v>685</v>
      </c>
      <c r="I168" s="100" t="s">
        <v>14217</v>
      </c>
      <c r="J168" s="98" t="s">
        <v>15678</v>
      </c>
      <c r="K168" s="99" t="s">
        <v>15677</v>
      </c>
    </row>
    <row r="169" spans="1:11" ht="17.5" x14ac:dyDescent="0.45">
      <c r="A169" s="104"/>
      <c r="B169" s="106"/>
      <c r="C169" s="108"/>
      <c r="D169" s="106"/>
      <c r="E169" s="102"/>
      <c r="F169" s="105" t="s">
        <v>244</v>
      </c>
      <c r="G169" s="99" t="s">
        <v>15676</v>
      </c>
      <c r="H169" s="98" t="s">
        <v>15675</v>
      </c>
      <c r="I169" s="100" t="s">
        <v>14212</v>
      </c>
      <c r="J169" s="99" t="s">
        <v>15674</v>
      </c>
      <c r="K169" s="98" t="s">
        <v>15673</v>
      </c>
    </row>
    <row r="170" spans="1:11" ht="17.5" x14ac:dyDescent="0.45">
      <c r="A170" s="104"/>
      <c r="B170" s="106"/>
      <c r="C170" s="108"/>
      <c r="D170" s="102" t="s">
        <v>15672</v>
      </c>
      <c r="E170" s="106" t="s">
        <v>15671</v>
      </c>
      <c r="F170" s="107" t="s">
        <v>65</v>
      </c>
      <c r="G170" s="98" t="s">
        <v>15670</v>
      </c>
      <c r="H170" s="99" t="s">
        <v>15669</v>
      </c>
      <c r="I170" s="100" t="s">
        <v>14245</v>
      </c>
      <c r="J170" s="98" t="s">
        <v>15668</v>
      </c>
      <c r="K170" s="99" t="s">
        <v>15667</v>
      </c>
    </row>
    <row r="171" spans="1:11" ht="17.5" x14ac:dyDescent="0.45">
      <c r="A171" s="104"/>
      <c r="B171" s="106"/>
      <c r="C171" s="108"/>
      <c r="D171" s="102"/>
      <c r="E171" s="106"/>
      <c r="F171" s="105" t="s">
        <v>244</v>
      </c>
      <c r="G171" s="99" t="s">
        <v>15666</v>
      </c>
      <c r="H171" s="98" t="s">
        <v>15665</v>
      </c>
      <c r="I171" s="100" t="s">
        <v>14217</v>
      </c>
      <c r="J171" s="99" t="s">
        <v>15664</v>
      </c>
      <c r="K171" s="98" t="s">
        <v>15663</v>
      </c>
    </row>
    <row r="172" spans="1:11" ht="17.5" x14ac:dyDescent="0.45">
      <c r="A172" s="104"/>
      <c r="B172" s="106"/>
      <c r="C172" s="103" t="s">
        <v>15662</v>
      </c>
      <c r="D172" s="106" t="s">
        <v>15661</v>
      </c>
      <c r="E172" s="102" t="s">
        <v>15660</v>
      </c>
      <c r="F172" s="107" t="s">
        <v>65</v>
      </c>
      <c r="G172" s="98" t="s">
        <v>15659</v>
      </c>
      <c r="H172" s="99" t="s">
        <v>15658</v>
      </c>
      <c r="I172" s="100" t="s">
        <v>14212</v>
      </c>
      <c r="J172" s="98" t="s">
        <v>15657</v>
      </c>
      <c r="K172" s="99" t="s">
        <v>15656</v>
      </c>
    </row>
    <row r="173" spans="1:11" ht="17.5" x14ac:dyDescent="0.45">
      <c r="A173" s="104"/>
      <c r="B173" s="106"/>
      <c r="C173" s="103"/>
      <c r="D173" s="106"/>
      <c r="E173" s="102"/>
      <c r="F173" s="105" t="s">
        <v>244</v>
      </c>
      <c r="G173" s="99" t="s">
        <v>15655</v>
      </c>
      <c r="H173" s="98" t="s">
        <v>15654</v>
      </c>
      <c r="I173" s="100" t="s">
        <v>14228</v>
      </c>
      <c r="J173" s="99" t="s">
        <v>15653</v>
      </c>
      <c r="K173" s="98" t="s">
        <v>15652</v>
      </c>
    </row>
    <row r="174" spans="1:11" ht="17.5" x14ac:dyDescent="0.45">
      <c r="A174" s="104"/>
      <c r="B174" s="106"/>
      <c r="C174" s="103"/>
      <c r="D174" s="102" t="s">
        <v>15651</v>
      </c>
      <c r="E174" s="106" t="s">
        <v>15650</v>
      </c>
      <c r="F174" s="107" t="s">
        <v>244</v>
      </c>
      <c r="G174" s="98" t="s">
        <v>15649</v>
      </c>
      <c r="H174" s="99" t="s">
        <v>15648</v>
      </c>
      <c r="I174" s="100" t="s">
        <v>14217</v>
      </c>
      <c r="J174" s="98" t="s">
        <v>15647</v>
      </c>
      <c r="K174" s="99" t="s">
        <v>15646</v>
      </c>
    </row>
    <row r="175" spans="1:11" ht="17.5" x14ac:dyDescent="0.45">
      <c r="A175" s="104"/>
      <c r="B175" s="106"/>
      <c r="C175" s="103"/>
      <c r="D175" s="102"/>
      <c r="E175" s="106"/>
      <c r="F175" s="105" t="s">
        <v>65</v>
      </c>
      <c r="G175" s="99" t="s">
        <v>15645</v>
      </c>
      <c r="H175" s="98" t="s">
        <v>15644</v>
      </c>
      <c r="I175" s="100" t="s">
        <v>14217</v>
      </c>
      <c r="J175" s="99" t="s">
        <v>15643</v>
      </c>
      <c r="K175" s="98" t="s">
        <v>15642</v>
      </c>
    </row>
    <row r="176" spans="1:11" ht="17.5" x14ac:dyDescent="0.45">
      <c r="A176" s="104"/>
      <c r="B176" s="106"/>
      <c r="C176" s="103"/>
      <c r="D176" s="106" t="s">
        <v>15641</v>
      </c>
      <c r="E176" s="102" t="s">
        <v>15640</v>
      </c>
      <c r="F176" s="107" t="s">
        <v>244</v>
      </c>
      <c r="G176" s="98" t="s">
        <v>14420</v>
      </c>
      <c r="H176" s="99" t="s">
        <v>15639</v>
      </c>
      <c r="I176" s="100" t="s">
        <v>14212</v>
      </c>
      <c r="J176" s="98" t="s">
        <v>15638</v>
      </c>
      <c r="K176" s="99" t="s">
        <v>15637</v>
      </c>
    </row>
    <row r="177" spans="1:11" ht="17.5" x14ac:dyDescent="0.45">
      <c r="A177" s="104"/>
      <c r="B177" s="106"/>
      <c r="C177" s="103"/>
      <c r="D177" s="106"/>
      <c r="E177" s="102"/>
      <c r="F177" s="105" t="s">
        <v>65</v>
      </c>
      <c r="G177" s="99" t="s">
        <v>15636</v>
      </c>
      <c r="H177" s="98" t="s">
        <v>15635</v>
      </c>
      <c r="I177" s="100" t="s">
        <v>14228</v>
      </c>
      <c r="J177" s="99" t="s">
        <v>15634</v>
      </c>
      <c r="K177" s="98" t="s">
        <v>15633</v>
      </c>
    </row>
    <row r="178" spans="1:11" ht="17.5" x14ac:dyDescent="0.45">
      <c r="A178" s="104"/>
      <c r="B178" s="106"/>
      <c r="C178" s="103"/>
      <c r="D178" s="102" t="s">
        <v>15632</v>
      </c>
      <c r="E178" s="106" t="s">
        <v>15631</v>
      </c>
      <c r="F178" s="107" t="s">
        <v>65</v>
      </c>
      <c r="G178" s="98" t="s">
        <v>15630</v>
      </c>
      <c r="H178" s="99" t="s">
        <v>15629</v>
      </c>
      <c r="I178" s="100" t="s">
        <v>14217</v>
      </c>
      <c r="J178" s="98" t="s">
        <v>15628</v>
      </c>
      <c r="K178" s="99" t="s">
        <v>15627</v>
      </c>
    </row>
    <row r="179" spans="1:11" ht="17.5" x14ac:dyDescent="0.45">
      <c r="A179" s="104"/>
      <c r="B179" s="106"/>
      <c r="C179" s="103"/>
      <c r="D179" s="102"/>
      <c r="E179" s="106"/>
      <c r="F179" s="105" t="s">
        <v>244</v>
      </c>
      <c r="G179" s="99" t="s">
        <v>15626</v>
      </c>
      <c r="H179" s="98" t="s">
        <v>15625</v>
      </c>
      <c r="I179" s="100" t="s">
        <v>14326</v>
      </c>
      <c r="J179" s="99" t="s">
        <v>15624</v>
      </c>
      <c r="K179" s="98" t="s">
        <v>15623</v>
      </c>
    </row>
    <row r="180" spans="1:11" ht="17.5" x14ac:dyDescent="0.45">
      <c r="A180" s="104"/>
      <c r="B180" s="106"/>
      <c r="C180" s="103"/>
      <c r="D180" s="106" t="s">
        <v>15622</v>
      </c>
      <c r="E180" s="102" t="s">
        <v>15621</v>
      </c>
      <c r="F180" s="107" t="s">
        <v>244</v>
      </c>
      <c r="G180" s="98" t="s">
        <v>15131</v>
      </c>
      <c r="H180" s="99" t="s">
        <v>15620</v>
      </c>
      <c r="I180" s="100" t="s">
        <v>14212</v>
      </c>
      <c r="J180" s="98" t="s">
        <v>15619</v>
      </c>
      <c r="K180" s="99" t="s">
        <v>15618</v>
      </c>
    </row>
    <row r="181" spans="1:11" ht="17.5" x14ac:dyDescent="0.45">
      <c r="A181" s="104"/>
      <c r="B181" s="106"/>
      <c r="C181" s="103"/>
      <c r="D181" s="106"/>
      <c r="E181" s="102"/>
      <c r="F181" s="105" t="s">
        <v>65</v>
      </c>
      <c r="G181" s="99" t="s">
        <v>15617</v>
      </c>
      <c r="H181" s="98" t="s">
        <v>15616</v>
      </c>
      <c r="I181" s="100" t="s">
        <v>14217</v>
      </c>
      <c r="J181" s="99" t="s">
        <v>15615</v>
      </c>
      <c r="K181" s="98" t="s">
        <v>15614</v>
      </c>
    </row>
    <row r="182" spans="1:11" ht="17.5" x14ac:dyDescent="0.45">
      <c r="A182" s="104"/>
      <c r="B182" s="102" t="s">
        <v>14567</v>
      </c>
      <c r="C182" s="110" t="s">
        <v>15613</v>
      </c>
      <c r="D182" s="106" t="s">
        <v>15612</v>
      </c>
      <c r="E182" s="106" t="s">
        <v>15611</v>
      </c>
      <c r="F182" s="107" t="s">
        <v>244</v>
      </c>
      <c r="G182" s="98" t="s">
        <v>15120</v>
      </c>
      <c r="H182" s="99" t="s">
        <v>15610</v>
      </c>
      <c r="I182" s="100" t="s">
        <v>14228</v>
      </c>
      <c r="J182" s="98" t="s">
        <v>15609</v>
      </c>
      <c r="K182" s="99" t="s">
        <v>15608</v>
      </c>
    </row>
    <row r="183" spans="1:11" ht="17.5" x14ac:dyDescent="0.45">
      <c r="A183" s="104"/>
      <c r="B183" s="102"/>
      <c r="C183" s="108"/>
      <c r="D183" s="106"/>
      <c r="E183" s="106"/>
      <c r="F183" s="105" t="s">
        <v>65</v>
      </c>
      <c r="G183" s="99" t="s">
        <v>15607</v>
      </c>
      <c r="H183" s="98" t="s">
        <v>15606</v>
      </c>
      <c r="I183" s="100" t="s">
        <v>14212</v>
      </c>
      <c r="J183" s="99" t="s">
        <v>15605</v>
      </c>
      <c r="K183" s="98" t="s">
        <v>15604</v>
      </c>
    </row>
    <row r="184" spans="1:11" ht="17.5" x14ac:dyDescent="0.45">
      <c r="A184" s="104"/>
      <c r="B184" s="102"/>
      <c r="C184" s="108"/>
      <c r="D184" s="102" t="s">
        <v>15603</v>
      </c>
      <c r="E184" s="102" t="s">
        <v>15602</v>
      </c>
      <c r="F184" s="107" t="s">
        <v>244</v>
      </c>
      <c r="G184" s="98" t="s">
        <v>9968</v>
      </c>
      <c r="H184" s="99" t="s">
        <v>15601</v>
      </c>
      <c r="I184" s="100" t="s">
        <v>14217</v>
      </c>
      <c r="J184" s="98" t="s">
        <v>15600</v>
      </c>
      <c r="K184" s="99" t="s">
        <v>15599</v>
      </c>
    </row>
    <row r="185" spans="1:11" ht="17.5" x14ac:dyDescent="0.45">
      <c r="A185" s="104"/>
      <c r="B185" s="102"/>
      <c r="C185" s="108"/>
      <c r="D185" s="102"/>
      <c r="E185" s="102"/>
      <c r="F185" s="105" t="s">
        <v>65</v>
      </c>
      <c r="G185" s="99" t="s">
        <v>15598</v>
      </c>
      <c r="H185" s="98" t="s">
        <v>15597</v>
      </c>
      <c r="I185" s="100" t="s">
        <v>14245</v>
      </c>
      <c r="J185" s="99" t="s">
        <v>15596</v>
      </c>
      <c r="K185" s="98" t="s">
        <v>15595</v>
      </c>
    </row>
    <row r="186" spans="1:11" ht="17.5" x14ac:dyDescent="0.45">
      <c r="A186" s="104"/>
      <c r="B186" s="102"/>
      <c r="C186" s="108"/>
      <c r="D186" s="106" t="s">
        <v>15594</v>
      </c>
      <c r="E186" s="106" t="s">
        <v>15593</v>
      </c>
      <c r="F186" s="107" t="s">
        <v>65</v>
      </c>
      <c r="G186" s="98" t="s">
        <v>15592</v>
      </c>
      <c r="H186" s="99" t="s">
        <v>15591</v>
      </c>
      <c r="I186" s="100" t="s">
        <v>14212</v>
      </c>
      <c r="J186" s="98" t="s">
        <v>15590</v>
      </c>
      <c r="K186" s="99" t="s">
        <v>15589</v>
      </c>
    </row>
    <row r="187" spans="1:11" ht="17.5" x14ac:dyDescent="0.45">
      <c r="A187" s="104"/>
      <c r="B187" s="102"/>
      <c r="C187" s="108"/>
      <c r="D187" s="106"/>
      <c r="E187" s="106"/>
      <c r="F187" s="105" t="s">
        <v>244</v>
      </c>
      <c r="G187" s="99" t="s">
        <v>15588</v>
      </c>
      <c r="H187" s="98" t="s">
        <v>15587</v>
      </c>
      <c r="I187" s="100" t="s">
        <v>14217</v>
      </c>
      <c r="J187" s="99" t="s">
        <v>15586</v>
      </c>
      <c r="K187" s="98" t="s">
        <v>15585</v>
      </c>
    </row>
    <row r="188" spans="1:11" ht="17.5" x14ac:dyDescent="0.45">
      <c r="A188" s="104"/>
      <c r="B188" s="102"/>
      <c r="C188" s="108"/>
      <c r="D188" s="102" t="s">
        <v>15584</v>
      </c>
      <c r="E188" s="102" t="s">
        <v>15583</v>
      </c>
      <c r="F188" s="107" t="s">
        <v>65</v>
      </c>
      <c r="G188" s="98" t="s">
        <v>15582</v>
      </c>
      <c r="H188" s="99" t="s">
        <v>15581</v>
      </c>
      <c r="I188" s="100" t="s">
        <v>14228</v>
      </c>
      <c r="J188" s="98" t="s">
        <v>15580</v>
      </c>
      <c r="K188" s="99" t="s">
        <v>15579</v>
      </c>
    </row>
    <row r="189" spans="1:11" ht="17.5" x14ac:dyDescent="0.45">
      <c r="A189" s="104"/>
      <c r="B189" s="102"/>
      <c r="C189" s="108"/>
      <c r="D189" s="102"/>
      <c r="E189" s="102"/>
      <c r="F189" s="105" t="s">
        <v>244</v>
      </c>
      <c r="G189" s="99" t="s">
        <v>15578</v>
      </c>
      <c r="H189" s="98" t="s">
        <v>15577</v>
      </c>
      <c r="I189" s="100" t="s">
        <v>14217</v>
      </c>
      <c r="J189" s="99" t="s">
        <v>15576</v>
      </c>
      <c r="K189" s="98" t="s">
        <v>15575</v>
      </c>
    </row>
    <row r="190" spans="1:11" ht="17.5" x14ac:dyDescent="0.45">
      <c r="A190" s="104"/>
      <c r="B190" s="102"/>
      <c r="C190" s="108"/>
      <c r="D190" s="106" t="s">
        <v>15574</v>
      </c>
      <c r="E190" s="106" t="s">
        <v>15573</v>
      </c>
      <c r="F190" s="107" t="s">
        <v>244</v>
      </c>
      <c r="G190" s="98" t="s">
        <v>15572</v>
      </c>
      <c r="H190" s="99" t="s">
        <v>15571</v>
      </c>
      <c r="I190" s="100" t="s">
        <v>14217</v>
      </c>
      <c r="J190" s="98" t="s">
        <v>15570</v>
      </c>
      <c r="K190" s="99" t="s">
        <v>15569</v>
      </c>
    </row>
    <row r="191" spans="1:11" ht="17.5" x14ac:dyDescent="0.45">
      <c r="A191" s="104"/>
      <c r="B191" s="102"/>
      <c r="C191" s="108"/>
      <c r="D191" s="106"/>
      <c r="E191" s="106"/>
      <c r="F191" s="105" t="s">
        <v>65</v>
      </c>
      <c r="G191" s="99" t="s">
        <v>15076</v>
      </c>
      <c r="H191" s="98" t="s">
        <v>15568</v>
      </c>
      <c r="I191" s="100" t="s">
        <v>14212</v>
      </c>
      <c r="J191" s="99" t="s">
        <v>15567</v>
      </c>
      <c r="K191" s="98" t="s">
        <v>15566</v>
      </c>
    </row>
    <row r="192" spans="1:11" ht="17.5" x14ac:dyDescent="0.45">
      <c r="A192" s="104"/>
      <c r="B192" s="102"/>
      <c r="C192" s="109" t="s">
        <v>15565</v>
      </c>
      <c r="D192" s="102" t="s">
        <v>15564</v>
      </c>
      <c r="E192" s="102" t="s">
        <v>15563</v>
      </c>
      <c r="F192" s="107" t="s">
        <v>244</v>
      </c>
      <c r="G192" s="98" t="s">
        <v>15562</v>
      </c>
      <c r="H192" s="99" t="s">
        <v>15561</v>
      </c>
      <c r="I192" s="100" t="s">
        <v>14228</v>
      </c>
      <c r="J192" s="98" t="s">
        <v>15560</v>
      </c>
      <c r="K192" s="99" t="s">
        <v>15559</v>
      </c>
    </row>
    <row r="193" spans="1:11" ht="17.5" x14ac:dyDescent="0.45">
      <c r="A193" s="104"/>
      <c r="B193" s="102"/>
      <c r="C193" s="103"/>
      <c r="D193" s="102"/>
      <c r="E193" s="102"/>
      <c r="F193" s="105" t="s">
        <v>65</v>
      </c>
      <c r="G193" s="99" t="s">
        <v>15558</v>
      </c>
      <c r="H193" s="98" t="s">
        <v>15557</v>
      </c>
      <c r="I193" s="100" t="s">
        <v>14217</v>
      </c>
      <c r="J193" s="99" t="s">
        <v>15556</v>
      </c>
      <c r="K193" s="98" t="s">
        <v>15555</v>
      </c>
    </row>
    <row r="194" spans="1:11" ht="17.5" x14ac:dyDescent="0.45">
      <c r="A194" s="104"/>
      <c r="B194" s="102"/>
      <c r="C194" s="103"/>
      <c r="D194" s="106" t="s">
        <v>15554</v>
      </c>
      <c r="E194" s="106" t="s">
        <v>15553</v>
      </c>
      <c r="F194" s="107" t="s">
        <v>244</v>
      </c>
      <c r="G194" s="98" t="s">
        <v>15552</v>
      </c>
      <c r="H194" s="99" t="s">
        <v>15551</v>
      </c>
      <c r="I194" s="100" t="s">
        <v>14212</v>
      </c>
      <c r="J194" s="98" t="s">
        <v>15550</v>
      </c>
      <c r="K194" s="99" t="s">
        <v>15549</v>
      </c>
    </row>
    <row r="195" spans="1:11" ht="17.5" x14ac:dyDescent="0.45">
      <c r="A195" s="104"/>
      <c r="B195" s="102"/>
      <c r="C195" s="103"/>
      <c r="D195" s="106"/>
      <c r="E195" s="106"/>
      <c r="F195" s="105" t="s">
        <v>65</v>
      </c>
      <c r="G195" s="99" t="s">
        <v>15548</v>
      </c>
      <c r="H195" s="98" t="s">
        <v>15547</v>
      </c>
      <c r="I195" s="100" t="s">
        <v>14245</v>
      </c>
      <c r="J195" s="99" t="s">
        <v>15546</v>
      </c>
      <c r="K195" s="98" t="s">
        <v>15545</v>
      </c>
    </row>
    <row r="196" spans="1:11" ht="17.5" x14ac:dyDescent="0.45">
      <c r="A196" s="104"/>
      <c r="B196" s="102"/>
      <c r="C196" s="103"/>
      <c r="D196" s="102" t="s">
        <v>15544</v>
      </c>
      <c r="E196" s="102" t="s">
        <v>15543</v>
      </c>
      <c r="F196" s="107" t="s">
        <v>244</v>
      </c>
      <c r="G196" s="98" t="s">
        <v>15542</v>
      </c>
      <c r="H196" s="99" t="s">
        <v>15541</v>
      </c>
      <c r="I196" s="100" t="s">
        <v>14217</v>
      </c>
      <c r="J196" s="98" t="s">
        <v>15540</v>
      </c>
      <c r="K196" s="99" t="s">
        <v>15539</v>
      </c>
    </row>
    <row r="197" spans="1:11" ht="17.5" x14ac:dyDescent="0.45">
      <c r="A197" s="104"/>
      <c r="B197" s="102"/>
      <c r="C197" s="103"/>
      <c r="D197" s="102"/>
      <c r="E197" s="102"/>
      <c r="F197" s="105" t="s">
        <v>65</v>
      </c>
      <c r="G197" s="99" t="s">
        <v>15538</v>
      </c>
      <c r="H197" s="98" t="s">
        <v>15537</v>
      </c>
      <c r="I197" s="100" t="s">
        <v>14212</v>
      </c>
      <c r="J197" s="99" t="s">
        <v>15536</v>
      </c>
      <c r="K197" s="98" t="s">
        <v>15535</v>
      </c>
    </row>
    <row r="198" spans="1:11" ht="17.5" x14ac:dyDescent="0.45">
      <c r="A198" s="104"/>
      <c r="B198" s="102"/>
      <c r="C198" s="103"/>
      <c r="D198" s="106" t="s">
        <v>15534</v>
      </c>
      <c r="E198" s="106" t="s">
        <v>15533</v>
      </c>
      <c r="F198" s="107" t="s">
        <v>65</v>
      </c>
      <c r="G198" s="98" t="s">
        <v>15532</v>
      </c>
      <c r="H198" s="99" t="s">
        <v>15531</v>
      </c>
      <c r="I198" s="100" t="s">
        <v>14228</v>
      </c>
      <c r="J198" s="98" t="s">
        <v>15530</v>
      </c>
      <c r="K198" s="99" t="s">
        <v>15529</v>
      </c>
    </row>
    <row r="199" spans="1:11" ht="17.5" x14ac:dyDescent="0.45">
      <c r="A199" s="104"/>
      <c r="B199" s="102"/>
      <c r="C199" s="103"/>
      <c r="D199" s="106"/>
      <c r="E199" s="106"/>
      <c r="F199" s="105" t="s">
        <v>244</v>
      </c>
      <c r="G199" s="99" t="s">
        <v>15528</v>
      </c>
      <c r="H199" s="98" t="s">
        <v>15527</v>
      </c>
      <c r="I199" s="100" t="s">
        <v>14217</v>
      </c>
      <c r="J199" s="99" t="s">
        <v>15526</v>
      </c>
      <c r="K199" s="98" t="s">
        <v>15525</v>
      </c>
    </row>
    <row r="200" spans="1:11" ht="17.5" x14ac:dyDescent="0.45">
      <c r="A200" s="104"/>
      <c r="B200" s="102"/>
      <c r="C200" s="103"/>
      <c r="D200" s="102" t="s">
        <v>15524</v>
      </c>
      <c r="E200" s="102" t="s">
        <v>15523</v>
      </c>
      <c r="F200" s="107" t="s">
        <v>244</v>
      </c>
      <c r="G200" s="98" t="s">
        <v>15522</v>
      </c>
      <c r="H200" s="99" t="s">
        <v>15521</v>
      </c>
      <c r="I200" s="100" t="s">
        <v>14217</v>
      </c>
      <c r="J200" s="98" t="s">
        <v>15520</v>
      </c>
      <c r="K200" s="99" t="s">
        <v>15519</v>
      </c>
    </row>
    <row r="201" spans="1:11" ht="17.5" x14ac:dyDescent="0.45">
      <c r="A201" s="104"/>
      <c r="B201" s="102"/>
      <c r="C201" s="103"/>
      <c r="D201" s="102"/>
      <c r="E201" s="102"/>
      <c r="F201" s="105" t="s">
        <v>65</v>
      </c>
      <c r="G201" s="99" t="s">
        <v>15518</v>
      </c>
      <c r="H201" s="98" t="s">
        <v>15517</v>
      </c>
      <c r="I201" s="100" t="s">
        <v>14212</v>
      </c>
      <c r="J201" s="99" t="s">
        <v>15516</v>
      </c>
      <c r="K201" s="98" t="s">
        <v>15515</v>
      </c>
    </row>
    <row r="202" spans="1:11" ht="17.5" x14ac:dyDescent="0.45">
      <c r="A202" s="104"/>
      <c r="B202" s="102"/>
      <c r="C202" s="108" t="s">
        <v>15514</v>
      </c>
      <c r="D202" s="106" t="s">
        <v>15513</v>
      </c>
      <c r="E202" s="106" t="s">
        <v>15512</v>
      </c>
      <c r="F202" s="107" t="s">
        <v>244</v>
      </c>
      <c r="G202" s="98" t="s">
        <v>15016</v>
      </c>
      <c r="H202" s="99" t="s">
        <v>15511</v>
      </c>
      <c r="I202" s="100" t="s">
        <v>14217</v>
      </c>
      <c r="J202" s="98" t="s">
        <v>15510</v>
      </c>
      <c r="K202" s="99" t="s">
        <v>15509</v>
      </c>
    </row>
    <row r="203" spans="1:11" ht="17.5" x14ac:dyDescent="0.45">
      <c r="A203" s="104"/>
      <c r="B203" s="102"/>
      <c r="C203" s="108"/>
      <c r="D203" s="106"/>
      <c r="E203" s="106"/>
      <c r="F203" s="105" t="s">
        <v>65</v>
      </c>
      <c r="G203" s="99" t="s">
        <v>15508</v>
      </c>
      <c r="H203" s="98" t="s">
        <v>15507</v>
      </c>
      <c r="I203" s="100" t="s">
        <v>14212</v>
      </c>
      <c r="J203" s="99" t="s">
        <v>15506</v>
      </c>
      <c r="K203" s="98" t="s">
        <v>15505</v>
      </c>
    </row>
    <row r="204" spans="1:11" ht="17.5" x14ac:dyDescent="0.45">
      <c r="A204" s="104"/>
      <c r="B204" s="102"/>
      <c r="C204" s="108"/>
      <c r="D204" s="102" t="s">
        <v>15504</v>
      </c>
      <c r="E204" s="102" t="s">
        <v>15503</v>
      </c>
      <c r="F204" s="107" t="s">
        <v>65</v>
      </c>
      <c r="G204" s="98" t="s">
        <v>15502</v>
      </c>
      <c r="H204" s="99" t="s">
        <v>15501</v>
      </c>
      <c r="I204" s="100" t="s">
        <v>14228</v>
      </c>
      <c r="J204" s="98" t="s">
        <v>15500</v>
      </c>
      <c r="K204" s="99" t="s">
        <v>15499</v>
      </c>
    </row>
    <row r="205" spans="1:11" ht="17.5" x14ac:dyDescent="0.45">
      <c r="A205" s="104"/>
      <c r="B205" s="102"/>
      <c r="C205" s="108"/>
      <c r="D205" s="102"/>
      <c r="E205" s="102"/>
      <c r="F205" s="105" t="s">
        <v>244</v>
      </c>
      <c r="G205" s="99" t="s">
        <v>15002</v>
      </c>
      <c r="H205" s="98" t="s">
        <v>15498</v>
      </c>
      <c r="I205" s="100" t="s">
        <v>14217</v>
      </c>
      <c r="J205" s="99" t="s">
        <v>15497</v>
      </c>
      <c r="K205" s="98" t="s">
        <v>15496</v>
      </c>
    </row>
    <row r="206" spans="1:11" ht="17.5" x14ac:dyDescent="0.45">
      <c r="A206" s="104"/>
      <c r="B206" s="102"/>
      <c r="C206" s="108"/>
      <c r="D206" s="106" t="s">
        <v>15495</v>
      </c>
      <c r="E206" s="106" t="s">
        <v>15494</v>
      </c>
      <c r="F206" s="107" t="s">
        <v>65</v>
      </c>
      <c r="G206" s="98" t="s">
        <v>15493</v>
      </c>
      <c r="H206" s="99" t="s">
        <v>15492</v>
      </c>
      <c r="I206" s="100" t="s">
        <v>14212</v>
      </c>
      <c r="J206" s="98" t="s">
        <v>15491</v>
      </c>
      <c r="K206" s="99" t="s">
        <v>15490</v>
      </c>
    </row>
    <row r="207" spans="1:11" ht="17.5" x14ac:dyDescent="0.45">
      <c r="A207" s="104"/>
      <c r="B207" s="102"/>
      <c r="C207" s="108"/>
      <c r="D207" s="106"/>
      <c r="E207" s="106"/>
      <c r="F207" s="105" t="s">
        <v>244</v>
      </c>
      <c r="G207" s="99" t="s">
        <v>15489</v>
      </c>
      <c r="H207" s="98" t="s">
        <v>15488</v>
      </c>
      <c r="I207" s="100" t="s">
        <v>14245</v>
      </c>
      <c r="J207" s="99" t="s">
        <v>15487</v>
      </c>
      <c r="K207" s="98" t="s">
        <v>15486</v>
      </c>
    </row>
    <row r="208" spans="1:11" ht="17.5" x14ac:dyDescent="0.45">
      <c r="A208" s="104"/>
      <c r="B208" s="102"/>
      <c r="C208" s="108"/>
      <c r="D208" s="102" t="s">
        <v>15485</v>
      </c>
      <c r="E208" s="102" t="s">
        <v>15484</v>
      </c>
      <c r="F208" s="107" t="s">
        <v>65</v>
      </c>
      <c r="G208" s="98" t="s">
        <v>15483</v>
      </c>
      <c r="H208" s="99" t="s">
        <v>15482</v>
      </c>
      <c r="I208" s="100" t="s">
        <v>14217</v>
      </c>
      <c r="J208" s="98" t="s">
        <v>15481</v>
      </c>
      <c r="K208" s="99" t="s">
        <v>15480</v>
      </c>
    </row>
    <row r="209" spans="1:11" ht="17.5" x14ac:dyDescent="0.45">
      <c r="A209" s="104"/>
      <c r="B209" s="102"/>
      <c r="C209" s="108"/>
      <c r="D209" s="102"/>
      <c r="E209" s="102"/>
      <c r="F209" s="105" t="s">
        <v>244</v>
      </c>
      <c r="G209" s="99" t="s">
        <v>15479</v>
      </c>
      <c r="H209" s="98" t="s">
        <v>15478</v>
      </c>
      <c r="I209" s="100" t="s">
        <v>14212</v>
      </c>
      <c r="J209" s="99" t="s">
        <v>15477</v>
      </c>
      <c r="K209" s="98" t="s">
        <v>15476</v>
      </c>
    </row>
    <row r="210" spans="1:11" ht="17.5" x14ac:dyDescent="0.45">
      <c r="A210" s="104"/>
      <c r="B210" s="102"/>
      <c r="C210" s="108"/>
      <c r="D210" s="106" t="s">
        <v>15475</v>
      </c>
      <c r="E210" s="106" t="s">
        <v>15474</v>
      </c>
      <c r="F210" s="107" t="s">
        <v>244</v>
      </c>
      <c r="G210" s="98" t="s">
        <v>15473</v>
      </c>
      <c r="H210" s="99" t="s">
        <v>15472</v>
      </c>
      <c r="I210" s="100" t="s">
        <v>14228</v>
      </c>
      <c r="J210" s="98" t="s">
        <v>15471</v>
      </c>
      <c r="K210" s="99" t="s">
        <v>15470</v>
      </c>
    </row>
    <row r="211" spans="1:11" ht="17.5" x14ac:dyDescent="0.45">
      <c r="A211" s="104"/>
      <c r="B211" s="102"/>
      <c r="C211" s="108"/>
      <c r="D211" s="106"/>
      <c r="E211" s="106"/>
      <c r="F211" s="105" t="s">
        <v>65</v>
      </c>
      <c r="G211" s="99" t="s">
        <v>9885</v>
      </c>
      <c r="H211" s="98" t="s">
        <v>15469</v>
      </c>
      <c r="I211" s="100" t="s">
        <v>14217</v>
      </c>
      <c r="J211" s="99" t="s">
        <v>15468</v>
      </c>
      <c r="K211" s="98" t="s">
        <v>15467</v>
      </c>
    </row>
    <row r="212" spans="1:11" ht="17.5" x14ac:dyDescent="0.45">
      <c r="A212" s="104"/>
      <c r="B212" s="102"/>
      <c r="C212" s="109" t="s">
        <v>15466</v>
      </c>
      <c r="D212" s="102" t="s">
        <v>15465</v>
      </c>
      <c r="E212" s="102" t="s">
        <v>15464</v>
      </c>
      <c r="F212" s="107" t="s">
        <v>65</v>
      </c>
      <c r="G212" s="98" t="s">
        <v>15463</v>
      </c>
      <c r="H212" s="99" t="s">
        <v>15462</v>
      </c>
      <c r="I212" s="100" t="s">
        <v>14326</v>
      </c>
      <c r="J212" s="98" t="s">
        <v>15461</v>
      </c>
      <c r="K212" s="99" t="s">
        <v>15460</v>
      </c>
    </row>
    <row r="213" spans="1:11" ht="17.5" x14ac:dyDescent="0.45">
      <c r="A213" s="104"/>
      <c r="B213" s="102"/>
      <c r="C213" s="103"/>
      <c r="D213" s="102"/>
      <c r="E213" s="102"/>
      <c r="F213" s="105" t="s">
        <v>244</v>
      </c>
      <c r="G213" s="99" t="s">
        <v>9596</v>
      </c>
      <c r="H213" s="98" t="s">
        <v>15459</v>
      </c>
      <c r="I213" s="100" t="s">
        <v>14217</v>
      </c>
      <c r="J213" s="99" t="s">
        <v>15458</v>
      </c>
      <c r="K213" s="98" t="s">
        <v>15457</v>
      </c>
    </row>
    <row r="214" spans="1:11" ht="17.5" x14ac:dyDescent="0.45">
      <c r="A214" s="104"/>
      <c r="B214" s="102"/>
      <c r="C214" s="103"/>
      <c r="D214" s="106" t="s">
        <v>15456</v>
      </c>
      <c r="E214" s="106" t="s">
        <v>15455</v>
      </c>
      <c r="F214" s="107" t="s">
        <v>65</v>
      </c>
      <c r="G214" s="98" t="s">
        <v>15454</v>
      </c>
      <c r="H214" s="99" t="s">
        <v>15453</v>
      </c>
      <c r="I214" s="100" t="s">
        <v>14212</v>
      </c>
      <c r="J214" s="98" t="s">
        <v>15452</v>
      </c>
      <c r="K214" s="99" t="s">
        <v>15451</v>
      </c>
    </row>
    <row r="215" spans="1:11" ht="17.5" x14ac:dyDescent="0.45">
      <c r="A215" s="104"/>
      <c r="B215" s="102"/>
      <c r="C215" s="103"/>
      <c r="D215" s="106"/>
      <c r="E215" s="106"/>
      <c r="F215" s="105" t="s">
        <v>244</v>
      </c>
      <c r="G215" s="99" t="s">
        <v>14951</v>
      </c>
      <c r="H215" s="98" t="s">
        <v>15450</v>
      </c>
      <c r="I215" s="100" t="s">
        <v>14217</v>
      </c>
      <c r="J215" s="99" t="s">
        <v>15449</v>
      </c>
      <c r="K215" s="98" t="s">
        <v>15448</v>
      </c>
    </row>
    <row r="216" spans="1:11" ht="17.5" x14ac:dyDescent="0.45">
      <c r="A216" s="104"/>
      <c r="B216" s="102"/>
      <c r="C216" s="103"/>
      <c r="D216" s="102" t="s">
        <v>15447</v>
      </c>
      <c r="E216" s="102" t="s">
        <v>15446</v>
      </c>
      <c r="F216" s="107" t="s">
        <v>65</v>
      </c>
      <c r="G216" s="98" t="s">
        <v>15445</v>
      </c>
      <c r="H216" s="99" t="s">
        <v>15444</v>
      </c>
      <c r="I216" s="100" t="s">
        <v>14228</v>
      </c>
      <c r="J216" s="98" t="s">
        <v>15443</v>
      </c>
      <c r="K216" s="99" t="s">
        <v>15442</v>
      </c>
    </row>
    <row r="217" spans="1:11" ht="17.5" x14ac:dyDescent="0.45">
      <c r="A217" s="104"/>
      <c r="B217" s="102"/>
      <c r="C217" s="103"/>
      <c r="D217" s="102"/>
      <c r="E217" s="102"/>
      <c r="F217" s="105" t="s">
        <v>244</v>
      </c>
      <c r="G217" s="99" t="s">
        <v>14941</v>
      </c>
      <c r="H217" s="98" t="s">
        <v>15441</v>
      </c>
      <c r="I217" s="100" t="s">
        <v>14212</v>
      </c>
      <c r="J217" s="99" t="s">
        <v>15440</v>
      </c>
      <c r="K217" s="98" t="s">
        <v>15439</v>
      </c>
    </row>
    <row r="218" spans="1:11" ht="17.5" x14ac:dyDescent="0.45">
      <c r="A218" s="104"/>
      <c r="B218" s="102"/>
      <c r="C218" s="103"/>
      <c r="D218" s="106" t="s">
        <v>15438</v>
      </c>
      <c r="E218" s="106" t="s">
        <v>15437</v>
      </c>
      <c r="F218" s="107" t="s">
        <v>65</v>
      </c>
      <c r="G218" s="98" t="s">
        <v>15436</v>
      </c>
      <c r="H218" s="99" t="s">
        <v>15435</v>
      </c>
      <c r="I218" s="100" t="s">
        <v>14217</v>
      </c>
      <c r="J218" s="98" t="s">
        <v>15434</v>
      </c>
      <c r="K218" s="99" t="s">
        <v>15433</v>
      </c>
    </row>
    <row r="219" spans="1:11" ht="17.5" x14ac:dyDescent="0.45">
      <c r="A219" s="104"/>
      <c r="B219" s="102"/>
      <c r="C219" s="103"/>
      <c r="D219" s="106"/>
      <c r="E219" s="106"/>
      <c r="F219" s="105" t="s">
        <v>244</v>
      </c>
      <c r="G219" s="99" t="s">
        <v>15432</v>
      </c>
      <c r="H219" s="98" t="s">
        <v>15431</v>
      </c>
      <c r="I219" s="100" t="s">
        <v>14245</v>
      </c>
      <c r="J219" s="99" t="s">
        <v>15430</v>
      </c>
      <c r="K219" s="98" t="s">
        <v>15429</v>
      </c>
    </row>
    <row r="220" spans="1:11" ht="17.5" x14ac:dyDescent="0.45">
      <c r="A220" s="104"/>
      <c r="B220" s="102"/>
      <c r="C220" s="103"/>
      <c r="D220" s="102" t="s">
        <v>15428</v>
      </c>
      <c r="E220" s="102" t="s">
        <v>15427</v>
      </c>
      <c r="F220" s="107" t="s">
        <v>244</v>
      </c>
      <c r="G220" s="98" t="s">
        <v>15426</v>
      </c>
      <c r="H220" s="99" t="s">
        <v>15425</v>
      </c>
      <c r="I220" s="100" t="s">
        <v>14212</v>
      </c>
      <c r="J220" s="98" t="s">
        <v>15424</v>
      </c>
      <c r="K220" s="99" t="s">
        <v>15423</v>
      </c>
    </row>
    <row r="221" spans="1:11" ht="17.5" x14ac:dyDescent="0.45">
      <c r="A221" s="104"/>
      <c r="B221" s="102"/>
      <c r="C221" s="103"/>
      <c r="D221" s="102"/>
      <c r="E221" s="102"/>
      <c r="F221" s="105" t="s">
        <v>65</v>
      </c>
      <c r="G221" s="99" t="s">
        <v>15422</v>
      </c>
      <c r="H221" s="98" t="s">
        <v>15421</v>
      </c>
      <c r="I221" s="100" t="s">
        <v>14217</v>
      </c>
      <c r="J221" s="99" t="s">
        <v>15420</v>
      </c>
      <c r="K221" s="98" t="s">
        <v>15419</v>
      </c>
    </row>
    <row r="222" spans="1:11" ht="17.5" x14ac:dyDescent="0.45">
      <c r="A222" s="104"/>
      <c r="B222" s="102"/>
      <c r="C222" s="108" t="s">
        <v>15418</v>
      </c>
      <c r="D222" s="106" t="s">
        <v>15417</v>
      </c>
      <c r="E222" s="106" t="s">
        <v>15416</v>
      </c>
      <c r="F222" s="107" t="s">
        <v>244</v>
      </c>
      <c r="G222" s="98" t="s">
        <v>14379</v>
      </c>
      <c r="H222" s="99" t="s">
        <v>15415</v>
      </c>
      <c r="I222" s="100" t="s">
        <v>14228</v>
      </c>
      <c r="J222" s="98" t="s">
        <v>15414</v>
      </c>
      <c r="K222" s="99" t="s">
        <v>15413</v>
      </c>
    </row>
    <row r="223" spans="1:11" ht="17.5" x14ac:dyDescent="0.45">
      <c r="A223" s="104"/>
      <c r="B223" s="102"/>
      <c r="C223" s="108"/>
      <c r="D223" s="106"/>
      <c r="E223" s="106"/>
      <c r="F223" s="105" t="s">
        <v>65</v>
      </c>
      <c r="G223" s="99" t="s">
        <v>15412</v>
      </c>
      <c r="H223" s="98" t="s">
        <v>15411</v>
      </c>
      <c r="I223" s="100" t="s">
        <v>14212</v>
      </c>
      <c r="J223" s="99" t="s">
        <v>15410</v>
      </c>
      <c r="K223" s="98" t="s">
        <v>15409</v>
      </c>
    </row>
    <row r="224" spans="1:11" ht="17.5" x14ac:dyDescent="0.45">
      <c r="A224" s="104"/>
      <c r="B224" s="102"/>
      <c r="C224" s="108"/>
      <c r="D224" s="102" t="s">
        <v>15408</v>
      </c>
      <c r="E224" s="102" t="s">
        <v>15407</v>
      </c>
      <c r="F224" s="107" t="s">
        <v>65</v>
      </c>
      <c r="G224" s="98" t="s">
        <v>15351</v>
      </c>
      <c r="H224" s="99" t="s">
        <v>15406</v>
      </c>
      <c r="I224" s="100" t="s">
        <v>14217</v>
      </c>
      <c r="J224" s="98" t="s">
        <v>15405</v>
      </c>
      <c r="K224" s="99" t="s">
        <v>15404</v>
      </c>
    </row>
    <row r="225" spans="1:11" ht="17.5" x14ac:dyDescent="0.45">
      <c r="A225" s="104"/>
      <c r="B225" s="102"/>
      <c r="C225" s="108"/>
      <c r="D225" s="102"/>
      <c r="E225" s="102"/>
      <c r="F225" s="105" t="s">
        <v>244</v>
      </c>
      <c r="G225" s="99" t="s">
        <v>15403</v>
      </c>
      <c r="H225" s="98" t="s">
        <v>15402</v>
      </c>
      <c r="I225" s="100" t="s">
        <v>14217</v>
      </c>
      <c r="J225" s="99" t="s">
        <v>15401</v>
      </c>
      <c r="K225" s="98" t="s">
        <v>15400</v>
      </c>
    </row>
    <row r="226" spans="1:11" ht="17.5" x14ac:dyDescent="0.45">
      <c r="A226" s="104"/>
      <c r="B226" s="102"/>
      <c r="C226" s="108"/>
      <c r="D226" s="106" t="s">
        <v>15399</v>
      </c>
      <c r="E226" s="106" t="s">
        <v>15398</v>
      </c>
      <c r="F226" s="107" t="s">
        <v>65</v>
      </c>
      <c r="G226" s="98" t="s">
        <v>15397</v>
      </c>
      <c r="H226" s="99" t="s">
        <v>15396</v>
      </c>
      <c r="I226" s="100" t="s">
        <v>14212</v>
      </c>
      <c r="J226" s="98" t="s">
        <v>15395</v>
      </c>
      <c r="K226" s="99" t="s">
        <v>15394</v>
      </c>
    </row>
    <row r="227" spans="1:11" ht="17.5" x14ac:dyDescent="0.45">
      <c r="A227" s="104"/>
      <c r="B227" s="102"/>
      <c r="C227" s="108"/>
      <c r="D227" s="106"/>
      <c r="E227" s="106"/>
      <c r="F227" s="105" t="s">
        <v>244</v>
      </c>
      <c r="G227" s="99" t="s">
        <v>15393</v>
      </c>
      <c r="H227" s="98" t="s">
        <v>15392</v>
      </c>
      <c r="I227" s="100" t="s">
        <v>14228</v>
      </c>
      <c r="J227" s="99" t="s">
        <v>15391</v>
      </c>
      <c r="K227" s="98" t="s">
        <v>15390</v>
      </c>
    </row>
    <row r="228" spans="1:11" ht="17.5" x14ac:dyDescent="0.45">
      <c r="A228" s="104"/>
      <c r="B228" s="102"/>
      <c r="C228" s="108"/>
      <c r="D228" s="102" t="s">
        <v>15389</v>
      </c>
      <c r="E228" s="102" t="s">
        <v>15388</v>
      </c>
      <c r="F228" s="107" t="s">
        <v>244</v>
      </c>
      <c r="G228" s="98" t="s">
        <v>14885</v>
      </c>
      <c r="H228" s="99" t="s">
        <v>15387</v>
      </c>
      <c r="I228" s="100" t="s">
        <v>14217</v>
      </c>
      <c r="J228" s="98" t="s">
        <v>15386</v>
      </c>
      <c r="K228" s="99" t="s">
        <v>15385</v>
      </c>
    </row>
    <row r="229" spans="1:11" ht="17.5" x14ac:dyDescent="0.45">
      <c r="A229" s="104"/>
      <c r="B229" s="102"/>
      <c r="C229" s="108"/>
      <c r="D229" s="102"/>
      <c r="E229" s="102"/>
      <c r="F229" s="105" t="s">
        <v>65</v>
      </c>
      <c r="G229" s="99" t="s">
        <v>14881</v>
      </c>
      <c r="H229" s="98" t="s">
        <v>15384</v>
      </c>
      <c r="I229" s="100" t="s">
        <v>14326</v>
      </c>
      <c r="J229" s="99" t="s">
        <v>15383</v>
      </c>
      <c r="K229" s="98" t="s">
        <v>15382</v>
      </c>
    </row>
    <row r="230" spans="1:11" ht="17.5" x14ac:dyDescent="0.45">
      <c r="A230" s="104"/>
      <c r="B230" s="102"/>
      <c r="C230" s="108"/>
      <c r="D230" s="106" t="s">
        <v>15381</v>
      </c>
      <c r="E230" s="106" t="s">
        <v>15380</v>
      </c>
      <c r="F230" s="107" t="s">
        <v>244</v>
      </c>
      <c r="G230" s="98" t="s">
        <v>2002</v>
      </c>
      <c r="H230" s="99" t="s">
        <v>15379</v>
      </c>
      <c r="I230" s="100" t="s">
        <v>14212</v>
      </c>
      <c r="J230" s="98" t="s">
        <v>15378</v>
      </c>
      <c r="K230" s="99" t="s">
        <v>15377</v>
      </c>
    </row>
    <row r="231" spans="1:11" ht="17.5" x14ac:dyDescent="0.45">
      <c r="A231" s="104"/>
      <c r="B231" s="102"/>
      <c r="C231" s="108"/>
      <c r="D231" s="106"/>
      <c r="E231" s="106"/>
      <c r="F231" s="105" t="s">
        <v>65</v>
      </c>
      <c r="G231" s="99" t="s">
        <v>2142</v>
      </c>
      <c r="H231" s="98" t="s">
        <v>15376</v>
      </c>
      <c r="I231" s="100" t="s">
        <v>14217</v>
      </c>
      <c r="J231" s="99" t="s">
        <v>15375</v>
      </c>
      <c r="K231" s="98" t="s">
        <v>15374</v>
      </c>
    </row>
    <row r="232" spans="1:11" ht="17.5" x14ac:dyDescent="0.45">
      <c r="A232" s="104"/>
      <c r="B232" s="102"/>
      <c r="C232" s="109" t="s">
        <v>15373</v>
      </c>
      <c r="D232" s="102" t="s">
        <v>15372</v>
      </c>
      <c r="E232" s="102" t="s">
        <v>15371</v>
      </c>
      <c r="F232" s="107" t="s">
        <v>244</v>
      </c>
      <c r="G232" s="98" t="s">
        <v>15370</v>
      </c>
      <c r="H232" s="99" t="s">
        <v>15369</v>
      </c>
      <c r="I232" s="100" t="s">
        <v>14228</v>
      </c>
      <c r="J232" s="98" t="s">
        <v>15368</v>
      </c>
      <c r="K232" s="99" t="s">
        <v>15367</v>
      </c>
    </row>
    <row r="233" spans="1:11" ht="17.5" x14ac:dyDescent="0.45">
      <c r="A233" s="104"/>
      <c r="B233" s="102"/>
      <c r="C233" s="103"/>
      <c r="D233" s="102"/>
      <c r="E233" s="102"/>
      <c r="F233" s="105" t="s">
        <v>65</v>
      </c>
      <c r="G233" s="99" t="s">
        <v>15366</v>
      </c>
      <c r="H233" s="98" t="s">
        <v>15365</v>
      </c>
      <c r="I233" s="100" t="s">
        <v>14212</v>
      </c>
      <c r="J233" s="99" t="s">
        <v>15364</v>
      </c>
      <c r="K233" s="98" t="s">
        <v>15363</v>
      </c>
    </row>
    <row r="234" spans="1:11" ht="17.5" x14ac:dyDescent="0.45">
      <c r="A234" s="104"/>
      <c r="B234" s="102"/>
      <c r="C234" s="103"/>
      <c r="D234" s="106" t="s">
        <v>15362</v>
      </c>
      <c r="E234" s="106" t="s">
        <v>15361</v>
      </c>
      <c r="F234" s="107" t="s">
        <v>65</v>
      </c>
      <c r="G234" s="98" t="s">
        <v>15360</v>
      </c>
      <c r="H234" s="99" t="s">
        <v>15359</v>
      </c>
      <c r="I234" s="100" t="s">
        <v>14217</v>
      </c>
      <c r="J234" s="98" t="s">
        <v>15358</v>
      </c>
      <c r="K234" s="99" t="s">
        <v>15357</v>
      </c>
    </row>
    <row r="235" spans="1:11" ht="17.5" x14ac:dyDescent="0.45">
      <c r="A235" s="104"/>
      <c r="B235" s="102"/>
      <c r="C235" s="103"/>
      <c r="D235" s="106"/>
      <c r="E235" s="106"/>
      <c r="F235" s="105" t="s">
        <v>244</v>
      </c>
      <c r="G235" s="99" t="s">
        <v>14850</v>
      </c>
      <c r="H235" s="98" t="s">
        <v>15356</v>
      </c>
      <c r="I235" s="100" t="s">
        <v>14245</v>
      </c>
      <c r="J235" s="99" t="s">
        <v>15355</v>
      </c>
      <c r="K235" s="98" t="s">
        <v>15354</v>
      </c>
    </row>
    <row r="236" spans="1:11" ht="17.5" x14ac:dyDescent="0.45">
      <c r="A236" s="104"/>
      <c r="B236" s="102"/>
      <c r="C236" s="103"/>
      <c r="D236" s="102" t="s">
        <v>15353</v>
      </c>
      <c r="E236" s="102" t="s">
        <v>15352</v>
      </c>
      <c r="F236" s="107" t="s">
        <v>65</v>
      </c>
      <c r="G236" s="98" t="s">
        <v>15351</v>
      </c>
      <c r="H236" s="99" t="s">
        <v>15350</v>
      </c>
      <c r="I236" s="100" t="s">
        <v>14212</v>
      </c>
      <c r="J236" s="98" t="s">
        <v>15349</v>
      </c>
      <c r="K236" s="99" t="s">
        <v>15348</v>
      </c>
    </row>
    <row r="237" spans="1:11" ht="17.5" x14ac:dyDescent="0.45">
      <c r="A237" s="104"/>
      <c r="B237" s="102"/>
      <c r="C237" s="103"/>
      <c r="D237" s="102"/>
      <c r="E237" s="102"/>
      <c r="F237" s="105" t="s">
        <v>244</v>
      </c>
      <c r="G237" s="99" t="s">
        <v>15347</v>
      </c>
      <c r="H237" s="98" t="s">
        <v>15346</v>
      </c>
      <c r="I237" s="100" t="s">
        <v>14217</v>
      </c>
      <c r="J237" s="99" t="s">
        <v>15345</v>
      </c>
      <c r="K237" s="98" t="s">
        <v>15344</v>
      </c>
    </row>
    <row r="238" spans="1:11" ht="17.5" x14ac:dyDescent="0.45">
      <c r="A238" s="104"/>
      <c r="B238" s="102"/>
      <c r="C238" s="103"/>
      <c r="D238" s="106" t="s">
        <v>15343</v>
      </c>
      <c r="E238" s="106" t="s">
        <v>15342</v>
      </c>
      <c r="F238" s="107" t="s">
        <v>244</v>
      </c>
      <c r="G238" s="98" t="s">
        <v>15341</v>
      </c>
      <c r="H238" s="99" t="s">
        <v>15340</v>
      </c>
      <c r="I238" s="100" t="s">
        <v>14228</v>
      </c>
      <c r="J238" s="98" t="s">
        <v>15339</v>
      </c>
      <c r="K238" s="99" t="s">
        <v>15338</v>
      </c>
    </row>
    <row r="239" spans="1:11" ht="17.5" x14ac:dyDescent="0.45">
      <c r="A239" s="104"/>
      <c r="B239" s="102"/>
      <c r="C239" s="103"/>
      <c r="D239" s="106"/>
      <c r="E239" s="106"/>
      <c r="F239" s="105" t="s">
        <v>65</v>
      </c>
      <c r="G239" s="99" t="s">
        <v>15337</v>
      </c>
      <c r="H239" s="98" t="s">
        <v>15336</v>
      </c>
      <c r="I239" s="100" t="s">
        <v>14217</v>
      </c>
      <c r="J239" s="99" t="s">
        <v>15335</v>
      </c>
      <c r="K239" s="98" t="s">
        <v>15334</v>
      </c>
    </row>
    <row r="240" spans="1:11" ht="17.5" x14ac:dyDescent="0.45">
      <c r="A240" s="104"/>
      <c r="B240" s="102"/>
      <c r="C240" s="103"/>
      <c r="D240" s="102" t="s">
        <v>15333</v>
      </c>
      <c r="E240" s="102" t="s">
        <v>15332</v>
      </c>
      <c r="F240" s="107" t="s">
        <v>65</v>
      </c>
      <c r="G240" s="98" t="s">
        <v>14824</v>
      </c>
      <c r="H240" s="99" t="s">
        <v>15331</v>
      </c>
      <c r="I240" s="100" t="s">
        <v>14217</v>
      </c>
      <c r="J240" s="98" t="s">
        <v>15330</v>
      </c>
      <c r="K240" s="99" t="s">
        <v>15329</v>
      </c>
    </row>
    <row r="241" spans="1:11" ht="17.5" x14ac:dyDescent="0.45">
      <c r="A241" s="104"/>
      <c r="B241" s="102"/>
      <c r="C241" s="103"/>
      <c r="D241" s="102"/>
      <c r="E241" s="102"/>
      <c r="F241" s="105" t="s">
        <v>244</v>
      </c>
      <c r="G241" s="99" t="s">
        <v>15328</v>
      </c>
      <c r="H241" s="98" t="s">
        <v>15327</v>
      </c>
      <c r="I241" s="100" t="s">
        <v>14212</v>
      </c>
      <c r="J241" s="99" t="s">
        <v>15326</v>
      </c>
      <c r="K241" s="98" t="s">
        <v>15325</v>
      </c>
    </row>
    <row r="242" spans="1:11" ht="17.5" x14ac:dyDescent="0.45">
      <c r="A242" s="104"/>
      <c r="B242" s="102"/>
      <c r="C242" s="110" t="s">
        <v>15324</v>
      </c>
      <c r="D242" s="106" t="s">
        <v>15323</v>
      </c>
      <c r="E242" s="106" t="s">
        <v>15322</v>
      </c>
      <c r="F242" s="107" t="s">
        <v>65</v>
      </c>
      <c r="G242" s="98" t="s">
        <v>15321</v>
      </c>
      <c r="H242" s="99" t="s">
        <v>15320</v>
      </c>
      <c r="I242" s="100" t="s">
        <v>14228</v>
      </c>
      <c r="J242" s="98" t="s">
        <v>15319</v>
      </c>
      <c r="K242" s="99" t="s">
        <v>15318</v>
      </c>
    </row>
    <row r="243" spans="1:11" ht="17.5" x14ac:dyDescent="0.45">
      <c r="A243" s="104"/>
      <c r="B243" s="102"/>
      <c r="C243" s="108"/>
      <c r="D243" s="106"/>
      <c r="E243" s="106"/>
      <c r="F243" s="105" t="s">
        <v>244</v>
      </c>
      <c r="G243" s="99" t="s">
        <v>15317</v>
      </c>
      <c r="H243" s="98" t="s">
        <v>15316</v>
      </c>
      <c r="I243" s="100" t="s">
        <v>14217</v>
      </c>
      <c r="J243" s="99" t="s">
        <v>15315</v>
      </c>
      <c r="K243" s="98" t="s">
        <v>15314</v>
      </c>
    </row>
    <row r="244" spans="1:11" ht="17.5" x14ac:dyDescent="0.45">
      <c r="A244" s="104"/>
      <c r="B244" s="102"/>
      <c r="C244" s="108"/>
      <c r="D244" s="102" t="s">
        <v>15313</v>
      </c>
      <c r="E244" s="102" t="s">
        <v>15312</v>
      </c>
      <c r="F244" s="107" t="s">
        <v>65</v>
      </c>
      <c r="G244" s="98" t="s">
        <v>14803</v>
      </c>
      <c r="H244" s="99" t="s">
        <v>15311</v>
      </c>
      <c r="I244" s="100" t="s">
        <v>14212</v>
      </c>
      <c r="J244" s="98" t="s">
        <v>15310</v>
      </c>
      <c r="K244" s="99" t="s">
        <v>15309</v>
      </c>
    </row>
    <row r="245" spans="1:11" ht="17.5" x14ac:dyDescent="0.45">
      <c r="A245" s="104"/>
      <c r="B245" s="102"/>
      <c r="C245" s="108"/>
      <c r="D245" s="102"/>
      <c r="E245" s="102"/>
      <c r="F245" s="105" t="s">
        <v>65</v>
      </c>
      <c r="G245" s="99" t="s">
        <v>15308</v>
      </c>
      <c r="H245" s="98" t="s">
        <v>15307</v>
      </c>
      <c r="I245" s="100" t="s">
        <v>14245</v>
      </c>
      <c r="J245" s="99" t="s">
        <v>15306</v>
      </c>
      <c r="K245" s="98" t="s">
        <v>15305</v>
      </c>
    </row>
    <row r="246" spans="1:11" ht="17.5" x14ac:dyDescent="0.45">
      <c r="A246" s="104"/>
      <c r="B246" s="102"/>
      <c r="C246" s="108"/>
      <c r="D246" s="106" t="s">
        <v>15304</v>
      </c>
      <c r="E246" s="106" t="s">
        <v>15303</v>
      </c>
      <c r="F246" s="107" t="s">
        <v>244</v>
      </c>
      <c r="G246" s="98" t="s">
        <v>15302</v>
      </c>
      <c r="H246" s="99" t="s">
        <v>15301</v>
      </c>
      <c r="I246" s="100" t="s">
        <v>14217</v>
      </c>
      <c r="J246" s="98" t="s">
        <v>15300</v>
      </c>
      <c r="K246" s="99" t="s">
        <v>15299</v>
      </c>
    </row>
    <row r="247" spans="1:11" ht="17.5" x14ac:dyDescent="0.45">
      <c r="A247" s="104"/>
      <c r="B247" s="102"/>
      <c r="C247" s="108"/>
      <c r="D247" s="106"/>
      <c r="E247" s="106"/>
      <c r="F247" s="105" t="s">
        <v>244</v>
      </c>
      <c r="G247" s="99" t="s">
        <v>15298</v>
      </c>
      <c r="H247" s="98" t="s">
        <v>15297</v>
      </c>
      <c r="I247" s="100" t="s">
        <v>14212</v>
      </c>
      <c r="J247" s="99" t="s">
        <v>15296</v>
      </c>
      <c r="K247" s="98" t="s">
        <v>15295</v>
      </c>
    </row>
    <row r="248" spans="1:11" ht="17.5" x14ac:dyDescent="0.45">
      <c r="A248" s="104"/>
      <c r="B248" s="102"/>
      <c r="C248" s="108"/>
      <c r="D248" s="102" t="s">
        <v>15294</v>
      </c>
      <c r="E248" s="102" t="s">
        <v>15293</v>
      </c>
      <c r="F248" s="107" t="s">
        <v>65</v>
      </c>
      <c r="G248" s="98" t="s">
        <v>15292</v>
      </c>
      <c r="H248" s="99" t="s">
        <v>15291</v>
      </c>
      <c r="I248" s="100" t="s">
        <v>14228</v>
      </c>
      <c r="J248" s="98" t="s">
        <v>15290</v>
      </c>
      <c r="K248" s="99" t="s">
        <v>15289</v>
      </c>
    </row>
    <row r="249" spans="1:11" ht="17.5" x14ac:dyDescent="0.45">
      <c r="A249" s="104"/>
      <c r="B249" s="102"/>
      <c r="C249" s="108"/>
      <c r="D249" s="102"/>
      <c r="E249" s="102"/>
      <c r="F249" s="105" t="s">
        <v>244</v>
      </c>
      <c r="G249" s="99" t="s">
        <v>15288</v>
      </c>
      <c r="H249" s="98" t="s">
        <v>15287</v>
      </c>
      <c r="I249" s="100" t="s">
        <v>14217</v>
      </c>
      <c r="J249" s="99" t="s">
        <v>15286</v>
      </c>
      <c r="K249" s="98" t="s">
        <v>15285</v>
      </c>
    </row>
    <row r="250" spans="1:11" ht="17.5" x14ac:dyDescent="0.45">
      <c r="A250" s="104"/>
      <c r="B250" s="102"/>
      <c r="C250" s="108"/>
      <c r="D250" s="106" t="s">
        <v>15284</v>
      </c>
      <c r="E250" s="106" t="s">
        <v>15283</v>
      </c>
      <c r="F250" s="107" t="s">
        <v>65</v>
      </c>
      <c r="G250" s="98" t="s">
        <v>15282</v>
      </c>
      <c r="H250" s="99" t="s">
        <v>15281</v>
      </c>
      <c r="I250" s="100" t="s">
        <v>14217</v>
      </c>
      <c r="J250" s="98" t="s">
        <v>15280</v>
      </c>
      <c r="K250" s="99" t="s">
        <v>15279</v>
      </c>
    </row>
    <row r="251" spans="1:11" ht="17.5" x14ac:dyDescent="0.45">
      <c r="A251" s="104"/>
      <c r="B251" s="102"/>
      <c r="C251" s="108"/>
      <c r="D251" s="106"/>
      <c r="E251" s="106"/>
      <c r="F251" s="105" t="s">
        <v>65</v>
      </c>
      <c r="G251" s="99" t="s">
        <v>14769</v>
      </c>
      <c r="H251" s="98" t="s">
        <v>15278</v>
      </c>
      <c r="I251" s="100" t="s">
        <v>14212</v>
      </c>
      <c r="J251" s="99" t="s">
        <v>15277</v>
      </c>
      <c r="K251" s="98" t="s">
        <v>15276</v>
      </c>
    </row>
    <row r="252" spans="1:11" ht="17.5" x14ac:dyDescent="0.45">
      <c r="A252" s="104"/>
      <c r="B252" s="102"/>
      <c r="C252" s="109" t="s">
        <v>15275</v>
      </c>
      <c r="D252" s="102" t="s">
        <v>15274</v>
      </c>
      <c r="E252" s="102" t="s">
        <v>15273</v>
      </c>
      <c r="F252" s="107" t="s">
        <v>244</v>
      </c>
      <c r="G252" s="98" t="s">
        <v>15272</v>
      </c>
      <c r="H252" s="99" t="s">
        <v>15271</v>
      </c>
      <c r="I252" s="100" t="s">
        <v>14228</v>
      </c>
      <c r="J252" s="98" t="s">
        <v>15270</v>
      </c>
      <c r="K252" s="99" t="s">
        <v>15269</v>
      </c>
    </row>
    <row r="253" spans="1:11" ht="17.5" x14ac:dyDescent="0.45">
      <c r="A253" s="104"/>
      <c r="B253" s="102"/>
      <c r="C253" s="103"/>
      <c r="D253" s="102"/>
      <c r="E253" s="102"/>
      <c r="F253" s="105" t="s">
        <v>65</v>
      </c>
      <c r="G253" s="99" t="s">
        <v>15268</v>
      </c>
      <c r="H253" s="98" t="s">
        <v>15267</v>
      </c>
      <c r="I253" s="100" t="s">
        <v>14217</v>
      </c>
      <c r="J253" s="99" t="s">
        <v>15266</v>
      </c>
      <c r="K253" s="98" t="s">
        <v>15265</v>
      </c>
    </row>
    <row r="254" spans="1:11" ht="17.5" x14ac:dyDescent="0.45">
      <c r="A254" s="104"/>
      <c r="B254" s="102"/>
      <c r="C254" s="103"/>
      <c r="D254" s="106" t="s">
        <v>15264</v>
      </c>
      <c r="E254" s="106" t="s">
        <v>15263</v>
      </c>
      <c r="F254" s="107" t="s">
        <v>244</v>
      </c>
      <c r="G254" s="98" t="s">
        <v>15262</v>
      </c>
      <c r="H254" s="99" t="s">
        <v>15261</v>
      </c>
      <c r="I254" s="100" t="s">
        <v>14326</v>
      </c>
      <c r="J254" s="98" t="s">
        <v>15260</v>
      </c>
      <c r="K254" s="99" t="s">
        <v>15259</v>
      </c>
    </row>
    <row r="255" spans="1:11" ht="17.5" x14ac:dyDescent="0.45">
      <c r="A255" s="104"/>
      <c r="B255" s="102"/>
      <c r="C255" s="103"/>
      <c r="D255" s="106"/>
      <c r="E255" s="106"/>
      <c r="F255" s="105" t="s">
        <v>65</v>
      </c>
      <c r="G255" s="99" t="s">
        <v>15258</v>
      </c>
      <c r="H255" s="98" t="s">
        <v>15257</v>
      </c>
      <c r="I255" s="100" t="s">
        <v>14212</v>
      </c>
      <c r="J255" s="99" t="s">
        <v>15256</v>
      </c>
      <c r="K255" s="98" t="s">
        <v>15255</v>
      </c>
    </row>
    <row r="256" spans="1:11" ht="17.5" x14ac:dyDescent="0.45">
      <c r="A256" s="104"/>
      <c r="B256" s="102"/>
      <c r="C256" s="103"/>
      <c r="D256" s="102" t="s">
        <v>15254</v>
      </c>
      <c r="E256" s="102" t="s">
        <v>15253</v>
      </c>
      <c r="F256" s="107" t="s">
        <v>244</v>
      </c>
      <c r="G256" s="98" t="s">
        <v>15252</v>
      </c>
      <c r="H256" s="99" t="s">
        <v>15251</v>
      </c>
      <c r="I256" s="100" t="s">
        <v>14217</v>
      </c>
      <c r="J256" s="98" t="s">
        <v>15250</v>
      </c>
      <c r="K256" s="99" t="s">
        <v>15249</v>
      </c>
    </row>
    <row r="257" spans="1:11" ht="17.5" x14ac:dyDescent="0.45">
      <c r="A257" s="104"/>
      <c r="B257" s="102"/>
      <c r="C257" s="103"/>
      <c r="D257" s="102"/>
      <c r="E257" s="102"/>
      <c r="F257" s="105" t="s">
        <v>65</v>
      </c>
      <c r="G257" s="99" t="s">
        <v>15248</v>
      </c>
      <c r="H257" s="98" t="s">
        <v>15247</v>
      </c>
      <c r="I257" s="100" t="s">
        <v>14228</v>
      </c>
      <c r="J257" s="99" t="s">
        <v>15246</v>
      </c>
      <c r="K257" s="98" t="s">
        <v>15245</v>
      </c>
    </row>
    <row r="258" spans="1:11" ht="17.5" x14ac:dyDescent="0.45">
      <c r="A258" s="104"/>
      <c r="B258" s="102"/>
      <c r="C258" s="103"/>
      <c r="D258" s="106" t="s">
        <v>15244</v>
      </c>
      <c r="E258" s="106" t="s">
        <v>15243</v>
      </c>
      <c r="F258" s="107" t="s">
        <v>65</v>
      </c>
      <c r="G258" s="98" t="s">
        <v>15242</v>
      </c>
      <c r="H258" s="99" t="s">
        <v>15241</v>
      </c>
      <c r="I258" s="100" t="s">
        <v>14212</v>
      </c>
      <c r="J258" s="98" t="s">
        <v>15240</v>
      </c>
      <c r="K258" s="99" t="s">
        <v>15239</v>
      </c>
    </row>
    <row r="259" spans="1:11" ht="17.5" x14ac:dyDescent="0.45">
      <c r="A259" s="104"/>
      <c r="B259" s="102"/>
      <c r="C259" s="103"/>
      <c r="D259" s="106"/>
      <c r="E259" s="106"/>
      <c r="F259" s="105" t="s">
        <v>244</v>
      </c>
      <c r="G259" s="99" t="s">
        <v>15238</v>
      </c>
      <c r="H259" s="98" t="s">
        <v>15237</v>
      </c>
      <c r="I259" s="100" t="s">
        <v>14217</v>
      </c>
      <c r="J259" s="99" t="s">
        <v>15236</v>
      </c>
      <c r="K259" s="98" t="s">
        <v>15235</v>
      </c>
    </row>
    <row r="260" spans="1:11" ht="17.5" x14ac:dyDescent="0.45">
      <c r="A260" s="104"/>
      <c r="B260" s="102"/>
      <c r="C260" s="103"/>
      <c r="D260" s="102" t="s">
        <v>15234</v>
      </c>
      <c r="E260" s="102" t="s">
        <v>15233</v>
      </c>
      <c r="F260" s="107" t="s">
        <v>244</v>
      </c>
      <c r="G260" s="98" t="s">
        <v>15232</v>
      </c>
      <c r="H260" s="99" t="s">
        <v>15231</v>
      </c>
      <c r="I260" s="100" t="s">
        <v>14245</v>
      </c>
      <c r="J260" s="98" t="s">
        <v>15230</v>
      </c>
      <c r="K260" s="99" t="s">
        <v>15229</v>
      </c>
    </row>
    <row r="261" spans="1:11" ht="17.5" x14ac:dyDescent="0.45">
      <c r="A261" s="104"/>
      <c r="B261" s="102"/>
      <c r="C261" s="103"/>
      <c r="D261" s="102"/>
      <c r="E261" s="102"/>
      <c r="F261" s="105" t="s">
        <v>65</v>
      </c>
      <c r="G261" s="99" t="s">
        <v>15228</v>
      </c>
      <c r="H261" s="98" t="s">
        <v>15227</v>
      </c>
      <c r="I261" s="100" t="s">
        <v>14212</v>
      </c>
      <c r="J261" s="99" t="s">
        <v>15226</v>
      </c>
      <c r="K261" s="98" t="s">
        <v>15225</v>
      </c>
    </row>
    <row r="262" spans="1:11" ht="17.5" x14ac:dyDescent="0.45">
      <c r="A262" s="104"/>
      <c r="B262" s="102"/>
      <c r="C262" s="110" t="s">
        <v>15224</v>
      </c>
      <c r="D262" s="106" t="s">
        <v>15223</v>
      </c>
      <c r="E262" s="106" t="s">
        <v>15222</v>
      </c>
      <c r="F262" s="107" t="s">
        <v>244</v>
      </c>
      <c r="G262" s="98" t="s">
        <v>15221</v>
      </c>
      <c r="H262" s="99" t="s">
        <v>15220</v>
      </c>
      <c r="I262" s="100" t="s">
        <v>14217</v>
      </c>
      <c r="J262" s="98" t="s">
        <v>15219</v>
      </c>
      <c r="K262" s="99" t="s">
        <v>15218</v>
      </c>
    </row>
    <row r="263" spans="1:11" ht="17.5" x14ac:dyDescent="0.45">
      <c r="A263" s="104"/>
      <c r="B263" s="102"/>
      <c r="C263" s="108"/>
      <c r="D263" s="106"/>
      <c r="E263" s="106"/>
      <c r="F263" s="105" t="s">
        <v>65</v>
      </c>
      <c r="G263" s="99" t="s">
        <v>15217</v>
      </c>
      <c r="H263" s="98" t="s">
        <v>15216</v>
      </c>
      <c r="I263" s="100" t="s">
        <v>14228</v>
      </c>
      <c r="J263" s="99" t="s">
        <v>15215</v>
      </c>
      <c r="K263" s="98" t="s">
        <v>15214</v>
      </c>
    </row>
    <row r="264" spans="1:11" ht="17.5" x14ac:dyDescent="0.45">
      <c r="A264" s="104"/>
      <c r="B264" s="102"/>
      <c r="C264" s="108"/>
      <c r="D264" s="102" t="s">
        <v>15213</v>
      </c>
      <c r="E264" s="102" t="s">
        <v>15212</v>
      </c>
      <c r="F264" s="107" t="s">
        <v>244</v>
      </c>
      <c r="G264" s="98" t="s">
        <v>15211</v>
      </c>
      <c r="H264" s="99" t="s">
        <v>15210</v>
      </c>
      <c r="I264" s="100" t="s">
        <v>14217</v>
      </c>
      <c r="J264" s="98" t="s">
        <v>15209</v>
      </c>
      <c r="K264" s="99" t="s">
        <v>15208</v>
      </c>
    </row>
    <row r="265" spans="1:11" ht="17.5" x14ac:dyDescent="0.45">
      <c r="A265" s="104"/>
      <c r="B265" s="102"/>
      <c r="C265" s="108"/>
      <c r="D265" s="102"/>
      <c r="E265" s="102"/>
      <c r="F265" s="105" t="s">
        <v>65</v>
      </c>
      <c r="G265" s="99" t="s">
        <v>15207</v>
      </c>
      <c r="H265" s="98" t="s">
        <v>15206</v>
      </c>
      <c r="I265" s="100" t="s">
        <v>14217</v>
      </c>
      <c r="J265" s="99" t="s">
        <v>15205</v>
      </c>
      <c r="K265" s="98" t="s">
        <v>15204</v>
      </c>
    </row>
    <row r="266" spans="1:11" ht="17.5" x14ac:dyDescent="0.45">
      <c r="A266" s="104"/>
      <c r="B266" s="102"/>
      <c r="C266" s="108"/>
      <c r="D266" s="106" t="s">
        <v>15203</v>
      </c>
      <c r="E266" s="106" t="s">
        <v>15202</v>
      </c>
      <c r="F266" s="107" t="s">
        <v>244</v>
      </c>
      <c r="G266" s="98" t="s">
        <v>15201</v>
      </c>
      <c r="H266" s="99" t="s">
        <v>15200</v>
      </c>
      <c r="I266" s="100" t="s">
        <v>14212</v>
      </c>
      <c r="J266" s="98" t="s">
        <v>15199</v>
      </c>
      <c r="K266" s="99" t="s">
        <v>15198</v>
      </c>
    </row>
    <row r="267" spans="1:11" ht="17.5" x14ac:dyDescent="0.45">
      <c r="A267" s="104"/>
      <c r="B267" s="102"/>
      <c r="C267" s="108"/>
      <c r="D267" s="106"/>
      <c r="E267" s="106"/>
      <c r="F267" s="105" t="s">
        <v>65</v>
      </c>
      <c r="G267" s="99" t="s">
        <v>15197</v>
      </c>
      <c r="H267" s="98" t="s">
        <v>15196</v>
      </c>
      <c r="I267" s="100" t="s">
        <v>14228</v>
      </c>
      <c r="J267" s="99" t="s">
        <v>15195</v>
      </c>
      <c r="K267" s="98" t="s">
        <v>15194</v>
      </c>
    </row>
    <row r="268" spans="1:11" ht="17.5" x14ac:dyDescent="0.45">
      <c r="A268" s="104"/>
      <c r="B268" s="102"/>
      <c r="C268" s="108"/>
      <c r="D268" s="102" t="s">
        <v>15193</v>
      </c>
      <c r="E268" s="102" t="s">
        <v>15192</v>
      </c>
      <c r="F268" s="107" t="s">
        <v>65</v>
      </c>
      <c r="G268" s="98" t="s">
        <v>15191</v>
      </c>
      <c r="H268" s="99" t="s">
        <v>15190</v>
      </c>
      <c r="I268" s="100" t="s">
        <v>14217</v>
      </c>
      <c r="J268" s="98" t="s">
        <v>15189</v>
      </c>
      <c r="K268" s="99" t="s">
        <v>15188</v>
      </c>
    </row>
    <row r="269" spans="1:11" ht="17.5" x14ac:dyDescent="0.45">
      <c r="A269" s="104"/>
      <c r="B269" s="102"/>
      <c r="C269" s="108"/>
      <c r="D269" s="102"/>
      <c r="E269" s="102"/>
      <c r="F269" s="105" t="s">
        <v>244</v>
      </c>
      <c r="G269" s="99" t="s">
        <v>15187</v>
      </c>
      <c r="H269" s="98" t="s">
        <v>15186</v>
      </c>
      <c r="I269" s="100" t="s">
        <v>14212</v>
      </c>
      <c r="J269" s="99" t="s">
        <v>15185</v>
      </c>
      <c r="K269" s="98" t="s">
        <v>15184</v>
      </c>
    </row>
    <row r="270" spans="1:11" ht="17.5" x14ac:dyDescent="0.45">
      <c r="A270" s="104"/>
      <c r="B270" s="102"/>
      <c r="C270" s="108"/>
      <c r="D270" s="106" t="s">
        <v>15183</v>
      </c>
      <c r="E270" s="106" t="s">
        <v>15182</v>
      </c>
      <c r="F270" s="107" t="s">
        <v>65</v>
      </c>
      <c r="G270" s="98" t="s">
        <v>15181</v>
      </c>
      <c r="H270" s="99" t="s">
        <v>15180</v>
      </c>
      <c r="I270" s="100" t="s">
        <v>14245</v>
      </c>
      <c r="J270" s="98" t="s">
        <v>15179</v>
      </c>
      <c r="K270" s="99" t="s">
        <v>15178</v>
      </c>
    </row>
    <row r="271" spans="1:11" ht="17.5" x14ac:dyDescent="0.45">
      <c r="A271" s="104"/>
      <c r="B271" s="102"/>
      <c r="C271" s="108"/>
      <c r="D271" s="106"/>
      <c r="E271" s="106"/>
      <c r="F271" s="105" t="s">
        <v>244</v>
      </c>
      <c r="G271" s="99" t="s">
        <v>15177</v>
      </c>
      <c r="H271" s="98" t="s">
        <v>15176</v>
      </c>
      <c r="I271" s="100" t="s">
        <v>14217</v>
      </c>
      <c r="J271" s="99" t="s">
        <v>14923</v>
      </c>
      <c r="K271" s="98" t="s">
        <v>15175</v>
      </c>
    </row>
    <row r="272" spans="1:11" ht="17.5" x14ac:dyDescent="0.45">
      <c r="A272" s="104"/>
      <c r="B272" s="102"/>
      <c r="C272" s="109" t="s">
        <v>15174</v>
      </c>
      <c r="D272" s="102" t="s">
        <v>15173</v>
      </c>
      <c r="E272" s="102" t="s">
        <v>15172</v>
      </c>
      <c r="F272" s="107" t="s">
        <v>244</v>
      </c>
      <c r="G272" s="98" t="s">
        <v>15171</v>
      </c>
      <c r="H272" s="99" t="s">
        <v>15170</v>
      </c>
      <c r="I272" s="100" t="s">
        <v>14212</v>
      </c>
      <c r="J272" s="98" t="s">
        <v>15169</v>
      </c>
      <c r="K272" s="99" t="s">
        <v>15168</v>
      </c>
    </row>
    <row r="273" spans="1:11" ht="17.5" x14ac:dyDescent="0.45">
      <c r="A273" s="104"/>
      <c r="B273" s="102"/>
      <c r="C273" s="103"/>
      <c r="D273" s="102"/>
      <c r="E273" s="102"/>
      <c r="F273" s="105" t="s">
        <v>65</v>
      </c>
      <c r="G273" s="99" t="s">
        <v>15167</v>
      </c>
      <c r="H273" s="98" t="s">
        <v>15166</v>
      </c>
      <c r="I273" s="100" t="s">
        <v>14228</v>
      </c>
      <c r="J273" s="99" t="s">
        <v>15165</v>
      </c>
      <c r="K273" s="98" t="s">
        <v>15164</v>
      </c>
    </row>
    <row r="274" spans="1:11" ht="17.5" x14ac:dyDescent="0.45">
      <c r="A274" s="104"/>
      <c r="B274" s="102"/>
      <c r="C274" s="103"/>
      <c r="D274" s="106" t="s">
        <v>15163</v>
      </c>
      <c r="E274" s="106" t="s">
        <v>15162</v>
      </c>
      <c r="F274" s="107" t="s">
        <v>65</v>
      </c>
      <c r="G274" s="98" t="s">
        <v>15161</v>
      </c>
      <c r="H274" s="99" t="s">
        <v>15160</v>
      </c>
      <c r="I274" s="100" t="s">
        <v>14217</v>
      </c>
      <c r="J274" s="98" t="s">
        <v>15159</v>
      </c>
      <c r="K274" s="99" t="s">
        <v>15158</v>
      </c>
    </row>
    <row r="275" spans="1:11" ht="17.5" x14ac:dyDescent="0.45">
      <c r="A275" s="104"/>
      <c r="B275" s="102"/>
      <c r="C275" s="103"/>
      <c r="D275" s="106"/>
      <c r="E275" s="106"/>
      <c r="F275" s="105" t="s">
        <v>244</v>
      </c>
      <c r="G275" s="99" t="s">
        <v>15157</v>
      </c>
      <c r="H275" s="98" t="s">
        <v>15156</v>
      </c>
      <c r="I275" s="100" t="s">
        <v>14217</v>
      </c>
      <c r="J275" s="99" t="s">
        <v>15155</v>
      </c>
      <c r="K275" s="98" t="s">
        <v>15154</v>
      </c>
    </row>
    <row r="276" spans="1:11" ht="17.5" x14ac:dyDescent="0.45">
      <c r="A276" s="104"/>
      <c r="B276" s="102"/>
      <c r="C276" s="103"/>
      <c r="D276" s="102" t="s">
        <v>15153</v>
      </c>
      <c r="E276" s="102" t="s">
        <v>15152</v>
      </c>
      <c r="F276" s="107" t="s">
        <v>244</v>
      </c>
      <c r="G276" s="98" t="s">
        <v>15151</v>
      </c>
      <c r="H276" s="99" t="s">
        <v>15150</v>
      </c>
      <c r="I276" s="100" t="s">
        <v>14212</v>
      </c>
      <c r="J276" s="98" t="s">
        <v>15149</v>
      </c>
      <c r="K276" s="99" t="s">
        <v>15148</v>
      </c>
    </row>
    <row r="277" spans="1:11" ht="17.5" x14ac:dyDescent="0.45">
      <c r="A277" s="104"/>
      <c r="B277" s="102"/>
      <c r="C277" s="103"/>
      <c r="D277" s="102"/>
      <c r="E277" s="102"/>
      <c r="F277" s="105" t="s">
        <v>65</v>
      </c>
      <c r="G277" s="99" t="s">
        <v>15147</v>
      </c>
      <c r="H277" s="98" t="s">
        <v>15146</v>
      </c>
      <c r="I277" s="100" t="s">
        <v>14228</v>
      </c>
      <c r="J277" s="99" t="s">
        <v>15145</v>
      </c>
      <c r="K277" s="98" t="s">
        <v>15144</v>
      </c>
    </row>
    <row r="278" spans="1:11" ht="17.5" x14ac:dyDescent="0.45">
      <c r="A278" s="104"/>
      <c r="B278" s="102"/>
      <c r="C278" s="103"/>
      <c r="D278" s="106" t="s">
        <v>15143</v>
      </c>
      <c r="E278" s="106" t="s">
        <v>15142</v>
      </c>
      <c r="F278" s="107" t="s">
        <v>244</v>
      </c>
      <c r="G278" s="98" t="s">
        <v>15141</v>
      </c>
      <c r="H278" s="99" t="s">
        <v>15140</v>
      </c>
      <c r="I278" s="100" t="s">
        <v>14217</v>
      </c>
      <c r="J278" s="98" t="s">
        <v>15139</v>
      </c>
      <c r="K278" s="99" t="s">
        <v>15138</v>
      </c>
    </row>
    <row r="279" spans="1:11" ht="17.5" x14ac:dyDescent="0.45">
      <c r="A279" s="104"/>
      <c r="B279" s="102"/>
      <c r="C279" s="103"/>
      <c r="D279" s="106"/>
      <c r="E279" s="106"/>
      <c r="F279" s="105" t="s">
        <v>65</v>
      </c>
      <c r="G279" s="99" t="s">
        <v>15137</v>
      </c>
      <c r="H279" s="98" t="s">
        <v>15136</v>
      </c>
      <c r="I279" s="100" t="s">
        <v>14326</v>
      </c>
      <c r="J279" s="99" t="s">
        <v>15135</v>
      </c>
      <c r="K279" s="98" t="s">
        <v>15134</v>
      </c>
    </row>
    <row r="280" spans="1:11" ht="17.5" x14ac:dyDescent="0.45">
      <c r="A280" s="104"/>
      <c r="B280" s="102"/>
      <c r="C280" s="103"/>
      <c r="D280" s="102" t="s">
        <v>15133</v>
      </c>
      <c r="E280" s="102" t="s">
        <v>15132</v>
      </c>
      <c r="F280" s="107" t="s">
        <v>65</v>
      </c>
      <c r="G280" s="98" t="s">
        <v>15131</v>
      </c>
      <c r="H280" s="99" t="s">
        <v>15130</v>
      </c>
      <c r="I280" s="100" t="s">
        <v>14212</v>
      </c>
      <c r="J280" s="98" t="s">
        <v>15129</v>
      </c>
      <c r="K280" s="99" t="s">
        <v>15128</v>
      </c>
    </row>
    <row r="281" spans="1:11" ht="17.5" x14ac:dyDescent="0.45">
      <c r="A281" s="104"/>
      <c r="B281" s="102"/>
      <c r="C281" s="103"/>
      <c r="D281" s="102"/>
      <c r="E281" s="102"/>
      <c r="F281" s="105" t="s">
        <v>244</v>
      </c>
      <c r="G281" s="99" t="s">
        <v>15127</v>
      </c>
      <c r="H281" s="98" t="s">
        <v>15126</v>
      </c>
      <c r="I281" s="100" t="s">
        <v>14217</v>
      </c>
      <c r="J281" s="99" t="s">
        <v>15125</v>
      </c>
      <c r="K281" s="98" t="s">
        <v>15124</v>
      </c>
    </row>
    <row r="282" spans="1:11" ht="17.5" x14ac:dyDescent="0.45">
      <c r="A282" s="104"/>
      <c r="B282" s="102"/>
      <c r="C282" s="110" t="s">
        <v>15123</v>
      </c>
      <c r="D282" s="106" t="s">
        <v>15122</v>
      </c>
      <c r="E282" s="106" t="s">
        <v>15121</v>
      </c>
      <c r="F282" s="107" t="s">
        <v>65</v>
      </c>
      <c r="G282" s="98" t="s">
        <v>15120</v>
      </c>
      <c r="H282" s="99" t="s">
        <v>15119</v>
      </c>
      <c r="I282" s="100" t="s">
        <v>14228</v>
      </c>
      <c r="J282" s="98" t="s">
        <v>15118</v>
      </c>
      <c r="K282" s="99" t="s">
        <v>15117</v>
      </c>
    </row>
    <row r="283" spans="1:11" ht="17.5" x14ac:dyDescent="0.45">
      <c r="A283" s="104"/>
      <c r="B283" s="102"/>
      <c r="C283" s="108"/>
      <c r="D283" s="106"/>
      <c r="E283" s="106"/>
      <c r="F283" s="105" t="s">
        <v>244</v>
      </c>
      <c r="G283" s="99" t="s">
        <v>15116</v>
      </c>
      <c r="H283" s="98" t="s">
        <v>15115</v>
      </c>
      <c r="I283" s="100" t="s">
        <v>14212</v>
      </c>
      <c r="J283" s="99" t="s">
        <v>15114</v>
      </c>
      <c r="K283" s="98" t="s">
        <v>15113</v>
      </c>
    </row>
    <row r="284" spans="1:11" ht="17.5" x14ac:dyDescent="0.45">
      <c r="A284" s="104"/>
      <c r="B284" s="102"/>
      <c r="C284" s="108"/>
      <c r="D284" s="102" t="s">
        <v>15112</v>
      </c>
      <c r="E284" s="102" t="s">
        <v>15111</v>
      </c>
      <c r="F284" s="107" t="s">
        <v>244</v>
      </c>
      <c r="G284" s="98" t="s">
        <v>15110</v>
      </c>
      <c r="H284" s="99" t="s">
        <v>15109</v>
      </c>
      <c r="I284" s="100" t="s">
        <v>14217</v>
      </c>
      <c r="J284" s="98" t="s">
        <v>15108</v>
      </c>
      <c r="K284" s="99" t="s">
        <v>15107</v>
      </c>
    </row>
    <row r="285" spans="1:11" ht="17.5" x14ac:dyDescent="0.45">
      <c r="A285" s="104"/>
      <c r="B285" s="102"/>
      <c r="C285" s="108"/>
      <c r="D285" s="102"/>
      <c r="E285" s="102"/>
      <c r="F285" s="105" t="s">
        <v>65</v>
      </c>
      <c r="G285" s="99" t="s">
        <v>15106</v>
      </c>
      <c r="H285" s="98" t="s">
        <v>15105</v>
      </c>
      <c r="I285" s="100" t="s">
        <v>14245</v>
      </c>
      <c r="J285" s="99" t="s">
        <v>15104</v>
      </c>
      <c r="K285" s="98" t="s">
        <v>15103</v>
      </c>
    </row>
    <row r="286" spans="1:11" ht="17.5" x14ac:dyDescent="0.45">
      <c r="A286" s="104"/>
      <c r="B286" s="102"/>
      <c r="C286" s="108"/>
      <c r="D286" s="106" t="s">
        <v>15102</v>
      </c>
      <c r="E286" s="106" t="s">
        <v>15101</v>
      </c>
      <c r="F286" s="107" t="s">
        <v>65</v>
      </c>
      <c r="G286" s="98" t="s">
        <v>15100</v>
      </c>
      <c r="H286" s="99" t="s">
        <v>15099</v>
      </c>
      <c r="I286" s="100" t="s">
        <v>14212</v>
      </c>
      <c r="J286" s="98" t="s">
        <v>15098</v>
      </c>
      <c r="K286" s="99" t="s">
        <v>15097</v>
      </c>
    </row>
    <row r="287" spans="1:11" ht="17.5" x14ac:dyDescent="0.45">
      <c r="A287" s="104"/>
      <c r="B287" s="102"/>
      <c r="C287" s="108"/>
      <c r="D287" s="106"/>
      <c r="E287" s="106"/>
      <c r="F287" s="105" t="s">
        <v>244</v>
      </c>
      <c r="G287" s="99" t="s">
        <v>15096</v>
      </c>
      <c r="H287" s="98" t="s">
        <v>15095</v>
      </c>
      <c r="I287" s="100" t="s">
        <v>14217</v>
      </c>
      <c r="J287" s="99" t="s">
        <v>15094</v>
      </c>
      <c r="K287" s="98" t="s">
        <v>15093</v>
      </c>
    </row>
    <row r="288" spans="1:11" ht="17.5" x14ac:dyDescent="0.45">
      <c r="A288" s="104"/>
      <c r="B288" s="102"/>
      <c r="C288" s="108"/>
      <c r="D288" s="102" t="s">
        <v>15092</v>
      </c>
      <c r="E288" s="102" t="s">
        <v>15091</v>
      </c>
      <c r="F288" s="107" t="s">
        <v>65</v>
      </c>
      <c r="G288" s="98" t="s">
        <v>15090</v>
      </c>
      <c r="H288" s="99" t="s">
        <v>15089</v>
      </c>
      <c r="I288" s="100" t="s">
        <v>14228</v>
      </c>
      <c r="J288" s="98" t="s">
        <v>15088</v>
      </c>
      <c r="K288" s="99" t="s">
        <v>15087</v>
      </c>
    </row>
    <row r="289" spans="1:11" ht="17.5" x14ac:dyDescent="0.45">
      <c r="A289" s="104"/>
      <c r="B289" s="102"/>
      <c r="C289" s="108"/>
      <c r="D289" s="102"/>
      <c r="E289" s="102"/>
      <c r="F289" s="105" t="s">
        <v>244</v>
      </c>
      <c r="G289" s="99" t="s">
        <v>15086</v>
      </c>
      <c r="H289" s="98" t="s">
        <v>15085</v>
      </c>
      <c r="I289" s="100" t="s">
        <v>14217</v>
      </c>
      <c r="J289" s="99" t="s">
        <v>15084</v>
      </c>
      <c r="K289" s="98" t="s">
        <v>15083</v>
      </c>
    </row>
    <row r="290" spans="1:11" ht="17.5" x14ac:dyDescent="0.45">
      <c r="A290" s="104"/>
      <c r="B290" s="102"/>
      <c r="C290" s="108"/>
      <c r="D290" s="106" t="s">
        <v>15082</v>
      </c>
      <c r="E290" s="106" t="s">
        <v>15081</v>
      </c>
      <c r="F290" s="107" t="s">
        <v>65</v>
      </c>
      <c r="G290" s="98" t="s">
        <v>15080</v>
      </c>
      <c r="H290" s="99" t="s">
        <v>15079</v>
      </c>
      <c r="I290" s="100" t="s">
        <v>14217</v>
      </c>
      <c r="J290" s="98" t="s">
        <v>15078</v>
      </c>
      <c r="K290" s="99" t="s">
        <v>15077</v>
      </c>
    </row>
    <row r="291" spans="1:11" ht="17.5" x14ac:dyDescent="0.45">
      <c r="A291" s="104"/>
      <c r="B291" s="102"/>
      <c r="C291" s="108"/>
      <c r="D291" s="106"/>
      <c r="E291" s="106"/>
      <c r="F291" s="105" t="s">
        <v>244</v>
      </c>
      <c r="G291" s="99" t="s">
        <v>15076</v>
      </c>
      <c r="H291" s="98" t="s">
        <v>15075</v>
      </c>
      <c r="I291" s="100" t="s">
        <v>14212</v>
      </c>
      <c r="J291" s="99" t="s">
        <v>15074</v>
      </c>
      <c r="K291" s="98" t="s">
        <v>15073</v>
      </c>
    </row>
    <row r="292" spans="1:11" ht="17.5" x14ac:dyDescent="0.45">
      <c r="A292" s="104" t="s">
        <v>15072</v>
      </c>
      <c r="B292" s="106" t="s">
        <v>15071</v>
      </c>
      <c r="C292" s="109" t="s">
        <v>15070</v>
      </c>
      <c r="D292" s="102" t="s">
        <v>15069</v>
      </c>
      <c r="E292" s="102" t="s">
        <v>15068</v>
      </c>
      <c r="F292" s="107" t="s">
        <v>244</v>
      </c>
      <c r="G292" s="98" t="s">
        <v>15067</v>
      </c>
      <c r="H292" s="99" t="s">
        <v>15066</v>
      </c>
      <c r="I292" s="100" t="s">
        <v>14228</v>
      </c>
      <c r="J292" s="98" t="s">
        <v>15065</v>
      </c>
      <c r="K292" s="99" t="s">
        <v>15064</v>
      </c>
    </row>
    <row r="293" spans="1:11" ht="17.5" x14ac:dyDescent="0.45">
      <c r="A293" s="104"/>
      <c r="B293" s="106"/>
      <c r="C293" s="103"/>
      <c r="D293" s="102"/>
      <c r="E293" s="102"/>
      <c r="F293" s="105" t="s">
        <v>65</v>
      </c>
      <c r="G293" s="99" t="s">
        <v>15063</v>
      </c>
      <c r="H293" s="98" t="s">
        <v>15062</v>
      </c>
      <c r="I293" s="100" t="s">
        <v>14217</v>
      </c>
      <c r="J293" s="99" t="s">
        <v>15061</v>
      </c>
      <c r="K293" s="98" t="s">
        <v>15060</v>
      </c>
    </row>
    <row r="294" spans="1:11" ht="17.5" x14ac:dyDescent="0.45">
      <c r="A294" s="104"/>
      <c r="B294" s="106"/>
      <c r="C294" s="103"/>
      <c r="D294" s="106" t="s">
        <v>15059</v>
      </c>
      <c r="E294" s="106" t="s">
        <v>15058</v>
      </c>
      <c r="F294" s="107" t="s">
        <v>244</v>
      </c>
      <c r="G294" s="98" t="s">
        <v>15057</v>
      </c>
      <c r="H294" s="99" t="s">
        <v>15056</v>
      </c>
      <c r="I294" s="100" t="s">
        <v>14212</v>
      </c>
      <c r="J294" s="98" t="s">
        <v>15055</v>
      </c>
      <c r="K294" s="99" t="s">
        <v>15054</v>
      </c>
    </row>
    <row r="295" spans="1:11" ht="17.5" x14ac:dyDescent="0.45">
      <c r="A295" s="104"/>
      <c r="B295" s="106"/>
      <c r="C295" s="103"/>
      <c r="D295" s="106"/>
      <c r="E295" s="106"/>
      <c r="F295" s="105" t="s">
        <v>65</v>
      </c>
      <c r="G295" s="99" t="s">
        <v>15053</v>
      </c>
      <c r="H295" s="98" t="s">
        <v>15052</v>
      </c>
      <c r="I295" s="100" t="s">
        <v>14245</v>
      </c>
      <c r="J295" s="99" t="s">
        <v>15051</v>
      </c>
      <c r="K295" s="98" t="s">
        <v>15050</v>
      </c>
    </row>
    <row r="296" spans="1:11" ht="17.5" x14ac:dyDescent="0.45">
      <c r="A296" s="104"/>
      <c r="B296" s="106"/>
      <c r="C296" s="103"/>
      <c r="D296" s="102" t="s">
        <v>15049</v>
      </c>
      <c r="E296" s="102" t="s">
        <v>15048</v>
      </c>
      <c r="F296" s="107" t="s">
        <v>65</v>
      </c>
      <c r="G296" s="98" t="s">
        <v>15047</v>
      </c>
      <c r="H296" s="99" t="s">
        <v>15046</v>
      </c>
      <c r="I296" s="100" t="s">
        <v>14217</v>
      </c>
      <c r="J296" s="98" t="s">
        <v>15045</v>
      </c>
      <c r="K296" s="99" t="s">
        <v>15044</v>
      </c>
    </row>
    <row r="297" spans="1:11" ht="17.5" x14ac:dyDescent="0.45">
      <c r="A297" s="104"/>
      <c r="B297" s="106"/>
      <c r="C297" s="103"/>
      <c r="D297" s="102"/>
      <c r="E297" s="102"/>
      <c r="F297" s="105" t="s">
        <v>244</v>
      </c>
      <c r="G297" s="99" t="s">
        <v>15043</v>
      </c>
      <c r="H297" s="98" t="s">
        <v>15042</v>
      </c>
      <c r="I297" s="100" t="s">
        <v>14212</v>
      </c>
      <c r="J297" s="99" t="s">
        <v>15041</v>
      </c>
      <c r="K297" s="98" t="s">
        <v>15040</v>
      </c>
    </row>
    <row r="298" spans="1:11" ht="17.5" x14ac:dyDescent="0.45">
      <c r="A298" s="104"/>
      <c r="B298" s="106"/>
      <c r="C298" s="103"/>
      <c r="D298" s="106" t="s">
        <v>15039</v>
      </c>
      <c r="E298" s="106" t="s">
        <v>15038</v>
      </c>
      <c r="F298" s="107" t="s">
        <v>244</v>
      </c>
      <c r="G298" s="98" t="s">
        <v>15037</v>
      </c>
      <c r="H298" s="99" t="s">
        <v>15036</v>
      </c>
      <c r="I298" s="100" t="s">
        <v>14228</v>
      </c>
      <c r="J298" s="98" t="s">
        <v>15035</v>
      </c>
      <c r="K298" s="99" t="s">
        <v>15034</v>
      </c>
    </row>
    <row r="299" spans="1:11" ht="17.5" x14ac:dyDescent="0.45">
      <c r="A299" s="104"/>
      <c r="B299" s="106"/>
      <c r="C299" s="103"/>
      <c r="D299" s="106"/>
      <c r="E299" s="106"/>
      <c r="F299" s="105" t="s">
        <v>65</v>
      </c>
      <c r="G299" s="99" t="s">
        <v>15033</v>
      </c>
      <c r="H299" s="98" t="s">
        <v>15032</v>
      </c>
      <c r="I299" s="100" t="s">
        <v>14217</v>
      </c>
      <c r="J299" s="99" t="s">
        <v>15031</v>
      </c>
      <c r="K299" s="98" t="s">
        <v>15030</v>
      </c>
    </row>
    <row r="300" spans="1:11" ht="17.5" x14ac:dyDescent="0.45">
      <c r="A300" s="104"/>
      <c r="B300" s="106"/>
      <c r="C300" s="103"/>
      <c r="D300" s="102" t="s">
        <v>15029</v>
      </c>
      <c r="E300" s="102" t="s">
        <v>15028</v>
      </c>
      <c r="F300" s="107" t="s">
        <v>244</v>
      </c>
      <c r="G300" s="98" t="s">
        <v>15027</v>
      </c>
      <c r="H300" s="99" t="s">
        <v>15026</v>
      </c>
      <c r="I300" s="100" t="s">
        <v>14217</v>
      </c>
      <c r="J300" s="98" t="s">
        <v>15025</v>
      </c>
      <c r="K300" s="99" t="s">
        <v>15024</v>
      </c>
    </row>
    <row r="301" spans="1:11" ht="17.5" x14ac:dyDescent="0.45">
      <c r="A301" s="104"/>
      <c r="B301" s="106"/>
      <c r="C301" s="103"/>
      <c r="D301" s="102"/>
      <c r="E301" s="102"/>
      <c r="F301" s="105" t="s">
        <v>65</v>
      </c>
      <c r="G301" s="99" t="s">
        <v>15023</v>
      </c>
      <c r="H301" s="98" t="s">
        <v>15022</v>
      </c>
      <c r="I301" s="100" t="s">
        <v>14212</v>
      </c>
      <c r="J301" s="99" t="s">
        <v>15021</v>
      </c>
      <c r="K301" s="98" t="s">
        <v>15020</v>
      </c>
    </row>
    <row r="302" spans="1:11" ht="17.5" x14ac:dyDescent="0.45">
      <c r="A302" s="104"/>
      <c r="B302" s="106"/>
      <c r="C302" s="110" t="s">
        <v>15019</v>
      </c>
      <c r="D302" s="106" t="s">
        <v>15018</v>
      </c>
      <c r="E302" s="106" t="s">
        <v>15017</v>
      </c>
      <c r="F302" s="107" t="s">
        <v>244</v>
      </c>
      <c r="G302" s="98" t="s">
        <v>15016</v>
      </c>
      <c r="H302" s="99" t="s">
        <v>15015</v>
      </c>
      <c r="I302" s="100" t="s">
        <v>14217</v>
      </c>
      <c r="J302" s="98" t="s">
        <v>15014</v>
      </c>
      <c r="K302" s="99" t="s">
        <v>15013</v>
      </c>
    </row>
    <row r="303" spans="1:11" ht="17.5" x14ac:dyDescent="0.45">
      <c r="A303" s="104"/>
      <c r="B303" s="106"/>
      <c r="C303" s="108"/>
      <c r="D303" s="106"/>
      <c r="E303" s="106"/>
      <c r="F303" s="105" t="s">
        <v>65</v>
      </c>
      <c r="G303" s="99" t="s">
        <v>15012</v>
      </c>
      <c r="H303" s="98" t="s">
        <v>15011</v>
      </c>
      <c r="I303" s="100" t="s">
        <v>14212</v>
      </c>
      <c r="J303" s="99" t="s">
        <v>15010</v>
      </c>
      <c r="K303" s="98" t="s">
        <v>15009</v>
      </c>
    </row>
    <row r="304" spans="1:11" ht="17.5" x14ac:dyDescent="0.45">
      <c r="A304" s="104"/>
      <c r="B304" s="106"/>
      <c r="C304" s="108"/>
      <c r="D304" s="102" t="s">
        <v>15008</v>
      </c>
      <c r="E304" s="102" t="s">
        <v>15007</v>
      </c>
      <c r="F304" s="107" t="s">
        <v>65</v>
      </c>
      <c r="G304" s="98" t="s">
        <v>15006</v>
      </c>
      <c r="H304" s="99" t="s">
        <v>15005</v>
      </c>
      <c r="I304" s="100" t="s">
        <v>14228</v>
      </c>
      <c r="J304" s="98" t="s">
        <v>15004</v>
      </c>
      <c r="K304" s="99" t="s">
        <v>15003</v>
      </c>
    </row>
    <row r="305" spans="1:11" ht="17.5" x14ac:dyDescent="0.45">
      <c r="A305" s="104"/>
      <c r="B305" s="106"/>
      <c r="C305" s="108"/>
      <c r="D305" s="102"/>
      <c r="E305" s="102"/>
      <c r="F305" s="105" t="s">
        <v>244</v>
      </c>
      <c r="G305" s="99" t="s">
        <v>15002</v>
      </c>
      <c r="H305" s="98" t="s">
        <v>15001</v>
      </c>
      <c r="I305" s="100" t="s">
        <v>14217</v>
      </c>
      <c r="J305" s="99" t="s">
        <v>15000</v>
      </c>
      <c r="K305" s="98" t="s">
        <v>14999</v>
      </c>
    </row>
    <row r="306" spans="1:11" ht="17.5" x14ac:dyDescent="0.45">
      <c r="A306" s="104"/>
      <c r="B306" s="106"/>
      <c r="C306" s="108"/>
      <c r="D306" s="106" t="s">
        <v>14998</v>
      </c>
      <c r="E306" s="106" t="s">
        <v>14997</v>
      </c>
      <c r="F306" s="107" t="s">
        <v>65</v>
      </c>
      <c r="G306" s="98" t="s">
        <v>14996</v>
      </c>
      <c r="H306" s="99" t="s">
        <v>14995</v>
      </c>
      <c r="I306" s="100" t="s">
        <v>14212</v>
      </c>
      <c r="J306" s="98" t="s">
        <v>14994</v>
      </c>
      <c r="K306" s="99" t="s">
        <v>14993</v>
      </c>
    </row>
    <row r="307" spans="1:11" ht="17.5" x14ac:dyDescent="0.45">
      <c r="A307" s="104"/>
      <c r="B307" s="106"/>
      <c r="C307" s="108"/>
      <c r="D307" s="106"/>
      <c r="E307" s="106"/>
      <c r="F307" s="105" t="s">
        <v>244</v>
      </c>
      <c r="G307" s="99" t="s">
        <v>14992</v>
      </c>
      <c r="H307" s="98" t="s">
        <v>14991</v>
      </c>
      <c r="I307" s="100" t="s">
        <v>14245</v>
      </c>
      <c r="J307" s="99" t="s">
        <v>14990</v>
      </c>
      <c r="K307" s="98" t="s">
        <v>14989</v>
      </c>
    </row>
    <row r="308" spans="1:11" ht="17.5" x14ac:dyDescent="0.45">
      <c r="A308" s="104"/>
      <c r="B308" s="106"/>
      <c r="C308" s="108"/>
      <c r="D308" s="102" t="s">
        <v>14988</v>
      </c>
      <c r="E308" s="102" t="s">
        <v>14987</v>
      </c>
      <c r="F308" s="107" t="s">
        <v>244</v>
      </c>
      <c r="G308" s="98" t="s">
        <v>14986</v>
      </c>
      <c r="H308" s="99" t="s">
        <v>14985</v>
      </c>
      <c r="I308" s="100" t="s">
        <v>14217</v>
      </c>
      <c r="J308" s="98" t="s">
        <v>14984</v>
      </c>
      <c r="K308" s="99" t="s">
        <v>14983</v>
      </c>
    </row>
    <row r="309" spans="1:11" ht="17.5" x14ac:dyDescent="0.45">
      <c r="A309" s="104"/>
      <c r="B309" s="106"/>
      <c r="C309" s="108"/>
      <c r="D309" s="102"/>
      <c r="E309" s="102"/>
      <c r="F309" s="105" t="s">
        <v>65</v>
      </c>
      <c r="G309" s="99" t="s">
        <v>14982</v>
      </c>
      <c r="H309" s="98" t="s">
        <v>14981</v>
      </c>
      <c r="I309" s="100" t="s">
        <v>14212</v>
      </c>
      <c r="J309" s="99" t="s">
        <v>14980</v>
      </c>
      <c r="K309" s="98" t="s">
        <v>14979</v>
      </c>
    </row>
    <row r="310" spans="1:11" ht="17.5" x14ac:dyDescent="0.45">
      <c r="A310" s="104"/>
      <c r="B310" s="106"/>
      <c r="C310" s="108"/>
      <c r="D310" s="106" t="s">
        <v>14978</v>
      </c>
      <c r="E310" s="106" t="s">
        <v>14977</v>
      </c>
      <c r="F310" s="107" t="s">
        <v>244</v>
      </c>
      <c r="G310" s="98" t="s">
        <v>14976</v>
      </c>
      <c r="H310" s="99" t="s">
        <v>14975</v>
      </c>
      <c r="I310" s="100" t="s">
        <v>14228</v>
      </c>
      <c r="J310" s="98" t="s">
        <v>14974</v>
      </c>
      <c r="K310" s="99" t="s">
        <v>14973</v>
      </c>
    </row>
    <row r="311" spans="1:11" ht="17.5" x14ac:dyDescent="0.45">
      <c r="A311" s="104"/>
      <c r="B311" s="106"/>
      <c r="C311" s="108"/>
      <c r="D311" s="106"/>
      <c r="E311" s="106"/>
      <c r="F311" s="105" t="s">
        <v>65</v>
      </c>
      <c r="G311" s="99" t="s">
        <v>14972</v>
      </c>
      <c r="H311" s="98" t="s">
        <v>14971</v>
      </c>
      <c r="I311" s="100" t="s">
        <v>14217</v>
      </c>
      <c r="J311" s="99" t="s">
        <v>14970</v>
      </c>
      <c r="K311" s="98" t="s">
        <v>14969</v>
      </c>
    </row>
    <row r="312" spans="1:11" ht="17.5" x14ac:dyDescent="0.45">
      <c r="A312" s="104"/>
      <c r="B312" s="106"/>
      <c r="C312" s="109" t="s">
        <v>14968</v>
      </c>
      <c r="D312" s="102" t="s">
        <v>14967</v>
      </c>
      <c r="E312" s="102" t="s">
        <v>14966</v>
      </c>
      <c r="F312" s="107" t="s">
        <v>244</v>
      </c>
      <c r="G312" s="98" t="s">
        <v>14965</v>
      </c>
      <c r="H312" s="99" t="s">
        <v>14964</v>
      </c>
      <c r="I312" s="100" t="s">
        <v>14326</v>
      </c>
      <c r="J312" s="98" t="s">
        <v>14963</v>
      </c>
      <c r="K312" s="99" t="s">
        <v>14962</v>
      </c>
    </row>
    <row r="313" spans="1:11" ht="17.5" x14ac:dyDescent="0.45">
      <c r="A313" s="104"/>
      <c r="B313" s="106"/>
      <c r="C313" s="103"/>
      <c r="D313" s="102"/>
      <c r="E313" s="102"/>
      <c r="F313" s="105" t="s">
        <v>65</v>
      </c>
      <c r="G313" s="99" t="s">
        <v>14961</v>
      </c>
      <c r="H313" s="98" t="s">
        <v>14960</v>
      </c>
      <c r="I313" s="100" t="s">
        <v>14217</v>
      </c>
      <c r="J313" s="99" t="s">
        <v>14959</v>
      </c>
      <c r="K313" s="98" t="s">
        <v>14958</v>
      </c>
    </row>
    <row r="314" spans="1:11" ht="17.5" x14ac:dyDescent="0.45">
      <c r="A314" s="104"/>
      <c r="B314" s="106"/>
      <c r="C314" s="103"/>
      <c r="D314" s="106" t="s">
        <v>14957</v>
      </c>
      <c r="E314" s="106" t="s">
        <v>14956</v>
      </c>
      <c r="F314" s="107" t="s">
        <v>244</v>
      </c>
      <c r="G314" s="98" t="s">
        <v>14955</v>
      </c>
      <c r="H314" s="99" t="s">
        <v>14954</v>
      </c>
      <c r="I314" s="100" t="s">
        <v>14212</v>
      </c>
      <c r="J314" s="98" t="s">
        <v>14953</v>
      </c>
      <c r="K314" s="99" t="s">
        <v>14952</v>
      </c>
    </row>
    <row r="315" spans="1:11" ht="17.5" x14ac:dyDescent="0.45">
      <c r="A315" s="104"/>
      <c r="B315" s="106"/>
      <c r="C315" s="103"/>
      <c r="D315" s="106"/>
      <c r="E315" s="106"/>
      <c r="F315" s="105" t="s">
        <v>65</v>
      </c>
      <c r="G315" s="99" t="s">
        <v>14951</v>
      </c>
      <c r="H315" s="98" t="s">
        <v>14950</v>
      </c>
      <c r="I315" s="100" t="s">
        <v>14217</v>
      </c>
      <c r="J315" s="99" t="s">
        <v>14949</v>
      </c>
      <c r="K315" s="98" t="s">
        <v>14948</v>
      </c>
    </row>
    <row r="316" spans="1:11" ht="17.5" x14ac:dyDescent="0.45">
      <c r="A316" s="104"/>
      <c r="B316" s="106"/>
      <c r="C316" s="103"/>
      <c r="D316" s="102" t="s">
        <v>14947</v>
      </c>
      <c r="E316" s="102" t="s">
        <v>14946</v>
      </c>
      <c r="F316" s="107" t="s">
        <v>65</v>
      </c>
      <c r="G316" s="98" t="s">
        <v>14945</v>
      </c>
      <c r="H316" s="99" t="s">
        <v>14944</v>
      </c>
      <c r="I316" s="100" t="s">
        <v>14228</v>
      </c>
      <c r="J316" s="98" t="s">
        <v>14943</v>
      </c>
      <c r="K316" s="99" t="s">
        <v>14942</v>
      </c>
    </row>
    <row r="317" spans="1:11" ht="17.5" x14ac:dyDescent="0.45">
      <c r="A317" s="104"/>
      <c r="B317" s="106"/>
      <c r="C317" s="103"/>
      <c r="D317" s="102"/>
      <c r="E317" s="102"/>
      <c r="F317" s="105" t="s">
        <v>244</v>
      </c>
      <c r="G317" s="99" t="s">
        <v>14941</v>
      </c>
      <c r="H317" s="98" t="s">
        <v>14940</v>
      </c>
      <c r="I317" s="100" t="s">
        <v>14212</v>
      </c>
      <c r="J317" s="99" t="s">
        <v>14939</v>
      </c>
      <c r="K317" s="98" t="s">
        <v>14938</v>
      </c>
    </row>
    <row r="318" spans="1:11" ht="17.5" x14ac:dyDescent="0.45">
      <c r="A318" s="104"/>
      <c r="B318" s="106"/>
      <c r="C318" s="103"/>
      <c r="D318" s="106" t="s">
        <v>14937</v>
      </c>
      <c r="E318" s="106" t="s">
        <v>14936</v>
      </c>
      <c r="F318" s="107" t="s">
        <v>244</v>
      </c>
      <c r="G318" s="98" t="s">
        <v>14935</v>
      </c>
      <c r="H318" s="99" t="s">
        <v>14934</v>
      </c>
      <c r="I318" s="100" t="s">
        <v>14217</v>
      </c>
      <c r="J318" s="98" t="s">
        <v>14933</v>
      </c>
      <c r="K318" s="99" t="s">
        <v>14932</v>
      </c>
    </row>
    <row r="319" spans="1:11" ht="17.5" x14ac:dyDescent="0.45">
      <c r="A319" s="104"/>
      <c r="B319" s="106"/>
      <c r="C319" s="103"/>
      <c r="D319" s="106"/>
      <c r="E319" s="106"/>
      <c r="F319" s="105" t="s">
        <v>65</v>
      </c>
      <c r="G319" s="99" t="s">
        <v>14931</v>
      </c>
      <c r="H319" s="98" t="s">
        <v>14930</v>
      </c>
      <c r="I319" s="100" t="s">
        <v>14245</v>
      </c>
      <c r="J319" s="99" t="s">
        <v>14929</v>
      </c>
      <c r="K319" s="98" t="s">
        <v>14928</v>
      </c>
    </row>
    <row r="320" spans="1:11" ht="17.5" x14ac:dyDescent="0.45">
      <c r="A320" s="104"/>
      <c r="B320" s="106"/>
      <c r="C320" s="103"/>
      <c r="D320" s="102" t="s">
        <v>14927</v>
      </c>
      <c r="E320" s="102" t="s">
        <v>14926</v>
      </c>
      <c r="F320" s="107" t="s">
        <v>244</v>
      </c>
      <c r="G320" s="98" t="s">
        <v>14925</v>
      </c>
      <c r="H320" s="99" t="s">
        <v>14924</v>
      </c>
      <c r="I320" s="100" t="s">
        <v>14212</v>
      </c>
      <c r="J320" s="98" t="s">
        <v>14923</v>
      </c>
      <c r="K320" s="99" t="s">
        <v>14922</v>
      </c>
    </row>
    <row r="321" spans="1:11" ht="17.5" x14ac:dyDescent="0.45">
      <c r="A321" s="104"/>
      <c r="B321" s="106"/>
      <c r="C321" s="103"/>
      <c r="D321" s="102"/>
      <c r="E321" s="102"/>
      <c r="F321" s="105" t="s">
        <v>65</v>
      </c>
      <c r="G321" s="99" t="s">
        <v>14921</v>
      </c>
      <c r="H321" s="98" t="s">
        <v>14920</v>
      </c>
      <c r="I321" s="100" t="s">
        <v>14217</v>
      </c>
      <c r="J321" s="99" t="s">
        <v>14919</v>
      </c>
      <c r="K321" s="98" t="s">
        <v>14918</v>
      </c>
    </row>
    <row r="322" spans="1:11" ht="17.5" x14ac:dyDescent="0.45">
      <c r="A322" s="104"/>
      <c r="B322" s="106"/>
      <c r="C322" s="110" t="s">
        <v>14917</v>
      </c>
      <c r="D322" s="106" t="s">
        <v>14916</v>
      </c>
      <c r="E322" s="106" t="s">
        <v>14915</v>
      </c>
      <c r="F322" s="107" t="s">
        <v>65</v>
      </c>
      <c r="G322" s="98" t="s">
        <v>14914</v>
      </c>
      <c r="H322" s="99" t="s">
        <v>14913</v>
      </c>
      <c r="I322" s="100" t="s">
        <v>14228</v>
      </c>
      <c r="J322" s="98" t="s">
        <v>14912</v>
      </c>
      <c r="K322" s="99" t="s">
        <v>14911</v>
      </c>
    </row>
    <row r="323" spans="1:11" ht="17.5" x14ac:dyDescent="0.45">
      <c r="A323" s="104"/>
      <c r="B323" s="106"/>
      <c r="C323" s="108"/>
      <c r="D323" s="106"/>
      <c r="E323" s="106"/>
      <c r="F323" s="105" t="s">
        <v>244</v>
      </c>
      <c r="G323" s="99" t="s">
        <v>14910</v>
      </c>
      <c r="H323" s="98" t="s">
        <v>14909</v>
      </c>
      <c r="I323" s="100" t="s">
        <v>14212</v>
      </c>
      <c r="J323" s="99" t="s">
        <v>14908</v>
      </c>
      <c r="K323" s="98" t="s">
        <v>14907</v>
      </c>
    </row>
    <row r="324" spans="1:11" ht="17.5" x14ac:dyDescent="0.45">
      <c r="A324" s="104"/>
      <c r="B324" s="106"/>
      <c r="C324" s="108"/>
      <c r="D324" s="102" t="s">
        <v>14906</v>
      </c>
      <c r="E324" s="102" t="s">
        <v>14905</v>
      </c>
      <c r="F324" s="107" t="s">
        <v>65</v>
      </c>
      <c r="G324" s="98" t="s">
        <v>14844</v>
      </c>
      <c r="H324" s="99" t="s">
        <v>14904</v>
      </c>
      <c r="I324" s="100" t="s">
        <v>14217</v>
      </c>
      <c r="J324" s="98" t="s">
        <v>14903</v>
      </c>
      <c r="K324" s="99" t="s">
        <v>14902</v>
      </c>
    </row>
    <row r="325" spans="1:11" ht="17.5" x14ac:dyDescent="0.45">
      <c r="A325" s="104"/>
      <c r="B325" s="106"/>
      <c r="C325" s="108"/>
      <c r="D325" s="102"/>
      <c r="E325" s="102"/>
      <c r="F325" s="105" t="s">
        <v>244</v>
      </c>
      <c r="G325" s="99" t="s">
        <v>14901</v>
      </c>
      <c r="H325" s="98" t="s">
        <v>14900</v>
      </c>
      <c r="I325" s="100" t="s">
        <v>14217</v>
      </c>
      <c r="J325" s="99" t="s">
        <v>14899</v>
      </c>
      <c r="K325" s="98" t="s">
        <v>14898</v>
      </c>
    </row>
    <row r="326" spans="1:11" ht="17.5" x14ac:dyDescent="0.45">
      <c r="A326" s="104"/>
      <c r="B326" s="106"/>
      <c r="C326" s="108"/>
      <c r="D326" s="106" t="s">
        <v>14897</v>
      </c>
      <c r="E326" s="106" t="s">
        <v>14896</v>
      </c>
      <c r="F326" s="107" t="s">
        <v>65</v>
      </c>
      <c r="G326" s="98" t="s">
        <v>14895</v>
      </c>
      <c r="H326" s="99" t="s">
        <v>14894</v>
      </c>
      <c r="I326" s="100" t="s">
        <v>14212</v>
      </c>
      <c r="J326" s="98" t="s">
        <v>14893</v>
      </c>
      <c r="K326" s="99" t="s">
        <v>14892</v>
      </c>
    </row>
    <row r="327" spans="1:11" ht="17.5" x14ac:dyDescent="0.45">
      <c r="A327" s="104"/>
      <c r="B327" s="106"/>
      <c r="C327" s="108"/>
      <c r="D327" s="106"/>
      <c r="E327" s="106"/>
      <c r="F327" s="105" t="s">
        <v>244</v>
      </c>
      <c r="G327" s="99" t="s">
        <v>14891</v>
      </c>
      <c r="H327" s="98" t="s">
        <v>14890</v>
      </c>
      <c r="I327" s="100" t="s">
        <v>14228</v>
      </c>
      <c r="J327" s="99" t="s">
        <v>14889</v>
      </c>
      <c r="K327" s="98" t="s">
        <v>14888</v>
      </c>
    </row>
    <row r="328" spans="1:11" ht="17.5" x14ac:dyDescent="0.45">
      <c r="A328" s="104"/>
      <c r="B328" s="106"/>
      <c r="C328" s="108"/>
      <c r="D328" s="102" t="s">
        <v>14887</v>
      </c>
      <c r="E328" s="102" t="s">
        <v>14886</v>
      </c>
      <c r="F328" s="107" t="s">
        <v>244</v>
      </c>
      <c r="G328" s="98" t="s">
        <v>14885</v>
      </c>
      <c r="H328" s="99" t="s">
        <v>14884</v>
      </c>
      <c r="I328" s="100" t="s">
        <v>14217</v>
      </c>
      <c r="J328" s="98" t="s">
        <v>14883</v>
      </c>
      <c r="K328" s="99" t="s">
        <v>14882</v>
      </c>
    </row>
    <row r="329" spans="1:11" ht="17.5" x14ac:dyDescent="0.45">
      <c r="A329" s="104"/>
      <c r="B329" s="106"/>
      <c r="C329" s="108"/>
      <c r="D329" s="102"/>
      <c r="E329" s="102"/>
      <c r="F329" s="105" t="s">
        <v>65</v>
      </c>
      <c r="G329" s="99" t="s">
        <v>14881</v>
      </c>
      <c r="H329" s="98" t="s">
        <v>14880</v>
      </c>
      <c r="I329" s="100" t="s">
        <v>14326</v>
      </c>
      <c r="J329" s="99" t="s">
        <v>14879</v>
      </c>
      <c r="K329" s="98" t="s">
        <v>14878</v>
      </c>
    </row>
    <row r="330" spans="1:11" ht="17.5" x14ac:dyDescent="0.45">
      <c r="A330" s="104"/>
      <c r="B330" s="106"/>
      <c r="C330" s="108"/>
      <c r="D330" s="106" t="s">
        <v>14877</v>
      </c>
      <c r="E330" s="106" t="s">
        <v>14876</v>
      </c>
      <c r="F330" s="107" t="s">
        <v>65</v>
      </c>
      <c r="G330" s="98" t="s">
        <v>14875</v>
      </c>
      <c r="H330" s="99" t="s">
        <v>14874</v>
      </c>
      <c r="I330" s="100" t="s">
        <v>14212</v>
      </c>
      <c r="J330" s="98" t="s">
        <v>14873</v>
      </c>
      <c r="K330" s="99" t="s">
        <v>14872</v>
      </c>
    </row>
    <row r="331" spans="1:11" ht="17.5" x14ac:dyDescent="0.45">
      <c r="A331" s="104"/>
      <c r="B331" s="106"/>
      <c r="C331" s="108"/>
      <c r="D331" s="106"/>
      <c r="E331" s="106"/>
      <c r="F331" s="105" t="s">
        <v>244</v>
      </c>
      <c r="G331" s="99" t="s">
        <v>14871</v>
      </c>
      <c r="H331" s="98" t="s">
        <v>14870</v>
      </c>
      <c r="I331" s="100" t="s">
        <v>14217</v>
      </c>
      <c r="J331" s="99" t="s">
        <v>14869</v>
      </c>
      <c r="K331" s="98" t="s">
        <v>14868</v>
      </c>
    </row>
    <row r="332" spans="1:11" ht="17.5" x14ac:dyDescent="0.45">
      <c r="A332" s="104"/>
      <c r="B332" s="106"/>
      <c r="C332" s="109" t="s">
        <v>14867</v>
      </c>
      <c r="D332" s="102" t="s">
        <v>14866</v>
      </c>
      <c r="E332" s="102" t="s">
        <v>14865</v>
      </c>
      <c r="F332" s="107" t="s">
        <v>65</v>
      </c>
      <c r="G332" s="98" t="s">
        <v>14864</v>
      </c>
      <c r="H332" s="99" t="s">
        <v>14863</v>
      </c>
      <c r="I332" s="100" t="s">
        <v>14228</v>
      </c>
      <c r="J332" s="98" t="s">
        <v>14862</v>
      </c>
      <c r="K332" s="99" t="s">
        <v>14861</v>
      </c>
    </row>
    <row r="333" spans="1:11" ht="17.5" x14ac:dyDescent="0.45">
      <c r="A333" s="104"/>
      <c r="B333" s="106"/>
      <c r="C333" s="103"/>
      <c r="D333" s="102"/>
      <c r="E333" s="102"/>
      <c r="F333" s="105" t="s">
        <v>244</v>
      </c>
      <c r="G333" s="99" t="s">
        <v>14860</v>
      </c>
      <c r="H333" s="98" t="s">
        <v>14859</v>
      </c>
      <c r="I333" s="100" t="s">
        <v>14212</v>
      </c>
      <c r="J333" s="99" t="s">
        <v>14858</v>
      </c>
      <c r="K333" s="98" t="s">
        <v>14857</v>
      </c>
    </row>
    <row r="334" spans="1:11" ht="17.5" x14ac:dyDescent="0.45">
      <c r="A334" s="104"/>
      <c r="B334" s="106"/>
      <c r="C334" s="103"/>
      <c r="D334" s="106" t="s">
        <v>14856</v>
      </c>
      <c r="E334" s="106" t="s">
        <v>14855</v>
      </c>
      <c r="F334" s="107" t="s">
        <v>65</v>
      </c>
      <c r="G334" s="98" t="s">
        <v>14854</v>
      </c>
      <c r="H334" s="99" t="s">
        <v>14853</v>
      </c>
      <c r="I334" s="100" t="s">
        <v>14217</v>
      </c>
      <c r="J334" s="98" t="s">
        <v>14852</v>
      </c>
      <c r="K334" s="99" t="s">
        <v>14851</v>
      </c>
    </row>
    <row r="335" spans="1:11" ht="17.5" x14ac:dyDescent="0.45">
      <c r="A335" s="104"/>
      <c r="B335" s="106"/>
      <c r="C335" s="103"/>
      <c r="D335" s="106"/>
      <c r="E335" s="106"/>
      <c r="F335" s="105" t="s">
        <v>244</v>
      </c>
      <c r="G335" s="99" t="s">
        <v>14850</v>
      </c>
      <c r="H335" s="98" t="s">
        <v>14849</v>
      </c>
      <c r="I335" s="100" t="s">
        <v>14245</v>
      </c>
      <c r="J335" s="99" t="s">
        <v>14848</v>
      </c>
      <c r="K335" s="98" t="s">
        <v>14847</v>
      </c>
    </row>
    <row r="336" spans="1:11" ht="17.5" x14ac:dyDescent="0.45">
      <c r="A336" s="104"/>
      <c r="B336" s="106"/>
      <c r="C336" s="103"/>
      <c r="D336" s="102" t="s">
        <v>14846</v>
      </c>
      <c r="E336" s="102" t="s">
        <v>14845</v>
      </c>
      <c r="F336" s="107" t="s">
        <v>65</v>
      </c>
      <c r="G336" s="98" t="s">
        <v>14844</v>
      </c>
      <c r="H336" s="99" t="s">
        <v>14843</v>
      </c>
      <c r="I336" s="100" t="s">
        <v>14212</v>
      </c>
      <c r="J336" s="98" t="s">
        <v>14842</v>
      </c>
      <c r="K336" s="99" t="s">
        <v>14841</v>
      </c>
    </row>
    <row r="337" spans="1:11" ht="17.5" x14ac:dyDescent="0.45">
      <c r="A337" s="104"/>
      <c r="B337" s="106"/>
      <c r="C337" s="103"/>
      <c r="D337" s="102"/>
      <c r="E337" s="102"/>
      <c r="F337" s="105" t="s">
        <v>244</v>
      </c>
      <c r="G337" s="99" t="s">
        <v>14840</v>
      </c>
      <c r="H337" s="98" t="s">
        <v>14839</v>
      </c>
      <c r="I337" s="100" t="s">
        <v>14217</v>
      </c>
      <c r="J337" s="99" t="s">
        <v>14838</v>
      </c>
      <c r="K337" s="98" t="s">
        <v>14837</v>
      </c>
    </row>
    <row r="338" spans="1:11" ht="17.5" x14ac:dyDescent="0.45">
      <c r="A338" s="104"/>
      <c r="B338" s="106"/>
      <c r="C338" s="103"/>
      <c r="D338" s="106" t="s">
        <v>14836</v>
      </c>
      <c r="E338" s="106" t="s">
        <v>14835</v>
      </c>
      <c r="F338" s="107" t="s">
        <v>244</v>
      </c>
      <c r="G338" s="98" t="s">
        <v>14834</v>
      </c>
      <c r="H338" s="99" t="s">
        <v>14833</v>
      </c>
      <c r="I338" s="100" t="s">
        <v>14228</v>
      </c>
      <c r="J338" s="98" t="s">
        <v>14832</v>
      </c>
      <c r="K338" s="99" t="s">
        <v>14831</v>
      </c>
    </row>
    <row r="339" spans="1:11" ht="17.5" x14ac:dyDescent="0.45">
      <c r="A339" s="104"/>
      <c r="B339" s="106"/>
      <c r="C339" s="103"/>
      <c r="D339" s="106"/>
      <c r="E339" s="106"/>
      <c r="F339" s="105" t="s">
        <v>65</v>
      </c>
      <c r="G339" s="99" t="s">
        <v>14830</v>
      </c>
      <c r="H339" s="98" t="s">
        <v>14829</v>
      </c>
      <c r="I339" s="100" t="s">
        <v>14217</v>
      </c>
      <c r="J339" s="99" t="s">
        <v>14828</v>
      </c>
      <c r="K339" s="98" t="s">
        <v>14827</v>
      </c>
    </row>
    <row r="340" spans="1:11" ht="17.5" x14ac:dyDescent="0.45">
      <c r="A340" s="104"/>
      <c r="B340" s="106"/>
      <c r="C340" s="103"/>
      <c r="D340" s="102" t="s">
        <v>14826</v>
      </c>
      <c r="E340" s="102" t="s">
        <v>14825</v>
      </c>
      <c r="F340" s="107" t="s">
        <v>244</v>
      </c>
      <c r="G340" s="98" t="s">
        <v>14824</v>
      </c>
      <c r="H340" s="99" t="s">
        <v>14823</v>
      </c>
      <c r="I340" s="100" t="s">
        <v>14217</v>
      </c>
      <c r="J340" s="98" t="s">
        <v>14822</v>
      </c>
      <c r="K340" s="99" t="s">
        <v>14821</v>
      </c>
    </row>
    <row r="341" spans="1:11" ht="17.5" x14ac:dyDescent="0.45">
      <c r="A341" s="104"/>
      <c r="B341" s="106"/>
      <c r="C341" s="103"/>
      <c r="D341" s="102"/>
      <c r="E341" s="102"/>
      <c r="F341" s="105" t="s">
        <v>65</v>
      </c>
      <c r="G341" s="99" t="s">
        <v>14820</v>
      </c>
      <c r="H341" s="98" t="s">
        <v>14819</v>
      </c>
      <c r="I341" s="100" t="s">
        <v>14212</v>
      </c>
      <c r="J341" s="99" t="s">
        <v>14818</v>
      </c>
      <c r="K341" s="98" t="s">
        <v>14817</v>
      </c>
    </row>
    <row r="342" spans="1:11" ht="17.5" x14ac:dyDescent="0.45">
      <c r="A342" s="104"/>
      <c r="B342" s="106"/>
      <c r="C342" s="110" t="s">
        <v>14816</v>
      </c>
      <c r="D342" s="106" t="s">
        <v>14815</v>
      </c>
      <c r="E342" s="106" t="s">
        <v>14814</v>
      </c>
      <c r="F342" s="107" t="s">
        <v>65</v>
      </c>
      <c r="G342" s="98" t="s">
        <v>14813</v>
      </c>
      <c r="H342" s="99" t="s">
        <v>14812</v>
      </c>
      <c r="I342" s="100" t="s">
        <v>14228</v>
      </c>
      <c r="J342" s="98" t="s">
        <v>14811</v>
      </c>
      <c r="K342" s="99" t="s">
        <v>14810</v>
      </c>
    </row>
    <row r="343" spans="1:11" ht="17.5" x14ac:dyDescent="0.45">
      <c r="A343" s="104"/>
      <c r="B343" s="106"/>
      <c r="C343" s="108"/>
      <c r="D343" s="106"/>
      <c r="E343" s="106"/>
      <c r="F343" s="105" t="s">
        <v>244</v>
      </c>
      <c r="G343" s="99" t="s">
        <v>14809</v>
      </c>
      <c r="H343" s="98" t="s">
        <v>14808</v>
      </c>
      <c r="I343" s="100" t="s">
        <v>14217</v>
      </c>
      <c r="J343" s="99" t="s">
        <v>14807</v>
      </c>
      <c r="K343" s="98" t="s">
        <v>14806</v>
      </c>
    </row>
    <row r="344" spans="1:11" ht="17.5" x14ac:dyDescent="0.45">
      <c r="A344" s="104"/>
      <c r="B344" s="106"/>
      <c r="C344" s="108"/>
      <c r="D344" s="102" t="s">
        <v>14805</v>
      </c>
      <c r="E344" s="102" t="s">
        <v>14804</v>
      </c>
      <c r="F344" s="107" t="s">
        <v>65</v>
      </c>
      <c r="G344" s="98" t="s">
        <v>14803</v>
      </c>
      <c r="H344" s="99" t="s">
        <v>14802</v>
      </c>
      <c r="I344" s="100" t="s">
        <v>14212</v>
      </c>
      <c r="J344" s="98" t="s">
        <v>14801</v>
      </c>
      <c r="K344" s="99" t="s">
        <v>14800</v>
      </c>
    </row>
    <row r="345" spans="1:11" ht="17.5" x14ac:dyDescent="0.45">
      <c r="A345" s="104"/>
      <c r="B345" s="106"/>
      <c r="C345" s="108"/>
      <c r="D345" s="102"/>
      <c r="E345" s="102"/>
      <c r="F345" s="105" t="s">
        <v>244</v>
      </c>
      <c r="G345" s="99" t="s">
        <v>14799</v>
      </c>
      <c r="H345" s="98" t="s">
        <v>14798</v>
      </c>
      <c r="I345" s="100" t="s">
        <v>14245</v>
      </c>
      <c r="J345" s="99" t="s">
        <v>14797</v>
      </c>
      <c r="K345" s="98" t="s">
        <v>14796</v>
      </c>
    </row>
    <row r="346" spans="1:11" ht="17.5" x14ac:dyDescent="0.45">
      <c r="A346" s="104"/>
      <c r="B346" s="106"/>
      <c r="C346" s="108"/>
      <c r="D346" s="106" t="s">
        <v>14795</v>
      </c>
      <c r="E346" s="106" t="s">
        <v>14794</v>
      </c>
      <c r="F346" s="107" t="s">
        <v>244</v>
      </c>
      <c r="G346" s="98" t="s">
        <v>14793</v>
      </c>
      <c r="H346" s="99" t="s">
        <v>14792</v>
      </c>
      <c r="I346" s="100" t="s">
        <v>14217</v>
      </c>
      <c r="J346" s="98" t="s">
        <v>14791</v>
      </c>
      <c r="K346" s="99" t="s">
        <v>14790</v>
      </c>
    </row>
    <row r="347" spans="1:11" ht="17.5" x14ac:dyDescent="0.45">
      <c r="A347" s="104"/>
      <c r="B347" s="106"/>
      <c r="C347" s="108"/>
      <c r="D347" s="106"/>
      <c r="E347" s="106"/>
      <c r="F347" s="105" t="s">
        <v>65</v>
      </c>
      <c r="G347" s="99" t="s">
        <v>14789</v>
      </c>
      <c r="H347" s="98" t="s">
        <v>14788</v>
      </c>
      <c r="I347" s="100" t="s">
        <v>14212</v>
      </c>
      <c r="J347" s="99" t="s">
        <v>14787</v>
      </c>
      <c r="K347" s="98" t="s">
        <v>14786</v>
      </c>
    </row>
    <row r="348" spans="1:11" ht="17.5" x14ac:dyDescent="0.45">
      <c r="A348" s="104"/>
      <c r="B348" s="106"/>
      <c r="C348" s="108"/>
      <c r="D348" s="102" t="s">
        <v>14785</v>
      </c>
      <c r="E348" s="102" t="s">
        <v>14784</v>
      </c>
      <c r="F348" s="107" t="s">
        <v>244</v>
      </c>
      <c r="G348" s="98" t="s">
        <v>14783</v>
      </c>
      <c r="H348" s="99" t="s">
        <v>14782</v>
      </c>
      <c r="I348" s="100" t="s">
        <v>14228</v>
      </c>
      <c r="J348" s="98" t="s">
        <v>14781</v>
      </c>
      <c r="K348" s="99" t="s">
        <v>14780</v>
      </c>
    </row>
    <row r="349" spans="1:11" ht="17.5" x14ac:dyDescent="0.45">
      <c r="A349" s="104"/>
      <c r="B349" s="106"/>
      <c r="C349" s="108"/>
      <c r="D349" s="102"/>
      <c r="E349" s="102"/>
      <c r="F349" s="105" t="s">
        <v>65</v>
      </c>
      <c r="G349" s="99" t="s">
        <v>14779</v>
      </c>
      <c r="H349" s="98" t="s">
        <v>14778</v>
      </c>
      <c r="I349" s="100" t="s">
        <v>14217</v>
      </c>
      <c r="J349" s="99" t="s">
        <v>14777</v>
      </c>
      <c r="K349" s="98" t="s">
        <v>14776</v>
      </c>
    </row>
    <row r="350" spans="1:11" ht="17.5" x14ac:dyDescent="0.45">
      <c r="A350" s="104"/>
      <c r="B350" s="106"/>
      <c r="C350" s="108"/>
      <c r="D350" s="106" t="s">
        <v>14775</v>
      </c>
      <c r="E350" s="106" t="s">
        <v>14774</v>
      </c>
      <c r="F350" s="107" t="s">
        <v>244</v>
      </c>
      <c r="G350" s="98" t="s">
        <v>14773</v>
      </c>
      <c r="H350" s="99" t="s">
        <v>14772</v>
      </c>
      <c r="I350" s="100" t="s">
        <v>14217</v>
      </c>
      <c r="J350" s="98" t="s">
        <v>14771</v>
      </c>
      <c r="K350" s="99" t="s">
        <v>14770</v>
      </c>
    </row>
    <row r="351" spans="1:11" ht="17.5" x14ac:dyDescent="0.45">
      <c r="A351" s="104"/>
      <c r="B351" s="106"/>
      <c r="C351" s="108"/>
      <c r="D351" s="106"/>
      <c r="E351" s="106"/>
      <c r="F351" s="105" t="s">
        <v>65</v>
      </c>
      <c r="G351" s="99" t="s">
        <v>14769</v>
      </c>
      <c r="H351" s="98" t="s">
        <v>14768</v>
      </c>
      <c r="I351" s="100" t="s">
        <v>14212</v>
      </c>
      <c r="J351" s="99" t="s">
        <v>14767</v>
      </c>
      <c r="K351" s="98" t="s">
        <v>14766</v>
      </c>
    </row>
    <row r="352" spans="1:11" ht="17.5" x14ac:dyDescent="0.45">
      <c r="A352" s="104"/>
      <c r="B352" s="106"/>
      <c r="C352" s="109" t="s">
        <v>14765</v>
      </c>
      <c r="D352" s="102" t="s">
        <v>14764</v>
      </c>
      <c r="E352" s="102" t="s">
        <v>14763</v>
      </c>
      <c r="F352" s="107" t="s">
        <v>65</v>
      </c>
      <c r="G352" s="98" t="s">
        <v>14762</v>
      </c>
      <c r="H352" s="99" t="s">
        <v>14761</v>
      </c>
      <c r="I352" s="100" t="s">
        <v>14228</v>
      </c>
      <c r="J352" s="98" t="s">
        <v>14760</v>
      </c>
      <c r="K352" s="99" t="s">
        <v>14759</v>
      </c>
    </row>
    <row r="353" spans="1:11" ht="17.5" x14ac:dyDescent="0.45">
      <c r="A353" s="104"/>
      <c r="B353" s="106"/>
      <c r="C353" s="103"/>
      <c r="D353" s="102"/>
      <c r="E353" s="102"/>
      <c r="F353" s="105" t="s">
        <v>244</v>
      </c>
      <c r="G353" s="99" t="s">
        <v>9506</v>
      </c>
      <c r="H353" s="98" t="s">
        <v>14758</v>
      </c>
      <c r="I353" s="100" t="s">
        <v>14217</v>
      </c>
      <c r="J353" s="99" t="s">
        <v>14757</v>
      </c>
      <c r="K353" s="98" t="s">
        <v>14756</v>
      </c>
    </row>
    <row r="354" spans="1:11" ht="17.5" x14ac:dyDescent="0.45">
      <c r="A354" s="104"/>
      <c r="B354" s="106"/>
      <c r="C354" s="103"/>
      <c r="D354" s="106" t="s">
        <v>14755</v>
      </c>
      <c r="E354" s="106" t="s">
        <v>14754</v>
      </c>
      <c r="F354" s="107" t="s">
        <v>65</v>
      </c>
      <c r="G354" s="98" t="s">
        <v>14753</v>
      </c>
      <c r="H354" s="99" t="s">
        <v>14752</v>
      </c>
      <c r="I354" s="100" t="s">
        <v>14326</v>
      </c>
      <c r="J354" s="98" t="s">
        <v>14751</v>
      </c>
      <c r="K354" s="99" t="s">
        <v>14750</v>
      </c>
    </row>
    <row r="355" spans="1:11" ht="17.5" x14ac:dyDescent="0.45">
      <c r="A355" s="104"/>
      <c r="B355" s="106"/>
      <c r="C355" s="103"/>
      <c r="D355" s="106"/>
      <c r="E355" s="106"/>
      <c r="F355" s="105" t="s">
        <v>244</v>
      </c>
      <c r="G355" s="99" t="s">
        <v>14749</v>
      </c>
      <c r="H355" s="98" t="s">
        <v>14748</v>
      </c>
      <c r="I355" s="100" t="s">
        <v>14212</v>
      </c>
      <c r="J355" s="99" t="s">
        <v>14330</v>
      </c>
      <c r="K355" s="98" t="s">
        <v>14747</v>
      </c>
    </row>
    <row r="356" spans="1:11" ht="17.5" x14ac:dyDescent="0.45">
      <c r="A356" s="104"/>
      <c r="B356" s="106"/>
      <c r="C356" s="103"/>
      <c r="D356" s="102" t="s">
        <v>14746</v>
      </c>
      <c r="E356" s="102" t="s">
        <v>14745</v>
      </c>
      <c r="F356" s="107" t="s">
        <v>244</v>
      </c>
      <c r="G356" s="98" t="s">
        <v>14744</v>
      </c>
      <c r="H356" s="99" t="s">
        <v>14743</v>
      </c>
      <c r="I356" s="100" t="s">
        <v>14217</v>
      </c>
      <c r="J356" s="98" t="s">
        <v>14742</v>
      </c>
      <c r="K356" s="99" t="s">
        <v>14741</v>
      </c>
    </row>
    <row r="357" spans="1:11" ht="17.5" x14ac:dyDescent="0.45">
      <c r="A357" s="104"/>
      <c r="B357" s="106"/>
      <c r="C357" s="103"/>
      <c r="D357" s="102"/>
      <c r="E357" s="102"/>
      <c r="F357" s="105" t="s">
        <v>65</v>
      </c>
      <c r="G357" s="99" t="s">
        <v>14740</v>
      </c>
      <c r="H357" s="98" t="s">
        <v>14739</v>
      </c>
      <c r="I357" s="100" t="s">
        <v>14228</v>
      </c>
      <c r="J357" s="99" t="s">
        <v>14738</v>
      </c>
      <c r="K357" s="98" t="s">
        <v>14737</v>
      </c>
    </row>
    <row r="358" spans="1:11" ht="17.5" x14ac:dyDescent="0.45">
      <c r="A358" s="104"/>
      <c r="B358" s="106"/>
      <c r="C358" s="103"/>
      <c r="D358" s="106" t="s">
        <v>14736</v>
      </c>
      <c r="E358" s="106" t="s">
        <v>14735</v>
      </c>
      <c r="F358" s="107" t="s">
        <v>65</v>
      </c>
      <c r="G358" s="98" t="s">
        <v>14734</v>
      </c>
      <c r="H358" s="99" t="s">
        <v>14733</v>
      </c>
      <c r="I358" s="100" t="s">
        <v>14212</v>
      </c>
      <c r="J358" s="98" t="s">
        <v>14732</v>
      </c>
      <c r="K358" s="99" t="s">
        <v>14731</v>
      </c>
    </row>
    <row r="359" spans="1:11" ht="17.5" x14ac:dyDescent="0.45">
      <c r="A359" s="104"/>
      <c r="B359" s="106"/>
      <c r="C359" s="103"/>
      <c r="D359" s="106"/>
      <c r="E359" s="106"/>
      <c r="F359" s="105" t="s">
        <v>244</v>
      </c>
      <c r="G359" s="99" t="s">
        <v>14730</v>
      </c>
      <c r="H359" s="98" t="s">
        <v>14729</v>
      </c>
      <c r="I359" s="100" t="s">
        <v>14217</v>
      </c>
      <c r="J359" s="99" t="s">
        <v>14728</v>
      </c>
      <c r="K359" s="98" t="s">
        <v>14727</v>
      </c>
    </row>
    <row r="360" spans="1:11" ht="17.5" x14ac:dyDescent="0.45">
      <c r="A360" s="104"/>
      <c r="B360" s="106"/>
      <c r="C360" s="103"/>
      <c r="D360" s="102" t="s">
        <v>14726</v>
      </c>
      <c r="E360" s="102" t="s">
        <v>14725</v>
      </c>
      <c r="F360" s="107" t="s">
        <v>65</v>
      </c>
      <c r="G360" s="98" t="s">
        <v>14724</v>
      </c>
      <c r="H360" s="99" t="s">
        <v>14723</v>
      </c>
      <c r="I360" s="100" t="s">
        <v>14245</v>
      </c>
      <c r="J360" s="98" t="s">
        <v>14722</v>
      </c>
      <c r="K360" s="99" t="s">
        <v>14721</v>
      </c>
    </row>
    <row r="361" spans="1:11" ht="17.5" x14ac:dyDescent="0.45">
      <c r="A361" s="104"/>
      <c r="B361" s="106"/>
      <c r="C361" s="103"/>
      <c r="D361" s="102"/>
      <c r="E361" s="102"/>
      <c r="F361" s="105" t="s">
        <v>244</v>
      </c>
      <c r="G361" s="99" t="s">
        <v>14720</v>
      </c>
      <c r="H361" s="98" t="s">
        <v>14719</v>
      </c>
      <c r="I361" s="100" t="s">
        <v>14212</v>
      </c>
      <c r="J361" s="99" t="s">
        <v>14718</v>
      </c>
      <c r="K361" s="98" t="s">
        <v>14717</v>
      </c>
    </row>
    <row r="362" spans="1:11" ht="17.5" x14ac:dyDescent="0.45">
      <c r="A362" s="104"/>
      <c r="B362" s="106"/>
      <c r="C362" s="110" t="s">
        <v>14716</v>
      </c>
      <c r="D362" s="106" t="s">
        <v>14715</v>
      </c>
      <c r="E362" s="106" t="s">
        <v>14714</v>
      </c>
      <c r="F362" s="107" t="s">
        <v>65</v>
      </c>
      <c r="G362" s="98" t="s">
        <v>14713</v>
      </c>
      <c r="H362" s="99" t="s">
        <v>14712</v>
      </c>
      <c r="I362" s="100" t="s">
        <v>14217</v>
      </c>
      <c r="J362" s="98" t="s">
        <v>14711</v>
      </c>
      <c r="K362" s="99" t="s">
        <v>14710</v>
      </c>
    </row>
    <row r="363" spans="1:11" ht="17.5" x14ac:dyDescent="0.45">
      <c r="A363" s="104"/>
      <c r="B363" s="106"/>
      <c r="C363" s="108"/>
      <c r="D363" s="106"/>
      <c r="E363" s="106"/>
      <c r="F363" s="105" t="s">
        <v>65</v>
      </c>
      <c r="G363" s="99" t="s">
        <v>14709</v>
      </c>
      <c r="H363" s="98" t="s">
        <v>14708</v>
      </c>
      <c r="I363" s="100" t="s">
        <v>14212</v>
      </c>
      <c r="J363" s="99" t="s">
        <v>14707</v>
      </c>
      <c r="K363" s="98" t="s">
        <v>14706</v>
      </c>
    </row>
    <row r="364" spans="1:11" ht="17.5" x14ac:dyDescent="0.45">
      <c r="A364" s="104"/>
      <c r="B364" s="106"/>
      <c r="C364" s="108"/>
      <c r="D364" s="102" t="s">
        <v>14705</v>
      </c>
      <c r="E364" s="102" t="s">
        <v>14704</v>
      </c>
      <c r="F364" s="107" t="s">
        <v>244</v>
      </c>
      <c r="G364" s="98" t="s">
        <v>14703</v>
      </c>
      <c r="H364" s="99" t="s">
        <v>14702</v>
      </c>
      <c r="I364" s="100" t="s">
        <v>14228</v>
      </c>
      <c r="J364" s="98" t="s">
        <v>14701</v>
      </c>
      <c r="K364" s="99" t="s">
        <v>14700</v>
      </c>
    </row>
    <row r="365" spans="1:11" ht="17.5" x14ac:dyDescent="0.45">
      <c r="A365" s="104"/>
      <c r="B365" s="106"/>
      <c r="C365" s="108"/>
      <c r="D365" s="102"/>
      <c r="E365" s="102"/>
      <c r="F365" s="105" t="s">
        <v>244</v>
      </c>
      <c r="G365" s="99" t="s">
        <v>14559</v>
      </c>
      <c r="H365" s="98" t="s">
        <v>14699</v>
      </c>
      <c r="I365" s="100" t="s">
        <v>14217</v>
      </c>
      <c r="J365" s="99" t="s">
        <v>14698</v>
      </c>
      <c r="K365" s="98" t="s">
        <v>14697</v>
      </c>
    </row>
    <row r="366" spans="1:11" ht="17.5" x14ac:dyDescent="0.45">
      <c r="A366" s="104"/>
      <c r="B366" s="106"/>
      <c r="C366" s="108"/>
      <c r="D366" s="106" t="s">
        <v>14696</v>
      </c>
      <c r="E366" s="106" t="s">
        <v>14695</v>
      </c>
      <c r="F366" s="107" t="s">
        <v>65</v>
      </c>
      <c r="G366" s="98" t="s">
        <v>14694</v>
      </c>
      <c r="H366" s="99" t="s">
        <v>14693</v>
      </c>
      <c r="I366" s="100" t="s">
        <v>14212</v>
      </c>
      <c r="J366" s="98" t="s">
        <v>14692</v>
      </c>
      <c r="K366" s="99" t="s">
        <v>14691</v>
      </c>
    </row>
    <row r="367" spans="1:11" ht="17.5" x14ac:dyDescent="0.45">
      <c r="A367" s="104"/>
      <c r="B367" s="106"/>
      <c r="C367" s="108"/>
      <c r="D367" s="106"/>
      <c r="E367" s="106"/>
      <c r="F367" s="105" t="s">
        <v>244</v>
      </c>
      <c r="G367" s="99" t="s">
        <v>10338</v>
      </c>
      <c r="H367" s="98" t="s">
        <v>14690</v>
      </c>
      <c r="I367" s="100" t="s">
        <v>14245</v>
      </c>
      <c r="J367" s="99" t="s">
        <v>14689</v>
      </c>
      <c r="K367" s="98" t="s">
        <v>14688</v>
      </c>
    </row>
    <row r="368" spans="1:11" ht="17.5" x14ac:dyDescent="0.45">
      <c r="A368" s="104"/>
      <c r="B368" s="106"/>
      <c r="C368" s="108"/>
      <c r="D368" s="102" t="s">
        <v>14687</v>
      </c>
      <c r="E368" s="102" t="s">
        <v>14686</v>
      </c>
      <c r="F368" s="107" t="s">
        <v>65</v>
      </c>
      <c r="G368" s="98" t="s">
        <v>14685</v>
      </c>
      <c r="H368" s="99" t="s">
        <v>14684</v>
      </c>
      <c r="I368" s="100" t="s">
        <v>14217</v>
      </c>
      <c r="J368" s="98" t="s">
        <v>14683</v>
      </c>
      <c r="K368" s="99" t="s">
        <v>14682</v>
      </c>
    </row>
    <row r="369" spans="1:11" ht="17.5" x14ac:dyDescent="0.45">
      <c r="A369" s="104"/>
      <c r="B369" s="106"/>
      <c r="C369" s="108"/>
      <c r="D369" s="102"/>
      <c r="E369" s="102"/>
      <c r="F369" s="105" t="s">
        <v>65</v>
      </c>
      <c r="G369" s="99" t="s">
        <v>14681</v>
      </c>
      <c r="H369" s="98" t="s">
        <v>14680</v>
      </c>
      <c r="I369" s="100" t="s">
        <v>14212</v>
      </c>
      <c r="J369" s="99" t="s">
        <v>14679</v>
      </c>
      <c r="K369" s="98" t="s">
        <v>14678</v>
      </c>
    </row>
    <row r="370" spans="1:11" ht="17.5" x14ac:dyDescent="0.45">
      <c r="A370" s="104"/>
      <c r="B370" s="106"/>
      <c r="C370" s="108"/>
      <c r="D370" s="106" t="s">
        <v>14677</v>
      </c>
      <c r="E370" s="106" t="s">
        <v>14676</v>
      </c>
      <c r="F370" s="107" t="s">
        <v>244</v>
      </c>
      <c r="G370" s="98" t="s">
        <v>14675</v>
      </c>
      <c r="H370" s="99" t="s">
        <v>14674</v>
      </c>
      <c r="I370" s="100" t="s">
        <v>14228</v>
      </c>
      <c r="J370" s="98" t="s">
        <v>14673</v>
      </c>
      <c r="K370" s="99" t="s">
        <v>14672</v>
      </c>
    </row>
    <row r="371" spans="1:11" ht="17.5" x14ac:dyDescent="0.45">
      <c r="A371" s="104"/>
      <c r="B371" s="106"/>
      <c r="C371" s="108"/>
      <c r="D371" s="106"/>
      <c r="E371" s="106"/>
      <c r="F371" s="105" t="s">
        <v>65</v>
      </c>
      <c r="G371" s="99" t="s">
        <v>14671</v>
      </c>
      <c r="H371" s="98" t="s">
        <v>14670</v>
      </c>
      <c r="I371" s="100" t="s">
        <v>14217</v>
      </c>
      <c r="J371" s="99" t="s">
        <v>14669</v>
      </c>
      <c r="K371" s="98" t="s">
        <v>14668</v>
      </c>
    </row>
    <row r="372" spans="1:11" ht="17.5" x14ac:dyDescent="0.45">
      <c r="A372" s="104"/>
      <c r="B372" s="106"/>
      <c r="C372" s="109" t="s">
        <v>14667</v>
      </c>
      <c r="D372" s="102" t="s">
        <v>14666</v>
      </c>
      <c r="E372" s="102" t="s">
        <v>14665</v>
      </c>
      <c r="F372" s="107" t="s">
        <v>244</v>
      </c>
      <c r="G372" s="98" t="s">
        <v>14664</v>
      </c>
      <c r="H372" s="99" t="s">
        <v>14663</v>
      </c>
      <c r="I372" s="100" t="s">
        <v>14326</v>
      </c>
      <c r="J372" s="98" t="s">
        <v>14662</v>
      </c>
      <c r="K372" s="99" t="s">
        <v>14661</v>
      </c>
    </row>
    <row r="373" spans="1:11" ht="17.5" x14ac:dyDescent="0.45">
      <c r="A373" s="104"/>
      <c r="B373" s="106"/>
      <c r="C373" s="103"/>
      <c r="D373" s="102"/>
      <c r="E373" s="102"/>
      <c r="F373" s="105" t="s">
        <v>65</v>
      </c>
      <c r="G373" s="99" t="s">
        <v>14660</v>
      </c>
      <c r="H373" s="98" t="s">
        <v>14659</v>
      </c>
      <c r="I373" s="100" t="s">
        <v>14217</v>
      </c>
      <c r="J373" s="99" t="s">
        <v>14658</v>
      </c>
      <c r="K373" s="98" t="s">
        <v>14657</v>
      </c>
    </row>
    <row r="374" spans="1:11" ht="17.5" x14ac:dyDescent="0.45">
      <c r="A374" s="104"/>
      <c r="B374" s="106"/>
      <c r="C374" s="103"/>
      <c r="D374" s="106" t="s">
        <v>14656</v>
      </c>
      <c r="E374" s="106" t="s">
        <v>14655</v>
      </c>
      <c r="F374" s="107" t="s">
        <v>244</v>
      </c>
      <c r="G374" s="98" t="s">
        <v>14654</v>
      </c>
      <c r="H374" s="99" t="s">
        <v>14653</v>
      </c>
      <c r="I374" s="100" t="s">
        <v>14212</v>
      </c>
      <c r="J374" s="98" t="s">
        <v>14652</v>
      </c>
      <c r="K374" s="99" t="s">
        <v>14651</v>
      </c>
    </row>
    <row r="375" spans="1:11" ht="17.5" x14ac:dyDescent="0.45">
      <c r="A375" s="104"/>
      <c r="B375" s="106"/>
      <c r="C375" s="103"/>
      <c r="D375" s="106"/>
      <c r="E375" s="106"/>
      <c r="F375" s="105" t="s">
        <v>65</v>
      </c>
      <c r="G375" s="99" t="s">
        <v>14650</v>
      </c>
      <c r="H375" s="98" t="s">
        <v>14649</v>
      </c>
      <c r="I375" s="100" t="s">
        <v>14217</v>
      </c>
      <c r="J375" s="99" t="s">
        <v>14648</v>
      </c>
      <c r="K375" s="98" t="s">
        <v>14647</v>
      </c>
    </row>
    <row r="376" spans="1:11" ht="17.5" x14ac:dyDescent="0.45">
      <c r="A376" s="104"/>
      <c r="B376" s="106"/>
      <c r="C376" s="103"/>
      <c r="D376" s="102" t="s">
        <v>14646</v>
      </c>
      <c r="E376" s="102" t="s">
        <v>14645</v>
      </c>
      <c r="F376" s="107" t="s">
        <v>65</v>
      </c>
      <c r="G376" s="98" t="s">
        <v>14644</v>
      </c>
      <c r="H376" s="99" t="s">
        <v>14643</v>
      </c>
      <c r="I376" s="100" t="s">
        <v>14228</v>
      </c>
      <c r="J376" s="98" t="s">
        <v>14642</v>
      </c>
      <c r="K376" s="99" t="s">
        <v>14641</v>
      </c>
    </row>
    <row r="377" spans="1:11" ht="17.5" x14ac:dyDescent="0.45">
      <c r="A377" s="104"/>
      <c r="B377" s="106"/>
      <c r="C377" s="103"/>
      <c r="D377" s="102"/>
      <c r="E377" s="102"/>
      <c r="F377" s="105" t="s">
        <v>244</v>
      </c>
      <c r="G377" s="99" t="s">
        <v>14640</v>
      </c>
      <c r="H377" s="98" t="s">
        <v>14639</v>
      </c>
      <c r="I377" s="100" t="s">
        <v>14212</v>
      </c>
      <c r="J377" s="99" t="s">
        <v>14638</v>
      </c>
      <c r="K377" s="98" t="s">
        <v>14637</v>
      </c>
    </row>
    <row r="378" spans="1:11" ht="17.5" x14ac:dyDescent="0.45">
      <c r="A378" s="104"/>
      <c r="B378" s="106"/>
      <c r="C378" s="103"/>
      <c r="D378" s="106" t="s">
        <v>14636</v>
      </c>
      <c r="E378" s="106" t="s">
        <v>14635</v>
      </c>
      <c r="F378" s="107" t="s">
        <v>244</v>
      </c>
      <c r="G378" s="98" t="s">
        <v>14634</v>
      </c>
      <c r="H378" s="99" t="s">
        <v>14633</v>
      </c>
      <c r="I378" s="100" t="s">
        <v>14217</v>
      </c>
      <c r="J378" s="98" t="s">
        <v>14632</v>
      </c>
      <c r="K378" s="99" t="s">
        <v>14631</v>
      </c>
    </row>
    <row r="379" spans="1:11" ht="17.5" x14ac:dyDescent="0.45">
      <c r="A379" s="104"/>
      <c r="B379" s="106"/>
      <c r="C379" s="103"/>
      <c r="D379" s="106"/>
      <c r="E379" s="106"/>
      <c r="F379" s="105" t="s">
        <v>65</v>
      </c>
      <c r="G379" s="99" t="s">
        <v>2157</v>
      </c>
      <c r="H379" s="98" t="s">
        <v>14630</v>
      </c>
      <c r="I379" s="100" t="s">
        <v>14245</v>
      </c>
      <c r="J379" s="99" t="s">
        <v>14629</v>
      </c>
      <c r="K379" s="98" t="s">
        <v>14628</v>
      </c>
    </row>
    <row r="380" spans="1:11" ht="17.5" x14ac:dyDescent="0.45">
      <c r="A380" s="104"/>
      <c r="B380" s="106"/>
      <c r="C380" s="103"/>
      <c r="D380" s="102" t="s">
        <v>14627</v>
      </c>
      <c r="E380" s="102" t="s">
        <v>14626</v>
      </c>
      <c r="F380" s="107" t="s">
        <v>244</v>
      </c>
      <c r="G380" s="98" t="s">
        <v>14625</v>
      </c>
      <c r="H380" s="99" t="s">
        <v>14624</v>
      </c>
      <c r="I380" s="100" t="s">
        <v>14212</v>
      </c>
      <c r="J380" s="98" t="s">
        <v>14623</v>
      </c>
      <c r="K380" s="99" t="s">
        <v>14622</v>
      </c>
    </row>
    <row r="381" spans="1:11" ht="17.5" x14ac:dyDescent="0.45">
      <c r="A381" s="104"/>
      <c r="B381" s="106"/>
      <c r="C381" s="103"/>
      <c r="D381" s="102"/>
      <c r="E381" s="102"/>
      <c r="F381" s="105" t="s">
        <v>65</v>
      </c>
      <c r="G381" s="99" t="s">
        <v>14621</v>
      </c>
      <c r="H381" s="98" t="s">
        <v>14620</v>
      </c>
      <c r="I381" s="100" t="s">
        <v>14217</v>
      </c>
      <c r="J381" s="99" t="s">
        <v>14619</v>
      </c>
      <c r="K381" s="98" t="s">
        <v>14618</v>
      </c>
    </row>
    <row r="382" spans="1:11" ht="17.5" x14ac:dyDescent="0.45">
      <c r="A382" s="104"/>
      <c r="B382" s="106"/>
      <c r="C382" s="110" t="s">
        <v>14617</v>
      </c>
      <c r="D382" s="106" t="s">
        <v>14616</v>
      </c>
      <c r="E382" s="106" t="s">
        <v>14615</v>
      </c>
      <c r="F382" s="107" t="s">
        <v>244</v>
      </c>
      <c r="G382" s="98" t="s">
        <v>14614</v>
      </c>
      <c r="H382" s="99" t="s">
        <v>14613</v>
      </c>
      <c r="I382" s="100" t="s">
        <v>14228</v>
      </c>
      <c r="J382" s="98" t="s">
        <v>14612</v>
      </c>
      <c r="K382" s="99" t="s">
        <v>14611</v>
      </c>
    </row>
    <row r="383" spans="1:11" ht="17.5" x14ac:dyDescent="0.45">
      <c r="A383" s="104"/>
      <c r="B383" s="106"/>
      <c r="C383" s="108"/>
      <c r="D383" s="106"/>
      <c r="E383" s="106"/>
      <c r="F383" s="105" t="s">
        <v>65</v>
      </c>
      <c r="G383" s="99" t="s">
        <v>14610</v>
      </c>
      <c r="H383" s="98" t="s">
        <v>14609</v>
      </c>
      <c r="I383" s="100" t="s">
        <v>14212</v>
      </c>
      <c r="J383" s="99" t="s">
        <v>14608</v>
      </c>
      <c r="K383" s="98" t="s">
        <v>14607</v>
      </c>
    </row>
    <row r="384" spans="1:11" ht="17.5" x14ac:dyDescent="0.45">
      <c r="A384" s="104"/>
      <c r="B384" s="106"/>
      <c r="C384" s="108"/>
      <c r="D384" s="102" t="s">
        <v>14606</v>
      </c>
      <c r="E384" s="102" t="s">
        <v>14605</v>
      </c>
      <c r="F384" s="107" t="s">
        <v>244</v>
      </c>
      <c r="G384" s="98" t="s">
        <v>14604</v>
      </c>
      <c r="H384" s="99" t="s">
        <v>14603</v>
      </c>
      <c r="I384" s="100" t="s">
        <v>14217</v>
      </c>
      <c r="J384" s="98" t="s">
        <v>14602</v>
      </c>
      <c r="K384" s="99" t="s">
        <v>14601</v>
      </c>
    </row>
    <row r="385" spans="1:11" ht="17.5" x14ac:dyDescent="0.45">
      <c r="A385" s="104"/>
      <c r="B385" s="106"/>
      <c r="C385" s="108"/>
      <c r="D385" s="102"/>
      <c r="E385" s="102"/>
      <c r="F385" s="105" t="s">
        <v>65</v>
      </c>
      <c r="G385" s="99" t="s">
        <v>14600</v>
      </c>
      <c r="H385" s="98" t="s">
        <v>14599</v>
      </c>
      <c r="I385" s="100" t="s">
        <v>14217</v>
      </c>
      <c r="J385" s="99" t="s">
        <v>14598</v>
      </c>
      <c r="K385" s="98" t="s">
        <v>14597</v>
      </c>
    </row>
    <row r="386" spans="1:11" ht="17.5" x14ac:dyDescent="0.45">
      <c r="A386" s="104"/>
      <c r="B386" s="106"/>
      <c r="C386" s="108"/>
      <c r="D386" s="106" t="s">
        <v>14596</v>
      </c>
      <c r="E386" s="106" t="s">
        <v>14595</v>
      </c>
      <c r="F386" s="107" t="s">
        <v>65</v>
      </c>
      <c r="G386" s="98" t="s">
        <v>14594</v>
      </c>
      <c r="H386" s="99" t="s">
        <v>14593</v>
      </c>
      <c r="I386" s="100" t="s">
        <v>14212</v>
      </c>
      <c r="J386" s="98" t="s">
        <v>14592</v>
      </c>
      <c r="K386" s="99" t="s">
        <v>14591</v>
      </c>
    </row>
    <row r="387" spans="1:11" ht="17.5" x14ac:dyDescent="0.45">
      <c r="A387" s="104"/>
      <c r="B387" s="106"/>
      <c r="C387" s="108"/>
      <c r="D387" s="106"/>
      <c r="E387" s="106"/>
      <c r="F387" s="105" t="s">
        <v>244</v>
      </c>
      <c r="G387" s="99" t="s">
        <v>14590</v>
      </c>
      <c r="H387" s="98" t="s">
        <v>14589</v>
      </c>
      <c r="I387" s="100" t="s">
        <v>14228</v>
      </c>
      <c r="J387" s="99" t="s">
        <v>14588</v>
      </c>
      <c r="K387" s="98" t="s">
        <v>14587</v>
      </c>
    </row>
    <row r="388" spans="1:11" ht="17.5" x14ac:dyDescent="0.45">
      <c r="A388" s="104"/>
      <c r="B388" s="106"/>
      <c r="C388" s="108"/>
      <c r="D388" s="102" t="s">
        <v>14586</v>
      </c>
      <c r="E388" s="102" t="s">
        <v>14585</v>
      </c>
      <c r="F388" s="107" t="s">
        <v>65</v>
      </c>
      <c r="G388" s="98" t="s">
        <v>14584</v>
      </c>
      <c r="H388" s="99" t="s">
        <v>14583</v>
      </c>
      <c r="I388" s="100" t="s">
        <v>14217</v>
      </c>
      <c r="J388" s="98" t="s">
        <v>14582</v>
      </c>
      <c r="K388" s="99" t="s">
        <v>14581</v>
      </c>
    </row>
    <row r="389" spans="1:11" ht="17.5" x14ac:dyDescent="0.45">
      <c r="A389" s="104"/>
      <c r="B389" s="106"/>
      <c r="C389" s="108"/>
      <c r="D389" s="102"/>
      <c r="E389" s="102"/>
      <c r="F389" s="105" t="s">
        <v>244</v>
      </c>
      <c r="G389" s="99" t="s">
        <v>14580</v>
      </c>
      <c r="H389" s="98" t="s">
        <v>14579</v>
      </c>
      <c r="I389" s="100" t="s">
        <v>14326</v>
      </c>
      <c r="J389" s="99" t="s">
        <v>14578</v>
      </c>
      <c r="K389" s="98" t="s">
        <v>14577</v>
      </c>
    </row>
    <row r="390" spans="1:11" ht="17.5" x14ac:dyDescent="0.45">
      <c r="A390" s="104"/>
      <c r="B390" s="106"/>
      <c r="C390" s="108"/>
      <c r="D390" s="106" t="s">
        <v>14576</v>
      </c>
      <c r="E390" s="106" t="s">
        <v>14575</v>
      </c>
      <c r="F390" s="107" t="s">
        <v>244</v>
      </c>
      <c r="G390" s="98" t="s">
        <v>14574</v>
      </c>
      <c r="H390" s="99" t="s">
        <v>14573</v>
      </c>
      <c r="I390" s="100" t="s">
        <v>14212</v>
      </c>
      <c r="J390" s="98" t="s">
        <v>14572</v>
      </c>
      <c r="K390" s="99" t="s">
        <v>14571</v>
      </c>
    </row>
    <row r="391" spans="1:11" ht="17.5" x14ac:dyDescent="0.45">
      <c r="A391" s="104"/>
      <c r="B391" s="106"/>
      <c r="C391" s="108"/>
      <c r="D391" s="106"/>
      <c r="E391" s="106"/>
      <c r="F391" s="105" t="s">
        <v>65</v>
      </c>
      <c r="G391" s="99" t="s">
        <v>14328</v>
      </c>
      <c r="H391" s="98" t="s">
        <v>14570</v>
      </c>
      <c r="I391" s="100" t="s">
        <v>14217</v>
      </c>
      <c r="J391" s="99" t="s">
        <v>14569</v>
      </c>
      <c r="K391" s="98" t="s">
        <v>14568</v>
      </c>
    </row>
    <row r="392" spans="1:11" ht="17.5" x14ac:dyDescent="0.45">
      <c r="A392" s="104"/>
      <c r="B392" s="102" t="s">
        <v>14567</v>
      </c>
      <c r="C392" s="109" t="s">
        <v>14566</v>
      </c>
      <c r="D392" s="102" t="s">
        <v>14565</v>
      </c>
      <c r="E392" s="102" t="s">
        <v>14564</v>
      </c>
      <c r="F392" s="107" t="s">
        <v>65</v>
      </c>
      <c r="G392" s="98" t="s">
        <v>14563</v>
      </c>
      <c r="H392" s="99" t="s">
        <v>14562</v>
      </c>
      <c r="I392" s="100" t="s">
        <v>14228</v>
      </c>
      <c r="J392" s="98" t="s">
        <v>14561</v>
      </c>
      <c r="K392" s="99" t="s">
        <v>14560</v>
      </c>
    </row>
    <row r="393" spans="1:11" ht="17.5" x14ac:dyDescent="0.45">
      <c r="A393" s="104"/>
      <c r="B393" s="102"/>
      <c r="C393" s="103"/>
      <c r="D393" s="102"/>
      <c r="E393" s="102"/>
      <c r="F393" s="105" t="s">
        <v>244</v>
      </c>
      <c r="G393" s="99" t="s">
        <v>14559</v>
      </c>
      <c r="H393" s="98" t="s">
        <v>14558</v>
      </c>
      <c r="I393" s="100" t="s">
        <v>14212</v>
      </c>
      <c r="J393" s="99" t="s">
        <v>14557</v>
      </c>
      <c r="K393" s="98" t="s">
        <v>14556</v>
      </c>
    </row>
    <row r="394" spans="1:11" ht="17.5" x14ac:dyDescent="0.45">
      <c r="A394" s="104"/>
      <c r="B394" s="102"/>
      <c r="C394" s="103"/>
      <c r="D394" s="106" t="s">
        <v>14555</v>
      </c>
      <c r="E394" s="106" t="s">
        <v>14554</v>
      </c>
      <c r="F394" s="107" t="s">
        <v>244</v>
      </c>
      <c r="G394" s="98" t="s">
        <v>14553</v>
      </c>
      <c r="H394" s="99" t="s">
        <v>14552</v>
      </c>
      <c r="I394" s="100" t="s">
        <v>14217</v>
      </c>
      <c r="J394" s="98" t="s">
        <v>14551</v>
      </c>
      <c r="K394" s="99" t="s">
        <v>14550</v>
      </c>
    </row>
    <row r="395" spans="1:11" ht="17.5" x14ac:dyDescent="0.45">
      <c r="A395" s="104"/>
      <c r="B395" s="102"/>
      <c r="C395" s="103"/>
      <c r="D395" s="106"/>
      <c r="E395" s="106"/>
      <c r="F395" s="105" t="s">
        <v>65</v>
      </c>
      <c r="G395" s="99" t="s">
        <v>14549</v>
      </c>
      <c r="H395" s="98" t="s">
        <v>14548</v>
      </c>
      <c r="I395" s="100" t="s">
        <v>14245</v>
      </c>
      <c r="J395" s="99" t="s">
        <v>14547</v>
      </c>
      <c r="K395" s="98" t="s">
        <v>14546</v>
      </c>
    </row>
    <row r="396" spans="1:11" ht="17.5" x14ac:dyDescent="0.45">
      <c r="A396" s="104"/>
      <c r="B396" s="102"/>
      <c r="C396" s="103"/>
      <c r="D396" s="102" t="s">
        <v>14545</v>
      </c>
      <c r="E396" s="102" t="s">
        <v>14544</v>
      </c>
      <c r="F396" s="107" t="s">
        <v>244</v>
      </c>
      <c r="G396" s="98" t="s">
        <v>14543</v>
      </c>
      <c r="H396" s="99" t="s">
        <v>14542</v>
      </c>
      <c r="I396" s="100" t="s">
        <v>14212</v>
      </c>
      <c r="J396" s="98" t="s">
        <v>14541</v>
      </c>
      <c r="K396" s="99" t="s">
        <v>14540</v>
      </c>
    </row>
    <row r="397" spans="1:11" ht="17.5" x14ac:dyDescent="0.45">
      <c r="A397" s="104"/>
      <c r="B397" s="102"/>
      <c r="C397" s="103"/>
      <c r="D397" s="102"/>
      <c r="E397" s="102"/>
      <c r="F397" s="105" t="s">
        <v>65</v>
      </c>
      <c r="G397" s="99" t="s">
        <v>14539</v>
      </c>
      <c r="H397" s="98" t="s">
        <v>14538</v>
      </c>
      <c r="I397" s="100" t="s">
        <v>14217</v>
      </c>
      <c r="J397" s="99" t="s">
        <v>14537</v>
      </c>
      <c r="K397" s="98" t="s">
        <v>14536</v>
      </c>
    </row>
    <row r="398" spans="1:11" ht="17.5" x14ac:dyDescent="0.45">
      <c r="A398" s="104"/>
      <c r="B398" s="102"/>
      <c r="C398" s="103"/>
      <c r="D398" s="106" t="s">
        <v>14535</v>
      </c>
      <c r="E398" s="106" t="s">
        <v>14534</v>
      </c>
      <c r="F398" s="107" t="s">
        <v>65</v>
      </c>
      <c r="G398" s="98" t="s">
        <v>14533</v>
      </c>
      <c r="H398" s="99" t="s">
        <v>14532</v>
      </c>
      <c r="I398" s="100" t="s">
        <v>14228</v>
      </c>
      <c r="J398" s="98" t="s">
        <v>14531</v>
      </c>
      <c r="K398" s="99" t="s">
        <v>14530</v>
      </c>
    </row>
    <row r="399" spans="1:11" ht="17.5" x14ac:dyDescent="0.45">
      <c r="A399" s="104"/>
      <c r="B399" s="102"/>
      <c r="C399" s="103"/>
      <c r="D399" s="106"/>
      <c r="E399" s="106"/>
      <c r="F399" s="105" t="s">
        <v>244</v>
      </c>
      <c r="G399" s="99" t="s">
        <v>14529</v>
      </c>
      <c r="H399" s="98" t="s">
        <v>14528</v>
      </c>
      <c r="I399" s="100" t="s">
        <v>14217</v>
      </c>
      <c r="J399" s="99" t="s">
        <v>14527</v>
      </c>
      <c r="K399" s="98" t="s">
        <v>14526</v>
      </c>
    </row>
    <row r="400" spans="1:11" ht="17.5" x14ac:dyDescent="0.45">
      <c r="A400" s="104"/>
      <c r="B400" s="102"/>
      <c r="C400" s="103"/>
      <c r="D400" s="102" t="s">
        <v>14525</v>
      </c>
      <c r="E400" s="102" t="s">
        <v>14524</v>
      </c>
      <c r="F400" s="107" t="s">
        <v>65</v>
      </c>
      <c r="G400" s="98" t="s">
        <v>14523</v>
      </c>
      <c r="H400" s="99" t="s">
        <v>14522</v>
      </c>
      <c r="I400" s="100" t="s">
        <v>14217</v>
      </c>
      <c r="J400" s="98" t="s">
        <v>14521</v>
      </c>
      <c r="K400" s="99" t="s">
        <v>14520</v>
      </c>
    </row>
    <row r="401" spans="1:11" ht="17.5" x14ac:dyDescent="0.45">
      <c r="A401" s="104"/>
      <c r="B401" s="102"/>
      <c r="C401" s="103"/>
      <c r="D401" s="102"/>
      <c r="E401" s="102"/>
      <c r="F401" s="105" t="s">
        <v>244</v>
      </c>
      <c r="G401" s="99" t="s">
        <v>14519</v>
      </c>
      <c r="H401" s="98" t="s">
        <v>14518</v>
      </c>
      <c r="I401" s="100" t="s">
        <v>14212</v>
      </c>
      <c r="J401" s="99" t="s">
        <v>14517</v>
      </c>
      <c r="K401" s="98" t="s">
        <v>14516</v>
      </c>
    </row>
    <row r="402" spans="1:11" ht="17.5" x14ac:dyDescent="0.45">
      <c r="A402" s="104"/>
      <c r="B402" s="102"/>
      <c r="C402" s="110" t="s">
        <v>14515</v>
      </c>
      <c r="D402" s="106" t="s">
        <v>14514</v>
      </c>
      <c r="E402" s="106" t="s">
        <v>14513</v>
      </c>
      <c r="F402" s="107" t="s">
        <v>244</v>
      </c>
      <c r="G402" s="98" t="s">
        <v>14512</v>
      </c>
      <c r="H402" s="99" t="s">
        <v>14511</v>
      </c>
      <c r="I402" s="100" t="s">
        <v>14228</v>
      </c>
      <c r="J402" s="98" t="s">
        <v>14510</v>
      </c>
      <c r="K402" s="99" t="s">
        <v>14509</v>
      </c>
    </row>
    <row r="403" spans="1:11" ht="17.5" x14ac:dyDescent="0.45">
      <c r="A403" s="104"/>
      <c r="B403" s="102"/>
      <c r="C403" s="108"/>
      <c r="D403" s="106"/>
      <c r="E403" s="106"/>
      <c r="F403" s="105" t="s">
        <v>65</v>
      </c>
      <c r="G403" s="99" t="s">
        <v>14508</v>
      </c>
      <c r="H403" s="98" t="s">
        <v>14507</v>
      </c>
      <c r="I403" s="100" t="s">
        <v>14217</v>
      </c>
      <c r="J403" s="99" t="s">
        <v>14506</v>
      </c>
      <c r="K403" s="98" t="s">
        <v>14505</v>
      </c>
    </row>
    <row r="404" spans="1:11" ht="17.5" x14ac:dyDescent="0.45">
      <c r="A404" s="104"/>
      <c r="B404" s="102"/>
      <c r="C404" s="108"/>
      <c r="D404" s="102" t="s">
        <v>14504</v>
      </c>
      <c r="E404" s="102" t="s">
        <v>14503</v>
      </c>
      <c r="F404" s="107" t="s">
        <v>65</v>
      </c>
      <c r="G404" s="98" t="s">
        <v>14502</v>
      </c>
      <c r="H404" s="99" t="s">
        <v>14501</v>
      </c>
      <c r="I404" s="100" t="s">
        <v>14212</v>
      </c>
      <c r="J404" s="98" t="s">
        <v>14500</v>
      </c>
      <c r="K404" s="99" t="s">
        <v>14499</v>
      </c>
    </row>
    <row r="405" spans="1:11" ht="17.5" x14ac:dyDescent="0.45">
      <c r="A405" s="104"/>
      <c r="B405" s="102"/>
      <c r="C405" s="108"/>
      <c r="D405" s="102"/>
      <c r="E405" s="102"/>
      <c r="F405" s="105" t="s">
        <v>244</v>
      </c>
      <c r="G405" s="99" t="s">
        <v>11370</v>
      </c>
      <c r="H405" s="98" t="s">
        <v>14498</v>
      </c>
      <c r="I405" s="100" t="s">
        <v>14245</v>
      </c>
      <c r="J405" s="99" t="s">
        <v>14497</v>
      </c>
      <c r="K405" s="98" t="s">
        <v>14496</v>
      </c>
    </row>
    <row r="406" spans="1:11" ht="17.5" x14ac:dyDescent="0.45">
      <c r="A406" s="104"/>
      <c r="B406" s="102"/>
      <c r="C406" s="108"/>
      <c r="D406" s="106" t="s">
        <v>14495</v>
      </c>
      <c r="E406" s="106" t="s">
        <v>14494</v>
      </c>
      <c r="F406" s="107" t="s">
        <v>65</v>
      </c>
      <c r="G406" s="98" t="s">
        <v>14493</v>
      </c>
      <c r="H406" s="99" t="s">
        <v>14492</v>
      </c>
      <c r="I406" s="100" t="s">
        <v>14217</v>
      </c>
      <c r="J406" s="98" t="s">
        <v>14491</v>
      </c>
      <c r="K406" s="99" t="s">
        <v>14490</v>
      </c>
    </row>
    <row r="407" spans="1:11" ht="17.5" x14ac:dyDescent="0.45">
      <c r="A407" s="104"/>
      <c r="B407" s="102"/>
      <c r="C407" s="108"/>
      <c r="D407" s="106"/>
      <c r="E407" s="106"/>
      <c r="F407" s="105" t="s">
        <v>244</v>
      </c>
      <c r="G407" s="99" t="s">
        <v>14489</v>
      </c>
      <c r="H407" s="98" t="s">
        <v>14488</v>
      </c>
      <c r="I407" s="100" t="s">
        <v>14212</v>
      </c>
      <c r="J407" s="99" t="s">
        <v>14487</v>
      </c>
      <c r="K407" s="98" t="s">
        <v>14486</v>
      </c>
    </row>
    <row r="408" spans="1:11" ht="17.5" x14ac:dyDescent="0.45">
      <c r="A408" s="104"/>
      <c r="B408" s="102"/>
      <c r="C408" s="108"/>
      <c r="D408" s="102" t="s">
        <v>14485</v>
      </c>
      <c r="E408" s="102" t="s">
        <v>14484</v>
      </c>
      <c r="F408" s="107" t="s">
        <v>65</v>
      </c>
      <c r="G408" s="98" t="s">
        <v>14483</v>
      </c>
      <c r="H408" s="99" t="s">
        <v>14482</v>
      </c>
      <c r="I408" s="100" t="s">
        <v>14228</v>
      </c>
      <c r="J408" s="98" t="s">
        <v>14481</v>
      </c>
      <c r="K408" s="99" t="s">
        <v>14480</v>
      </c>
    </row>
    <row r="409" spans="1:11" ht="17.5" x14ac:dyDescent="0.45">
      <c r="A409" s="104"/>
      <c r="B409" s="102"/>
      <c r="C409" s="108"/>
      <c r="D409" s="102"/>
      <c r="E409" s="102"/>
      <c r="F409" s="105" t="s">
        <v>244</v>
      </c>
      <c r="G409" s="99" t="s">
        <v>14479</v>
      </c>
      <c r="H409" s="98" t="s">
        <v>14478</v>
      </c>
      <c r="I409" s="100" t="s">
        <v>14217</v>
      </c>
      <c r="J409" s="99" t="s">
        <v>14477</v>
      </c>
      <c r="K409" s="98" t="s">
        <v>14476</v>
      </c>
    </row>
    <row r="410" spans="1:11" ht="17.5" x14ac:dyDescent="0.45">
      <c r="A410" s="104"/>
      <c r="B410" s="102"/>
      <c r="C410" s="108"/>
      <c r="D410" s="106" t="s">
        <v>14475</v>
      </c>
      <c r="E410" s="106" t="s">
        <v>14474</v>
      </c>
      <c r="F410" s="107" t="s">
        <v>244</v>
      </c>
      <c r="G410" s="98" t="s">
        <v>14473</v>
      </c>
      <c r="H410" s="99" t="s">
        <v>14472</v>
      </c>
      <c r="I410" s="100" t="s">
        <v>14217</v>
      </c>
      <c r="J410" s="98" t="s">
        <v>14471</v>
      </c>
      <c r="K410" s="99" t="s">
        <v>14470</v>
      </c>
    </row>
    <row r="411" spans="1:11" ht="17.5" x14ac:dyDescent="0.45">
      <c r="A411" s="104"/>
      <c r="B411" s="102"/>
      <c r="C411" s="108"/>
      <c r="D411" s="106"/>
      <c r="E411" s="106"/>
      <c r="F411" s="105" t="s">
        <v>65</v>
      </c>
      <c r="G411" s="99" t="s">
        <v>14469</v>
      </c>
      <c r="H411" s="98" t="s">
        <v>14468</v>
      </c>
      <c r="I411" s="100" t="s">
        <v>14212</v>
      </c>
      <c r="J411" s="99" t="s">
        <v>14467</v>
      </c>
      <c r="K411" s="98" t="s">
        <v>14466</v>
      </c>
    </row>
    <row r="412" spans="1:11" ht="17.5" x14ac:dyDescent="0.45">
      <c r="A412" s="104"/>
      <c r="B412" s="102"/>
      <c r="C412" s="103" t="s">
        <v>14465</v>
      </c>
      <c r="D412" s="102" t="s">
        <v>14464</v>
      </c>
      <c r="E412" s="102" t="s">
        <v>14463</v>
      </c>
      <c r="F412" s="107" t="s">
        <v>244</v>
      </c>
      <c r="G412" s="98" t="s">
        <v>9679</v>
      </c>
      <c r="H412" s="99" t="s">
        <v>14462</v>
      </c>
      <c r="I412" s="100" t="s">
        <v>14228</v>
      </c>
      <c r="J412" s="98" t="s">
        <v>14461</v>
      </c>
      <c r="K412" s="99" t="s">
        <v>14460</v>
      </c>
    </row>
    <row r="413" spans="1:11" ht="17.5" x14ac:dyDescent="0.45">
      <c r="A413" s="104"/>
      <c r="B413" s="102"/>
      <c r="C413" s="103"/>
      <c r="D413" s="102"/>
      <c r="E413" s="102"/>
      <c r="F413" s="105" t="s">
        <v>65</v>
      </c>
      <c r="G413" s="99" t="s">
        <v>14459</v>
      </c>
      <c r="H413" s="98" t="s">
        <v>14458</v>
      </c>
      <c r="I413" s="100" t="s">
        <v>14217</v>
      </c>
      <c r="J413" s="99" t="s">
        <v>14457</v>
      </c>
      <c r="K413" s="98" t="s">
        <v>14456</v>
      </c>
    </row>
    <row r="414" spans="1:11" ht="17.5" x14ac:dyDescent="0.45">
      <c r="A414" s="104"/>
      <c r="B414" s="102"/>
      <c r="C414" s="103"/>
      <c r="D414" s="106" t="s">
        <v>14455</v>
      </c>
      <c r="E414" s="106" t="s">
        <v>14454</v>
      </c>
      <c r="F414" s="107" t="s">
        <v>65</v>
      </c>
      <c r="G414" s="98" t="s">
        <v>14453</v>
      </c>
      <c r="H414" s="99" t="s">
        <v>14452</v>
      </c>
      <c r="I414" s="100" t="s">
        <v>14326</v>
      </c>
      <c r="J414" s="98" t="s">
        <v>14451</v>
      </c>
      <c r="K414" s="99" t="s">
        <v>14450</v>
      </c>
    </row>
    <row r="415" spans="1:11" ht="17.5" x14ac:dyDescent="0.45">
      <c r="A415" s="104"/>
      <c r="B415" s="102"/>
      <c r="C415" s="103"/>
      <c r="D415" s="106"/>
      <c r="E415" s="106"/>
      <c r="F415" s="105" t="s">
        <v>244</v>
      </c>
      <c r="G415" s="99" t="s">
        <v>14449</v>
      </c>
      <c r="H415" s="98" t="s">
        <v>14448</v>
      </c>
      <c r="I415" s="100" t="s">
        <v>14212</v>
      </c>
      <c r="J415" s="99" t="s">
        <v>14447</v>
      </c>
      <c r="K415" s="98" t="s">
        <v>14446</v>
      </c>
    </row>
    <row r="416" spans="1:11" ht="17.5" x14ac:dyDescent="0.45">
      <c r="A416" s="104"/>
      <c r="B416" s="102"/>
      <c r="C416" s="103"/>
      <c r="D416" s="102" t="s">
        <v>14445</v>
      </c>
      <c r="E416" s="102" t="s">
        <v>14444</v>
      </c>
      <c r="F416" s="107" t="s">
        <v>244</v>
      </c>
      <c r="G416" s="98" t="s">
        <v>14443</v>
      </c>
      <c r="H416" s="99" t="s">
        <v>14442</v>
      </c>
      <c r="I416" s="100" t="s">
        <v>14217</v>
      </c>
      <c r="J416" s="98" t="s">
        <v>14441</v>
      </c>
      <c r="K416" s="99" t="s">
        <v>14440</v>
      </c>
    </row>
    <row r="417" spans="1:11" ht="17.5" x14ac:dyDescent="0.45">
      <c r="A417" s="104"/>
      <c r="B417" s="102"/>
      <c r="C417" s="103"/>
      <c r="D417" s="102"/>
      <c r="E417" s="102"/>
      <c r="F417" s="105" t="s">
        <v>65</v>
      </c>
      <c r="G417" s="99" t="s">
        <v>14439</v>
      </c>
      <c r="H417" s="98" t="s">
        <v>14438</v>
      </c>
      <c r="I417" s="100" t="s">
        <v>14228</v>
      </c>
      <c r="J417" s="99" t="s">
        <v>14437</v>
      </c>
      <c r="K417" s="98" t="s">
        <v>14436</v>
      </c>
    </row>
    <row r="418" spans="1:11" ht="17.5" x14ac:dyDescent="0.45">
      <c r="A418" s="104"/>
      <c r="B418" s="102"/>
      <c r="C418" s="103"/>
      <c r="D418" s="106" t="s">
        <v>14435</v>
      </c>
      <c r="E418" s="106" t="s">
        <v>14434</v>
      </c>
      <c r="F418" s="107" t="s">
        <v>244</v>
      </c>
      <c r="G418" s="98" t="s">
        <v>14433</v>
      </c>
      <c r="H418" s="99" t="s">
        <v>14432</v>
      </c>
      <c r="I418" s="100" t="s">
        <v>14212</v>
      </c>
      <c r="J418" s="98" t="s">
        <v>14431</v>
      </c>
      <c r="K418" s="99" t="s">
        <v>14430</v>
      </c>
    </row>
    <row r="419" spans="1:11" ht="17.5" x14ac:dyDescent="0.45">
      <c r="A419" s="104"/>
      <c r="B419" s="102"/>
      <c r="C419" s="103"/>
      <c r="D419" s="106"/>
      <c r="E419" s="106"/>
      <c r="F419" s="105" t="s">
        <v>65</v>
      </c>
      <c r="G419" s="99" t="s">
        <v>14429</v>
      </c>
      <c r="H419" s="98" t="s">
        <v>14428</v>
      </c>
      <c r="I419" s="100" t="s">
        <v>14217</v>
      </c>
      <c r="J419" s="99" t="s">
        <v>14427</v>
      </c>
      <c r="K419" s="98" t="s">
        <v>14426</v>
      </c>
    </row>
    <row r="420" spans="1:11" ht="17.5" x14ac:dyDescent="0.45">
      <c r="A420" s="104"/>
      <c r="B420" s="102"/>
      <c r="C420" s="103"/>
      <c r="D420" s="102" t="s">
        <v>14425</v>
      </c>
      <c r="E420" s="102" t="s">
        <v>14424</v>
      </c>
      <c r="F420" s="107" t="s">
        <v>244</v>
      </c>
      <c r="G420" s="98" t="s">
        <v>14423</v>
      </c>
      <c r="H420" s="99" t="s">
        <v>14277</v>
      </c>
      <c r="I420" s="100" t="s">
        <v>14245</v>
      </c>
      <c r="J420" s="98" t="s">
        <v>14422</v>
      </c>
      <c r="K420" s="99" t="s">
        <v>14421</v>
      </c>
    </row>
    <row r="421" spans="1:11" ht="17.5" x14ac:dyDescent="0.45">
      <c r="A421" s="104"/>
      <c r="B421" s="102"/>
      <c r="C421" s="103"/>
      <c r="D421" s="102"/>
      <c r="E421" s="102"/>
      <c r="F421" s="105" t="s">
        <v>65</v>
      </c>
      <c r="G421" s="99" t="s">
        <v>14420</v>
      </c>
      <c r="H421" s="98" t="s">
        <v>14419</v>
      </c>
      <c r="I421" s="100" t="s">
        <v>14212</v>
      </c>
      <c r="J421" s="99" t="s">
        <v>14418</v>
      </c>
      <c r="K421" s="98" t="s">
        <v>14417</v>
      </c>
    </row>
    <row r="422" spans="1:11" ht="17.5" x14ac:dyDescent="0.45">
      <c r="A422" s="104"/>
      <c r="B422" s="102"/>
      <c r="C422" s="110" t="s">
        <v>14416</v>
      </c>
      <c r="D422" s="106" t="s">
        <v>14415</v>
      </c>
      <c r="E422" s="106" t="s">
        <v>14414</v>
      </c>
      <c r="F422" s="107" t="s">
        <v>65</v>
      </c>
      <c r="G422" s="98" t="s">
        <v>14413</v>
      </c>
      <c r="H422" s="99" t="s">
        <v>14412</v>
      </c>
      <c r="I422" s="100" t="s">
        <v>14217</v>
      </c>
      <c r="J422" s="98" t="s">
        <v>14411</v>
      </c>
      <c r="K422" s="99" t="s">
        <v>14410</v>
      </c>
    </row>
    <row r="423" spans="1:11" ht="17.5" x14ac:dyDescent="0.45">
      <c r="A423" s="104"/>
      <c r="B423" s="102"/>
      <c r="C423" s="108"/>
      <c r="D423" s="106"/>
      <c r="E423" s="106"/>
      <c r="F423" s="105" t="s">
        <v>244</v>
      </c>
      <c r="G423" s="99" t="s">
        <v>14409</v>
      </c>
      <c r="H423" s="98" t="s">
        <v>14408</v>
      </c>
      <c r="I423" s="100" t="s">
        <v>14228</v>
      </c>
      <c r="J423" s="99" t="s">
        <v>14407</v>
      </c>
      <c r="K423" s="98" t="s">
        <v>14406</v>
      </c>
    </row>
    <row r="424" spans="1:11" ht="17.5" x14ac:dyDescent="0.45">
      <c r="A424" s="104"/>
      <c r="B424" s="102"/>
      <c r="C424" s="108"/>
      <c r="D424" s="102" t="s">
        <v>14405</v>
      </c>
      <c r="E424" s="102" t="s">
        <v>14404</v>
      </c>
      <c r="F424" s="107" t="s">
        <v>65</v>
      </c>
      <c r="G424" s="98" t="s">
        <v>14403</v>
      </c>
      <c r="H424" s="99" t="s">
        <v>14402</v>
      </c>
      <c r="I424" s="100" t="s">
        <v>14217</v>
      </c>
      <c r="J424" s="98" t="s">
        <v>14401</v>
      </c>
      <c r="K424" s="99" t="s">
        <v>14400</v>
      </c>
    </row>
    <row r="425" spans="1:11" ht="17.5" x14ac:dyDescent="0.45">
      <c r="A425" s="104"/>
      <c r="B425" s="102"/>
      <c r="C425" s="108"/>
      <c r="D425" s="102"/>
      <c r="E425" s="102"/>
      <c r="F425" s="105" t="s">
        <v>244</v>
      </c>
      <c r="G425" s="99" t="s">
        <v>14399</v>
      </c>
      <c r="H425" s="98" t="s">
        <v>14398</v>
      </c>
      <c r="I425" s="100" t="s">
        <v>14217</v>
      </c>
      <c r="J425" s="99" t="s">
        <v>14397</v>
      </c>
      <c r="K425" s="98" t="s">
        <v>14396</v>
      </c>
    </row>
    <row r="426" spans="1:11" ht="17.5" x14ac:dyDescent="0.45">
      <c r="A426" s="104"/>
      <c r="B426" s="102"/>
      <c r="C426" s="108"/>
      <c r="D426" s="106" t="s">
        <v>14395</v>
      </c>
      <c r="E426" s="106" t="s">
        <v>14394</v>
      </c>
      <c r="F426" s="107" t="s">
        <v>244</v>
      </c>
      <c r="G426" s="98" t="s">
        <v>14393</v>
      </c>
      <c r="H426" s="99" t="s">
        <v>14392</v>
      </c>
      <c r="I426" s="100" t="s">
        <v>14212</v>
      </c>
      <c r="J426" s="98" t="s">
        <v>14391</v>
      </c>
      <c r="K426" s="99" t="s">
        <v>14390</v>
      </c>
    </row>
    <row r="427" spans="1:11" ht="17.5" x14ac:dyDescent="0.45">
      <c r="A427" s="104"/>
      <c r="B427" s="102"/>
      <c r="C427" s="108"/>
      <c r="D427" s="106"/>
      <c r="E427" s="106"/>
      <c r="F427" s="105" t="s">
        <v>65</v>
      </c>
      <c r="G427" s="99" t="s">
        <v>14389</v>
      </c>
      <c r="H427" s="98" t="s">
        <v>14388</v>
      </c>
      <c r="I427" s="100" t="s">
        <v>14228</v>
      </c>
      <c r="J427" s="99" t="s">
        <v>14387</v>
      </c>
      <c r="K427" s="98" t="s">
        <v>14386</v>
      </c>
    </row>
    <row r="428" spans="1:11" ht="17.5" x14ac:dyDescent="0.45">
      <c r="A428" s="104"/>
      <c r="B428" s="102"/>
      <c r="C428" s="108"/>
      <c r="D428" s="102" t="s">
        <v>14385</v>
      </c>
      <c r="E428" s="102" t="s">
        <v>14384</v>
      </c>
      <c r="F428" s="107" t="s">
        <v>244</v>
      </c>
      <c r="G428" s="98" t="s">
        <v>14383</v>
      </c>
      <c r="H428" s="99" t="s">
        <v>14382</v>
      </c>
      <c r="I428" s="100" t="s">
        <v>14217</v>
      </c>
      <c r="J428" s="98" t="s">
        <v>14381</v>
      </c>
      <c r="K428" s="99" t="s">
        <v>14380</v>
      </c>
    </row>
    <row r="429" spans="1:11" ht="17.5" x14ac:dyDescent="0.45">
      <c r="A429" s="104"/>
      <c r="B429" s="102"/>
      <c r="C429" s="108"/>
      <c r="D429" s="102"/>
      <c r="E429" s="102"/>
      <c r="F429" s="105" t="s">
        <v>65</v>
      </c>
      <c r="G429" s="99" t="s">
        <v>14379</v>
      </c>
      <c r="H429" s="98" t="s">
        <v>14378</v>
      </c>
      <c r="I429" s="100" t="s">
        <v>14212</v>
      </c>
      <c r="J429" s="99" t="s">
        <v>14377</v>
      </c>
      <c r="K429" s="98" t="s">
        <v>14376</v>
      </c>
    </row>
    <row r="430" spans="1:11" ht="17.5" x14ac:dyDescent="0.45">
      <c r="A430" s="104"/>
      <c r="B430" s="102"/>
      <c r="C430" s="108"/>
      <c r="D430" s="106" t="s">
        <v>14375</v>
      </c>
      <c r="E430" s="106" t="s">
        <v>14374</v>
      </c>
      <c r="F430" s="107" t="s">
        <v>244</v>
      </c>
      <c r="G430" s="98" t="s">
        <v>14373</v>
      </c>
      <c r="H430" s="99" t="s">
        <v>14372</v>
      </c>
      <c r="I430" s="100" t="s">
        <v>14245</v>
      </c>
      <c r="J430" s="98" t="s">
        <v>14371</v>
      </c>
      <c r="K430" s="99" t="s">
        <v>14370</v>
      </c>
    </row>
    <row r="431" spans="1:11" ht="17.5" x14ac:dyDescent="0.45">
      <c r="A431" s="104"/>
      <c r="B431" s="102"/>
      <c r="C431" s="108"/>
      <c r="D431" s="106"/>
      <c r="E431" s="106"/>
      <c r="F431" s="105" t="s">
        <v>65</v>
      </c>
      <c r="G431" s="99" t="s">
        <v>14369</v>
      </c>
      <c r="H431" s="98" t="s">
        <v>14368</v>
      </c>
      <c r="I431" s="100" t="s">
        <v>14217</v>
      </c>
      <c r="J431" s="99" t="s">
        <v>14367</v>
      </c>
      <c r="K431" s="98" t="s">
        <v>14366</v>
      </c>
    </row>
    <row r="432" spans="1:11" ht="17.5" x14ac:dyDescent="0.45">
      <c r="A432" s="104"/>
      <c r="B432" s="102"/>
      <c r="C432" s="109" t="s">
        <v>14365</v>
      </c>
      <c r="D432" s="102" t="s">
        <v>14364</v>
      </c>
      <c r="E432" s="102" t="s">
        <v>14363</v>
      </c>
      <c r="F432" s="107" t="s">
        <v>244</v>
      </c>
      <c r="G432" s="98" t="s">
        <v>14362</v>
      </c>
      <c r="H432" s="99" t="s">
        <v>14361</v>
      </c>
      <c r="I432" s="100" t="s">
        <v>14212</v>
      </c>
      <c r="J432" s="98" t="s">
        <v>14360</v>
      </c>
      <c r="K432" s="99" t="s">
        <v>14359</v>
      </c>
    </row>
    <row r="433" spans="1:11" ht="17.5" x14ac:dyDescent="0.45">
      <c r="A433" s="104"/>
      <c r="B433" s="102"/>
      <c r="C433" s="103"/>
      <c r="D433" s="102"/>
      <c r="E433" s="102"/>
      <c r="F433" s="105" t="s">
        <v>65</v>
      </c>
      <c r="G433" s="99" t="s">
        <v>14358</v>
      </c>
      <c r="H433" s="98" t="s">
        <v>14357</v>
      </c>
      <c r="I433" s="100" t="s">
        <v>14228</v>
      </c>
      <c r="J433" s="99" t="s">
        <v>14356</v>
      </c>
      <c r="K433" s="98" t="s">
        <v>14355</v>
      </c>
    </row>
    <row r="434" spans="1:11" ht="17.5" x14ac:dyDescent="0.45">
      <c r="A434" s="104"/>
      <c r="B434" s="102"/>
      <c r="C434" s="103"/>
      <c r="D434" s="106" t="s">
        <v>14354</v>
      </c>
      <c r="E434" s="106" t="s">
        <v>14353</v>
      </c>
      <c r="F434" s="107" t="s">
        <v>65</v>
      </c>
      <c r="G434" s="98" t="s">
        <v>14352</v>
      </c>
      <c r="H434" s="99" t="s">
        <v>14351</v>
      </c>
      <c r="I434" s="100" t="s">
        <v>14217</v>
      </c>
      <c r="J434" s="98" t="s">
        <v>14350</v>
      </c>
      <c r="K434" s="99" t="s">
        <v>14349</v>
      </c>
    </row>
    <row r="435" spans="1:11" ht="17.5" x14ac:dyDescent="0.45">
      <c r="A435" s="104"/>
      <c r="B435" s="102"/>
      <c r="C435" s="103"/>
      <c r="D435" s="106"/>
      <c r="E435" s="106"/>
      <c r="F435" s="105" t="s">
        <v>244</v>
      </c>
      <c r="G435" s="99" t="s">
        <v>14348</v>
      </c>
      <c r="H435" s="98" t="s">
        <v>14347</v>
      </c>
      <c r="I435" s="100" t="s">
        <v>14217</v>
      </c>
      <c r="J435" s="99" t="s">
        <v>14346</v>
      </c>
      <c r="K435" s="98" t="s">
        <v>14345</v>
      </c>
    </row>
    <row r="436" spans="1:11" ht="17.5" x14ac:dyDescent="0.45">
      <c r="A436" s="104"/>
      <c r="B436" s="102"/>
      <c r="C436" s="103"/>
      <c r="D436" s="102" t="s">
        <v>14344</v>
      </c>
      <c r="E436" s="102" t="s">
        <v>14343</v>
      </c>
      <c r="F436" s="107" t="s">
        <v>244</v>
      </c>
      <c r="G436" s="98" t="s">
        <v>14342</v>
      </c>
      <c r="H436" s="99" t="s">
        <v>14341</v>
      </c>
      <c r="I436" s="100" t="s">
        <v>14212</v>
      </c>
      <c r="J436" s="98" t="s">
        <v>14340</v>
      </c>
      <c r="K436" s="99" t="s">
        <v>14339</v>
      </c>
    </row>
    <row r="437" spans="1:11" ht="17.5" x14ac:dyDescent="0.45">
      <c r="A437" s="104"/>
      <c r="B437" s="102"/>
      <c r="C437" s="103"/>
      <c r="D437" s="102"/>
      <c r="E437" s="102"/>
      <c r="F437" s="105" t="s">
        <v>65</v>
      </c>
      <c r="G437" s="99" t="s">
        <v>14338</v>
      </c>
      <c r="H437" s="98" t="s">
        <v>14337</v>
      </c>
      <c r="I437" s="100" t="s">
        <v>14228</v>
      </c>
      <c r="J437" s="99" t="s">
        <v>14336</v>
      </c>
      <c r="K437" s="98" t="s">
        <v>14335</v>
      </c>
    </row>
    <row r="438" spans="1:11" ht="17.5" x14ac:dyDescent="0.45">
      <c r="A438" s="104"/>
      <c r="B438" s="102"/>
      <c r="C438" s="103"/>
      <c r="D438" s="106" t="s">
        <v>14334</v>
      </c>
      <c r="E438" s="106" t="s">
        <v>14333</v>
      </c>
      <c r="F438" s="107" t="s">
        <v>244</v>
      </c>
      <c r="G438" s="98" t="s">
        <v>14332</v>
      </c>
      <c r="H438" s="99" t="s">
        <v>14331</v>
      </c>
      <c r="I438" s="100" t="s">
        <v>14217</v>
      </c>
      <c r="J438" s="98" t="s">
        <v>14330</v>
      </c>
      <c r="K438" s="99" t="s">
        <v>14329</v>
      </c>
    </row>
    <row r="439" spans="1:11" ht="17.5" x14ac:dyDescent="0.45">
      <c r="A439" s="104"/>
      <c r="B439" s="102"/>
      <c r="C439" s="103"/>
      <c r="D439" s="106"/>
      <c r="E439" s="106"/>
      <c r="F439" s="105" t="s">
        <v>65</v>
      </c>
      <c r="G439" s="99" t="s">
        <v>14328</v>
      </c>
      <c r="H439" s="98" t="s">
        <v>14327</v>
      </c>
      <c r="I439" s="100" t="s">
        <v>14326</v>
      </c>
      <c r="J439" s="99" t="s">
        <v>14325</v>
      </c>
      <c r="K439" s="98" t="s">
        <v>14324</v>
      </c>
    </row>
    <row r="440" spans="1:11" ht="17.5" x14ac:dyDescent="0.45">
      <c r="A440" s="104"/>
      <c r="B440" s="102"/>
      <c r="C440" s="103"/>
      <c r="D440" s="102" t="s">
        <v>14323</v>
      </c>
      <c r="E440" s="102" t="s">
        <v>14322</v>
      </c>
      <c r="F440" s="107" t="s">
        <v>65</v>
      </c>
      <c r="G440" s="98" t="s">
        <v>14321</v>
      </c>
      <c r="H440" s="99" t="s">
        <v>14320</v>
      </c>
      <c r="I440" s="100" t="s">
        <v>14212</v>
      </c>
      <c r="J440" s="98" t="s">
        <v>14319</v>
      </c>
      <c r="K440" s="99" t="s">
        <v>14318</v>
      </c>
    </row>
    <row r="441" spans="1:11" ht="17.5" x14ac:dyDescent="0.45">
      <c r="A441" s="104"/>
      <c r="B441" s="102"/>
      <c r="C441" s="103"/>
      <c r="D441" s="102"/>
      <c r="E441" s="102"/>
      <c r="F441" s="105" t="s">
        <v>244</v>
      </c>
      <c r="G441" s="99" t="s">
        <v>14317</v>
      </c>
      <c r="H441" s="98" t="s">
        <v>14316</v>
      </c>
      <c r="I441" s="100" t="s">
        <v>14217</v>
      </c>
      <c r="J441" s="99" t="s">
        <v>14315</v>
      </c>
      <c r="K441" s="98" t="s">
        <v>14314</v>
      </c>
    </row>
    <row r="442" spans="1:11" ht="17.5" x14ac:dyDescent="0.45">
      <c r="A442" s="104"/>
      <c r="B442" s="102"/>
      <c r="C442" s="108" t="s">
        <v>14313</v>
      </c>
      <c r="D442" s="106" t="s">
        <v>14312</v>
      </c>
      <c r="E442" s="106" t="s">
        <v>14311</v>
      </c>
      <c r="F442" s="107" t="s">
        <v>65</v>
      </c>
      <c r="G442" s="98" t="s">
        <v>14310</v>
      </c>
      <c r="H442" s="99" t="s">
        <v>14309</v>
      </c>
      <c r="I442" s="100" t="s">
        <v>14228</v>
      </c>
      <c r="J442" s="98" t="s">
        <v>14308</v>
      </c>
      <c r="K442" s="99" t="s">
        <v>14307</v>
      </c>
    </row>
    <row r="443" spans="1:11" ht="17.5" x14ac:dyDescent="0.45">
      <c r="A443" s="104"/>
      <c r="B443" s="102"/>
      <c r="C443" s="108"/>
      <c r="D443" s="106"/>
      <c r="E443" s="106"/>
      <c r="F443" s="105" t="s">
        <v>244</v>
      </c>
      <c r="G443" s="99" t="s">
        <v>10629</v>
      </c>
      <c r="H443" s="98" t="s">
        <v>14306</v>
      </c>
      <c r="I443" s="100" t="s">
        <v>14212</v>
      </c>
      <c r="J443" s="99" t="s">
        <v>14305</v>
      </c>
      <c r="K443" s="98" t="s">
        <v>14304</v>
      </c>
    </row>
    <row r="444" spans="1:11" ht="17.5" x14ac:dyDescent="0.45">
      <c r="A444" s="104"/>
      <c r="B444" s="102"/>
      <c r="C444" s="108"/>
      <c r="D444" s="102" t="s">
        <v>14303</v>
      </c>
      <c r="E444" s="102" t="s">
        <v>14302</v>
      </c>
      <c r="F444" s="107" t="s">
        <v>65</v>
      </c>
      <c r="G444" s="98" t="s">
        <v>14301</v>
      </c>
      <c r="H444" s="99" t="s">
        <v>14300</v>
      </c>
      <c r="I444" s="100" t="s">
        <v>14217</v>
      </c>
      <c r="J444" s="98" t="s">
        <v>14299</v>
      </c>
      <c r="K444" s="99" t="s">
        <v>14298</v>
      </c>
    </row>
    <row r="445" spans="1:11" ht="17.5" x14ac:dyDescent="0.45">
      <c r="A445" s="104"/>
      <c r="B445" s="102"/>
      <c r="C445" s="108"/>
      <c r="D445" s="102"/>
      <c r="E445" s="102"/>
      <c r="F445" s="105" t="s">
        <v>244</v>
      </c>
      <c r="G445" s="99" t="s">
        <v>14297</v>
      </c>
      <c r="H445" s="98" t="s">
        <v>14296</v>
      </c>
      <c r="I445" s="100" t="s">
        <v>14245</v>
      </c>
      <c r="J445" s="99" t="s">
        <v>14295</v>
      </c>
      <c r="K445" s="98" t="s">
        <v>14294</v>
      </c>
    </row>
    <row r="446" spans="1:11" ht="17.5" x14ac:dyDescent="0.45">
      <c r="A446" s="104"/>
      <c r="B446" s="102"/>
      <c r="C446" s="108"/>
      <c r="D446" s="106" t="s">
        <v>14293</v>
      </c>
      <c r="E446" s="106" t="s">
        <v>14292</v>
      </c>
      <c r="F446" s="107" t="s">
        <v>244</v>
      </c>
      <c r="G446" s="98" t="s">
        <v>13949</v>
      </c>
      <c r="H446" s="99" t="s">
        <v>14291</v>
      </c>
      <c r="I446" s="100" t="s">
        <v>14212</v>
      </c>
      <c r="J446" s="98" t="s">
        <v>14290</v>
      </c>
      <c r="K446" s="99" t="s">
        <v>14289</v>
      </c>
    </row>
    <row r="447" spans="1:11" ht="17.5" x14ac:dyDescent="0.45">
      <c r="A447" s="104"/>
      <c r="B447" s="102"/>
      <c r="C447" s="108"/>
      <c r="D447" s="106"/>
      <c r="E447" s="106"/>
      <c r="F447" s="105" t="s">
        <v>65</v>
      </c>
      <c r="G447" s="99" t="s">
        <v>14288</v>
      </c>
      <c r="H447" s="98" t="s">
        <v>14287</v>
      </c>
      <c r="I447" s="100" t="s">
        <v>14217</v>
      </c>
      <c r="J447" s="99" t="s">
        <v>14286</v>
      </c>
      <c r="K447" s="98" t="s">
        <v>14285</v>
      </c>
    </row>
    <row r="448" spans="1:11" ht="17.5" x14ac:dyDescent="0.45">
      <c r="A448" s="104"/>
      <c r="B448" s="102"/>
      <c r="C448" s="108"/>
      <c r="D448" s="102" t="s">
        <v>14284</v>
      </c>
      <c r="E448" s="102" t="s">
        <v>14283</v>
      </c>
      <c r="F448" s="107" t="s">
        <v>65</v>
      </c>
      <c r="G448" s="98" t="s">
        <v>14282</v>
      </c>
      <c r="H448" s="99" t="s">
        <v>14281</v>
      </c>
      <c r="I448" s="100" t="s">
        <v>14228</v>
      </c>
      <c r="J448" s="98" t="s">
        <v>14280</v>
      </c>
      <c r="K448" s="99" t="s">
        <v>14279</v>
      </c>
    </row>
    <row r="449" spans="1:11" ht="17.5" x14ac:dyDescent="0.45">
      <c r="A449" s="104"/>
      <c r="B449" s="102"/>
      <c r="C449" s="108"/>
      <c r="D449" s="102"/>
      <c r="E449" s="102"/>
      <c r="F449" s="105" t="s">
        <v>244</v>
      </c>
      <c r="G449" s="99" t="s">
        <v>14278</v>
      </c>
      <c r="H449" s="98" t="s">
        <v>14277</v>
      </c>
      <c r="I449" s="100" t="s">
        <v>14217</v>
      </c>
      <c r="J449" s="99" t="s">
        <v>14276</v>
      </c>
      <c r="K449" s="98" t="s">
        <v>14275</v>
      </c>
    </row>
    <row r="450" spans="1:11" ht="17.5" x14ac:dyDescent="0.45">
      <c r="A450" s="104"/>
      <c r="B450" s="102"/>
      <c r="C450" s="108"/>
      <c r="D450" s="106" t="s">
        <v>14274</v>
      </c>
      <c r="E450" s="106" t="s">
        <v>14273</v>
      </c>
      <c r="F450" s="107" t="s">
        <v>65</v>
      </c>
      <c r="G450" s="98" t="s">
        <v>14272</v>
      </c>
      <c r="H450" s="99" t="s">
        <v>14271</v>
      </c>
      <c r="I450" s="100" t="s">
        <v>14217</v>
      </c>
      <c r="J450" s="98" t="s">
        <v>14270</v>
      </c>
      <c r="K450" s="99" t="s">
        <v>14269</v>
      </c>
    </row>
    <row r="451" spans="1:11" ht="17.5" x14ac:dyDescent="0.45">
      <c r="A451" s="104"/>
      <c r="B451" s="102"/>
      <c r="C451" s="108"/>
      <c r="D451" s="106"/>
      <c r="E451" s="106"/>
      <c r="F451" s="105" t="s">
        <v>244</v>
      </c>
      <c r="G451" s="99" t="s">
        <v>14268</v>
      </c>
      <c r="H451" s="98" t="s">
        <v>14267</v>
      </c>
      <c r="I451" s="100" t="s">
        <v>14212</v>
      </c>
      <c r="J451" s="99" t="s">
        <v>14266</v>
      </c>
      <c r="K451" s="98" t="s">
        <v>14265</v>
      </c>
    </row>
    <row r="452" spans="1:11" ht="17.5" x14ac:dyDescent="0.45">
      <c r="A452" s="104"/>
      <c r="B452" s="102"/>
      <c r="C452" s="103" t="s">
        <v>14264</v>
      </c>
      <c r="D452" s="102" t="s">
        <v>14263</v>
      </c>
      <c r="E452" s="102" t="s">
        <v>14262</v>
      </c>
      <c r="F452" s="107" t="s">
        <v>65</v>
      </c>
      <c r="G452" s="98" t="s">
        <v>14261</v>
      </c>
      <c r="H452" s="99" t="s">
        <v>14260</v>
      </c>
      <c r="I452" s="100" t="s">
        <v>14228</v>
      </c>
      <c r="J452" s="98" t="s">
        <v>14259</v>
      </c>
      <c r="K452" s="99" t="s">
        <v>14258</v>
      </c>
    </row>
    <row r="453" spans="1:11" ht="17.5" x14ac:dyDescent="0.45">
      <c r="A453" s="104"/>
      <c r="B453" s="102"/>
      <c r="C453" s="103"/>
      <c r="D453" s="102"/>
      <c r="E453" s="102"/>
      <c r="F453" s="105" t="s">
        <v>244</v>
      </c>
      <c r="G453" s="99" t="s">
        <v>14257</v>
      </c>
      <c r="H453" s="98" t="s">
        <v>14256</v>
      </c>
      <c r="I453" s="100" t="s">
        <v>14217</v>
      </c>
      <c r="J453" s="99" t="s">
        <v>14255</v>
      </c>
      <c r="K453" s="98" t="s">
        <v>14254</v>
      </c>
    </row>
    <row r="454" spans="1:11" ht="17.5" x14ac:dyDescent="0.45">
      <c r="A454" s="104"/>
      <c r="B454" s="102"/>
      <c r="C454" s="103"/>
      <c r="D454" s="106" t="s">
        <v>14253</v>
      </c>
      <c r="E454" s="106" t="s">
        <v>14252</v>
      </c>
      <c r="F454" s="107" t="s">
        <v>65</v>
      </c>
      <c r="G454" s="98" t="s">
        <v>14251</v>
      </c>
      <c r="H454" s="99" t="s">
        <v>14250</v>
      </c>
      <c r="I454" s="100" t="s">
        <v>14212</v>
      </c>
      <c r="J454" s="98" t="s">
        <v>14249</v>
      </c>
      <c r="K454" s="99" t="s">
        <v>14248</v>
      </c>
    </row>
    <row r="455" spans="1:11" ht="17.5" x14ac:dyDescent="0.45">
      <c r="A455" s="104"/>
      <c r="B455" s="102"/>
      <c r="C455" s="103"/>
      <c r="D455" s="106"/>
      <c r="E455" s="106"/>
      <c r="F455" s="105" t="s">
        <v>244</v>
      </c>
      <c r="G455" s="99" t="s">
        <v>14247</v>
      </c>
      <c r="H455" s="98" t="s">
        <v>14246</v>
      </c>
      <c r="I455" s="100" t="s">
        <v>14245</v>
      </c>
      <c r="J455" s="99" t="s">
        <v>14244</v>
      </c>
      <c r="K455" s="98" t="s">
        <v>14243</v>
      </c>
    </row>
    <row r="456" spans="1:11" ht="17.5" x14ac:dyDescent="0.45">
      <c r="A456" s="104"/>
      <c r="B456" s="102"/>
      <c r="C456" s="103"/>
      <c r="D456" s="102" t="s">
        <v>14242</v>
      </c>
      <c r="E456" s="102" t="s">
        <v>14241</v>
      </c>
      <c r="F456" s="107" t="s">
        <v>244</v>
      </c>
      <c r="G456" s="98" t="s">
        <v>14240</v>
      </c>
      <c r="H456" s="99" t="s">
        <v>14239</v>
      </c>
      <c r="I456" s="100" t="s">
        <v>14217</v>
      </c>
      <c r="J456" s="98" t="s">
        <v>14238</v>
      </c>
      <c r="K456" s="99" t="s">
        <v>14237</v>
      </c>
    </row>
    <row r="457" spans="1:11" ht="17.5" x14ac:dyDescent="0.45">
      <c r="A457" s="104"/>
      <c r="B457" s="102"/>
      <c r="C457" s="103"/>
      <c r="D457" s="102"/>
      <c r="E457" s="102"/>
      <c r="F457" s="105" t="s">
        <v>65</v>
      </c>
      <c r="G457" s="99" t="s">
        <v>14236</v>
      </c>
      <c r="H457" s="98" t="s">
        <v>14235</v>
      </c>
      <c r="I457" s="100" t="s">
        <v>14212</v>
      </c>
      <c r="J457" s="99" t="s">
        <v>14234</v>
      </c>
      <c r="K457" s="98" t="s">
        <v>14233</v>
      </c>
    </row>
    <row r="458" spans="1:11" ht="17.5" x14ac:dyDescent="0.45">
      <c r="A458" s="104"/>
      <c r="B458" s="102"/>
      <c r="C458" s="103"/>
      <c r="D458" s="106" t="s">
        <v>14232</v>
      </c>
      <c r="E458" s="106" t="s">
        <v>14231</v>
      </c>
      <c r="F458" s="107" t="s">
        <v>244</v>
      </c>
      <c r="G458" s="98" t="s">
        <v>14230</v>
      </c>
      <c r="H458" s="99" t="s">
        <v>14229</v>
      </c>
      <c r="I458" s="100" t="s">
        <v>14228</v>
      </c>
      <c r="J458" s="98" t="s">
        <v>14227</v>
      </c>
      <c r="K458" s="99" t="s">
        <v>14226</v>
      </c>
    </row>
    <row r="459" spans="1:11" ht="17.5" x14ac:dyDescent="0.45">
      <c r="A459" s="104"/>
      <c r="B459" s="102"/>
      <c r="C459" s="103"/>
      <c r="D459" s="106"/>
      <c r="E459" s="106"/>
      <c r="F459" s="105" t="s">
        <v>65</v>
      </c>
      <c r="G459" s="99" t="s">
        <v>14225</v>
      </c>
      <c r="H459" s="98" t="s">
        <v>14224</v>
      </c>
      <c r="I459" s="100" t="s">
        <v>14217</v>
      </c>
      <c r="J459" s="99" t="s">
        <v>14223</v>
      </c>
      <c r="K459" s="98" t="s">
        <v>14222</v>
      </c>
    </row>
    <row r="460" spans="1:11" ht="17.5" x14ac:dyDescent="0.45">
      <c r="A460" s="104"/>
      <c r="B460" s="102"/>
      <c r="C460" s="103"/>
      <c r="D460" s="102" t="s">
        <v>14221</v>
      </c>
      <c r="E460" s="102" t="s">
        <v>14220</v>
      </c>
      <c r="F460" s="101" t="s">
        <v>65</v>
      </c>
      <c r="G460" s="98" t="s">
        <v>14219</v>
      </c>
      <c r="H460" s="99" t="s">
        <v>14218</v>
      </c>
      <c r="I460" s="100" t="s">
        <v>14217</v>
      </c>
      <c r="J460" s="98" t="s">
        <v>14216</v>
      </c>
      <c r="K460" s="99" t="s">
        <v>14215</v>
      </c>
    </row>
    <row r="461" spans="1:11" ht="17.5" x14ac:dyDescent="0.45">
      <c r="A461" s="104"/>
      <c r="B461" s="102"/>
      <c r="C461" s="103"/>
      <c r="D461" s="102"/>
      <c r="E461" s="102"/>
      <c r="F461" s="101" t="s">
        <v>244</v>
      </c>
      <c r="G461" s="99" t="s">
        <v>14214</v>
      </c>
      <c r="H461" s="98" t="s">
        <v>14213</v>
      </c>
      <c r="I461" s="100" t="s">
        <v>14212</v>
      </c>
      <c r="J461" s="99" t="s">
        <v>14211</v>
      </c>
      <c r="K461" s="98" t="s">
        <v>14210</v>
      </c>
    </row>
  </sheetData>
  <mergeCells count="742">
    <mergeCell ref="C452:C461"/>
    <mergeCell ref="D452:D453"/>
    <mergeCell ref="E452:E453"/>
    <mergeCell ref="F452:F453"/>
    <mergeCell ref="D454:D455"/>
    <mergeCell ref="E454:E455"/>
    <mergeCell ref="F454:F455"/>
    <mergeCell ref="D456:D457"/>
    <mergeCell ref="E456:E457"/>
    <mergeCell ref="F456:F457"/>
    <mergeCell ref="D458:D459"/>
    <mergeCell ref="E458:E459"/>
    <mergeCell ref="F458:F459"/>
    <mergeCell ref="D460:D461"/>
    <mergeCell ref="E460:E461"/>
    <mergeCell ref="F460:F461"/>
    <mergeCell ref="C442:C451"/>
    <mergeCell ref="D442:D443"/>
    <mergeCell ref="E442:E443"/>
    <mergeCell ref="F442:F443"/>
    <mergeCell ref="D444:D445"/>
    <mergeCell ref="E444:E445"/>
    <mergeCell ref="F444:F445"/>
    <mergeCell ref="D446:D447"/>
    <mergeCell ref="E446:E447"/>
    <mergeCell ref="F446:F447"/>
    <mergeCell ref="D448:D449"/>
    <mergeCell ref="E448:E449"/>
    <mergeCell ref="F448:F449"/>
    <mergeCell ref="D450:D451"/>
    <mergeCell ref="E450:E451"/>
    <mergeCell ref="F450:F451"/>
    <mergeCell ref="C432:C441"/>
    <mergeCell ref="D432:D433"/>
    <mergeCell ref="E432:E433"/>
    <mergeCell ref="F432:F433"/>
    <mergeCell ref="D434:D435"/>
    <mergeCell ref="E434:E435"/>
    <mergeCell ref="F434:F435"/>
    <mergeCell ref="D436:D437"/>
    <mergeCell ref="E436:E437"/>
    <mergeCell ref="F436:F437"/>
    <mergeCell ref="D438:D439"/>
    <mergeCell ref="E438:E439"/>
    <mergeCell ref="F438:F439"/>
    <mergeCell ref="D440:D441"/>
    <mergeCell ref="E440:E441"/>
    <mergeCell ref="F440:F441"/>
    <mergeCell ref="C422:C431"/>
    <mergeCell ref="D422:D423"/>
    <mergeCell ref="E422:E423"/>
    <mergeCell ref="F422:F423"/>
    <mergeCell ref="D424:D425"/>
    <mergeCell ref="E424:E425"/>
    <mergeCell ref="F424:F425"/>
    <mergeCell ref="D426:D427"/>
    <mergeCell ref="E426:E427"/>
    <mergeCell ref="F426:F427"/>
    <mergeCell ref="D428:D429"/>
    <mergeCell ref="E428:E429"/>
    <mergeCell ref="F428:F429"/>
    <mergeCell ref="D430:D431"/>
    <mergeCell ref="E430:E431"/>
    <mergeCell ref="F430:F431"/>
    <mergeCell ref="C412:C421"/>
    <mergeCell ref="D412:D413"/>
    <mergeCell ref="E412:E413"/>
    <mergeCell ref="F412:F413"/>
    <mergeCell ref="D414:D415"/>
    <mergeCell ref="E414:E415"/>
    <mergeCell ref="F414:F415"/>
    <mergeCell ref="D416:D417"/>
    <mergeCell ref="E416:E417"/>
    <mergeCell ref="F416:F417"/>
    <mergeCell ref="D418:D419"/>
    <mergeCell ref="E418:E419"/>
    <mergeCell ref="F418:F419"/>
    <mergeCell ref="D420:D421"/>
    <mergeCell ref="E420:E421"/>
    <mergeCell ref="F420:F421"/>
    <mergeCell ref="C402:C411"/>
    <mergeCell ref="D402:D403"/>
    <mergeCell ref="E402:E403"/>
    <mergeCell ref="F402:F403"/>
    <mergeCell ref="D404:D405"/>
    <mergeCell ref="E404:E405"/>
    <mergeCell ref="F404:F405"/>
    <mergeCell ref="D406:D407"/>
    <mergeCell ref="E406:E407"/>
    <mergeCell ref="F406:F407"/>
    <mergeCell ref="D408:D409"/>
    <mergeCell ref="E408:E409"/>
    <mergeCell ref="F408:F409"/>
    <mergeCell ref="D410:D411"/>
    <mergeCell ref="E410:E411"/>
    <mergeCell ref="F410:F411"/>
    <mergeCell ref="B392:B461"/>
    <mergeCell ref="C392:C401"/>
    <mergeCell ref="D392:D393"/>
    <mergeCell ref="E392:E393"/>
    <mergeCell ref="F392:F393"/>
    <mergeCell ref="D394:D395"/>
    <mergeCell ref="E394:E395"/>
    <mergeCell ref="F394:F395"/>
    <mergeCell ref="D396:D397"/>
    <mergeCell ref="E396:E397"/>
    <mergeCell ref="F396:F397"/>
    <mergeCell ref="D398:D399"/>
    <mergeCell ref="E398:E399"/>
    <mergeCell ref="F398:F399"/>
    <mergeCell ref="D400:D401"/>
    <mergeCell ref="E400:E401"/>
    <mergeCell ref="F400:F401"/>
    <mergeCell ref="C382:C391"/>
    <mergeCell ref="D382:D383"/>
    <mergeCell ref="E382:E383"/>
    <mergeCell ref="F382:F383"/>
    <mergeCell ref="D384:D385"/>
    <mergeCell ref="E384:E385"/>
    <mergeCell ref="F384:F385"/>
    <mergeCell ref="D386:D387"/>
    <mergeCell ref="E386:E387"/>
    <mergeCell ref="F386:F387"/>
    <mergeCell ref="D388:D389"/>
    <mergeCell ref="E388:E389"/>
    <mergeCell ref="F388:F389"/>
    <mergeCell ref="D390:D391"/>
    <mergeCell ref="E390:E391"/>
    <mergeCell ref="F390:F391"/>
    <mergeCell ref="C372:C381"/>
    <mergeCell ref="D372:D373"/>
    <mergeCell ref="E372:E373"/>
    <mergeCell ref="F372:F373"/>
    <mergeCell ref="D374:D375"/>
    <mergeCell ref="E374:E375"/>
    <mergeCell ref="F374:F375"/>
    <mergeCell ref="D376:D377"/>
    <mergeCell ref="E376:E377"/>
    <mergeCell ref="F376:F377"/>
    <mergeCell ref="D378:D379"/>
    <mergeCell ref="E378:E379"/>
    <mergeCell ref="F378:F379"/>
    <mergeCell ref="D380:D381"/>
    <mergeCell ref="E380:E381"/>
    <mergeCell ref="F380:F381"/>
    <mergeCell ref="C362:C371"/>
    <mergeCell ref="D362:D363"/>
    <mergeCell ref="E362:E363"/>
    <mergeCell ref="F362:F363"/>
    <mergeCell ref="D364:D365"/>
    <mergeCell ref="E364:E365"/>
    <mergeCell ref="F364:F365"/>
    <mergeCell ref="D366:D367"/>
    <mergeCell ref="E366:E367"/>
    <mergeCell ref="F366:F367"/>
    <mergeCell ref="D368:D369"/>
    <mergeCell ref="E368:E369"/>
    <mergeCell ref="F368:F369"/>
    <mergeCell ref="D370:D371"/>
    <mergeCell ref="E370:E371"/>
    <mergeCell ref="F370:F371"/>
    <mergeCell ref="C352:C361"/>
    <mergeCell ref="D352:D353"/>
    <mergeCell ref="E352:E353"/>
    <mergeCell ref="F352:F353"/>
    <mergeCell ref="D354:D355"/>
    <mergeCell ref="E354:E355"/>
    <mergeCell ref="F354:F355"/>
    <mergeCell ref="D356:D357"/>
    <mergeCell ref="E356:E357"/>
    <mergeCell ref="F356:F357"/>
    <mergeCell ref="D358:D359"/>
    <mergeCell ref="E358:E359"/>
    <mergeCell ref="F358:F359"/>
    <mergeCell ref="D360:D361"/>
    <mergeCell ref="E360:E361"/>
    <mergeCell ref="F360:F361"/>
    <mergeCell ref="C342:C351"/>
    <mergeCell ref="D342:D343"/>
    <mergeCell ref="E342:E343"/>
    <mergeCell ref="F342:F343"/>
    <mergeCell ref="D344:D345"/>
    <mergeCell ref="E344:E345"/>
    <mergeCell ref="F344:F345"/>
    <mergeCell ref="D346:D347"/>
    <mergeCell ref="E346:E347"/>
    <mergeCell ref="F346:F347"/>
    <mergeCell ref="D348:D349"/>
    <mergeCell ref="E348:E349"/>
    <mergeCell ref="F348:F349"/>
    <mergeCell ref="D350:D351"/>
    <mergeCell ref="E350:E351"/>
    <mergeCell ref="F350:F351"/>
    <mergeCell ref="C332:C341"/>
    <mergeCell ref="D332:D333"/>
    <mergeCell ref="E332:E333"/>
    <mergeCell ref="F332:F333"/>
    <mergeCell ref="D334:D335"/>
    <mergeCell ref="E334:E335"/>
    <mergeCell ref="F334:F335"/>
    <mergeCell ref="D336:D337"/>
    <mergeCell ref="E336:E337"/>
    <mergeCell ref="F336:F337"/>
    <mergeCell ref="D338:D339"/>
    <mergeCell ref="E338:E339"/>
    <mergeCell ref="F338:F339"/>
    <mergeCell ref="D340:D341"/>
    <mergeCell ref="E340:E341"/>
    <mergeCell ref="F340:F341"/>
    <mergeCell ref="C322:C331"/>
    <mergeCell ref="D322:D323"/>
    <mergeCell ref="E322:E323"/>
    <mergeCell ref="F322:F323"/>
    <mergeCell ref="D324:D325"/>
    <mergeCell ref="E324:E325"/>
    <mergeCell ref="F324:F325"/>
    <mergeCell ref="D326:D327"/>
    <mergeCell ref="E326:E327"/>
    <mergeCell ref="F326:F327"/>
    <mergeCell ref="D328:D329"/>
    <mergeCell ref="E328:E329"/>
    <mergeCell ref="F328:F329"/>
    <mergeCell ref="D330:D331"/>
    <mergeCell ref="E330:E331"/>
    <mergeCell ref="F330:F331"/>
    <mergeCell ref="C312:C321"/>
    <mergeCell ref="D312:D313"/>
    <mergeCell ref="E312:E313"/>
    <mergeCell ref="F312:F313"/>
    <mergeCell ref="D314:D315"/>
    <mergeCell ref="E314:E315"/>
    <mergeCell ref="F314:F315"/>
    <mergeCell ref="D316:D317"/>
    <mergeCell ref="E316:E317"/>
    <mergeCell ref="F316:F317"/>
    <mergeCell ref="D318:D319"/>
    <mergeCell ref="E318:E319"/>
    <mergeCell ref="F318:F319"/>
    <mergeCell ref="D320:D321"/>
    <mergeCell ref="E320:E321"/>
    <mergeCell ref="F320:F321"/>
    <mergeCell ref="C302:C311"/>
    <mergeCell ref="D302:D303"/>
    <mergeCell ref="E302:E303"/>
    <mergeCell ref="F302:F303"/>
    <mergeCell ref="D304:D305"/>
    <mergeCell ref="E304:E305"/>
    <mergeCell ref="F304:F305"/>
    <mergeCell ref="D306:D307"/>
    <mergeCell ref="E306:E307"/>
    <mergeCell ref="F306:F307"/>
    <mergeCell ref="D308:D309"/>
    <mergeCell ref="E308:E309"/>
    <mergeCell ref="F308:F309"/>
    <mergeCell ref="D310:D311"/>
    <mergeCell ref="E310:E311"/>
    <mergeCell ref="F310:F311"/>
    <mergeCell ref="A292:A461"/>
    <mergeCell ref="B292:B391"/>
    <mergeCell ref="C292:C301"/>
    <mergeCell ref="D292:D293"/>
    <mergeCell ref="E292:E293"/>
    <mergeCell ref="F292:F293"/>
    <mergeCell ref="D294:D295"/>
    <mergeCell ref="E294:E295"/>
    <mergeCell ref="F294:F295"/>
    <mergeCell ref="D296:D297"/>
    <mergeCell ref="E296:E297"/>
    <mergeCell ref="F296:F297"/>
    <mergeCell ref="D298:D299"/>
    <mergeCell ref="E298:E299"/>
    <mergeCell ref="F298:F299"/>
    <mergeCell ref="D300:D301"/>
    <mergeCell ref="E300:E301"/>
    <mergeCell ref="F300:F301"/>
    <mergeCell ref="C282:C291"/>
    <mergeCell ref="D282:D283"/>
    <mergeCell ref="E282:E283"/>
    <mergeCell ref="F282:F283"/>
    <mergeCell ref="D284:D285"/>
    <mergeCell ref="E284:E285"/>
    <mergeCell ref="F284:F285"/>
    <mergeCell ref="D286:D287"/>
    <mergeCell ref="E286:E287"/>
    <mergeCell ref="F286:F287"/>
    <mergeCell ref="D288:D289"/>
    <mergeCell ref="E288:E289"/>
    <mergeCell ref="F288:F289"/>
    <mergeCell ref="D290:D291"/>
    <mergeCell ref="E290:E291"/>
    <mergeCell ref="F290:F291"/>
    <mergeCell ref="C272:C281"/>
    <mergeCell ref="D272:D273"/>
    <mergeCell ref="E272:E273"/>
    <mergeCell ref="F272:F273"/>
    <mergeCell ref="D274:D275"/>
    <mergeCell ref="E274:E275"/>
    <mergeCell ref="F274:F275"/>
    <mergeCell ref="D276:D277"/>
    <mergeCell ref="E276:E277"/>
    <mergeCell ref="F276:F277"/>
    <mergeCell ref="D278:D279"/>
    <mergeCell ref="E278:E279"/>
    <mergeCell ref="F278:F279"/>
    <mergeCell ref="D280:D281"/>
    <mergeCell ref="E280:E281"/>
    <mergeCell ref="F280:F281"/>
    <mergeCell ref="C262:C271"/>
    <mergeCell ref="D262:D263"/>
    <mergeCell ref="E262:E263"/>
    <mergeCell ref="F262:F263"/>
    <mergeCell ref="D264:D265"/>
    <mergeCell ref="E264:E265"/>
    <mergeCell ref="F264:F265"/>
    <mergeCell ref="D266:D267"/>
    <mergeCell ref="E266:E267"/>
    <mergeCell ref="F266:F267"/>
    <mergeCell ref="D268:D269"/>
    <mergeCell ref="E268:E269"/>
    <mergeCell ref="F268:F269"/>
    <mergeCell ref="D270:D271"/>
    <mergeCell ref="E270:E271"/>
    <mergeCell ref="F270:F271"/>
    <mergeCell ref="C252:C261"/>
    <mergeCell ref="D252:D253"/>
    <mergeCell ref="E252:E253"/>
    <mergeCell ref="F252:F253"/>
    <mergeCell ref="D254:D255"/>
    <mergeCell ref="E254:E255"/>
    <mergeCell ref="F254:F255"/>
    <mergeCell ref="D256:D257"/>
    <mergeCell ref="E256:E257"/>
    <mergeCell ref="F256:F257"/>
    <mergeCell ref="D258:D259"/>
    <mergeCell ref="E258:E259"/>
    <mergeCell ref="F258:F259"/>
    <mergeCell ref="D260:D261"/>
    <mergeCell ref="E260:E261"/>
    <mergeCell ref="F260:F261"/>
    <mergeCell ref="C242:C251"/>
    <mergeCell ref="D242:D243"/>
    <mergeCell ref="E242:E243"/>
    <mergeCell ref="F242:F243"/>
    <mergeCell ref="D244:D245"/>
    <mergeCell ref="E244:E245"/>
    <mergeCell ref="F244:F245"/>
    <mergeCell ref="D246:D247"/>
    <mergeCell ref="E246:E247"/>
    <mergeCell ref="F246:F247"/>
    <mergeCell ref="D248:D249"/>
    <mergeCell ref="E248:E249"/>
    <mergeCell ref="F248:F249"/>
    <mergeCell ref="D250:D251"/>
    <mergeCell ref="E250:E251"/>
    <mergeCell ref="F250:F251"/>
    <mergeCell ref="C232:C241"/>
    <mergeCell ref="D232:D233"/>
    <mergeCell ref="E232:E233"/>
    <mergeCell ref="F232:F233"/>
    <mergeCell ref="D234:D235"/>
    <mergeCell ref="E234:E235"/>
    <mergeCell ref="F234:F235"/>
    <mergeCell ref="D236:D237"/>
    <mergeCell ref="E236:E237"/>
    <mergeCell ref="F236:F237"/>
    <mergeCell ref="D238:D239"/>
    <mergeCell ref="E238:E239"/>
    <mergeCell ref="F238:F239"/>
    <mergeCell ref="D240:D241"/>
    <mergeCell ref="E240:E241"/>
    <mergeCell ref="F240:F241"/>
    <mergeCell ref="C222:C231"/>
    <mergeCell ref="D222:D223"/>
    <mergeCell ref="E222:E223"/>
    <mergeCell ref="F222:F223"/>
    <mergeCell ref="D224:D225"/>
    <mergeCell ref="E224:E225"/>
    <mergeCell ref="F224:F225"/>
    <mergeCell ref="D226:D227"/>
    <mergeCell ref="E226:E227"/>
    <mergeCell ref="F226:F227"/>
    <mergeCell ref="D228:D229"/>
    <mergeCell ref="E228:E229"/>
    <mergeCell ref="F228:F229"/>
    <mergeCell ref="D230:D231"/>
    <mergeCell ref="E230:E231"/>
    <mergeCell ref="F230:F231"/>
    <mergeCell ref="C212:C221"/>
    <mergeCell ref="D212:D213"/>
    <mergeCell ref="E212:E213"/>
    <mergeCell ref="F212:F213"/>
    <mergeCell ref="D214:D215"/>
    <mergeCell ref="E214:E215"/>
    <mergeCell ref="F214:F215"/>
    <mergeCell ref="D216:D217"/>
    <mergeCell ref="E216:E217"/>
    <mergeCell ref="F216:F217"/>
    <mergeCell ref="D218:D219"/>
    <mergeCell ref="E218:E219"/>
    <mergeCell ref="F218:F219"/>
    <mergeCell ref="D220:D221"/>
    <mergeCell ref="E220:E221"/>
    <mergeCell ref="F220:F221"/>
    <mergeCell ref="C202:C211"/>
    <mergeCell ref="D202:D203"/>
    <mergeCell ref="E202:E203"/>
    <mergeCell ref="F202:F203"/>
    <mergeCell ref="D204:D205"/>
    <mergeCell ref="E204:E205"/>
    <mergeCell ref="F204:F205"/>
    <mergeCell ref="D206:D207"/>
    <mergeCell ref="E206:E207"/>
    <mergeCell ref="F206:F207"/>
    <mergeCell ref="D208:D209"/>
    <mergeCell ref="E208:E209"/>
    <mergeCell ref="F208:F209"/>
    <mergeCell ref="D210:D211"/>
    <mergeCell ref="E210:E211"/>
    <mergeCell ref="F210:F211"/>
    <mergeCell ref="C192:C201"/>
    <mergeCell ref="D192:D193"/>
    <mergeCell ref="E192:E193"/>
    <mergeCell ref="F192:F193"/>
    <mergeCell ref="D194:D195"/>
    <mergeCell ref="E194:E195"/>
    <mergeCell ref="F194:F195"/>
    <mergeCell ref="D196:D197"/>
    <mergeCell ref="E196:E197"/>
    <mergeCell ref="F196:F197"/>
    <mergeCell ref="D198:D199"/>
    <mergeCell ref="E198:E199"/>
    <mergeCell ref="F198:F199"/>
    <mergeCell ref="D200:D201"/>
    <mergeCell ref="E200:E201"/>
    <mergeCell ref="F200:F201"/>
    <mergeCell ref="B182:B291"/>
    <mergeCell ref="C182:C191"/>
    <mergeCell ref="D182:D183"/>
    <mergeCell ref="E182:E183"/>
    <mergeCell ref="F182:F183"/>
    <mergeCell ref="D184:D185"/>
    <mergeCell ref="E184:E185"/>
    <mergeCell ref="F184:F185"/>
    <mergeCell ref="D186:D187"/>
    <mergeCell ref="E186:E187"/>
    <mergeCell ref="F186:F187"/>
    <mergeCell ref="D188:D189"/>
    <mergeCell ref="E188:E189"/>
    <mergeCell ref="F188:F189"/>
    <mergeCell ref="D190:D191"/>
    <mergeCell ref="E190:E191"/>
    <mergeCell ref="F190:F191"/>
    <mergeCell ref="C172:C181"/>
    <mergeCell ref="D172:D173"/>
    <mergeCell ref="E172:E173"/>
    <mergeCell ref="F172:F173"/>
    <mergeCell ref="D174:D175"/>
    <mergeCell ref="E174:E175"/>
    <mergeCell ref="F174:F175"/>
    <mergeCell ref="D176:D177"/>
    <mergeCell ref="E176:E177"/>
    <mergeCell ref="F176:F177"/>
    <mergeCell ref="D178:D179"/>
    <mergeCell ref="E178:E179"/>
    <mergeCell ref="F178:F179"/>
    <mergeCell ref="D180:D181"/>
    <mergeCell ref="E180:E181"/>
    <mergeCell ref="F180:F181"/>
    <mergeCell ref="C162:C171"/>
    <mergeCell ref="D162:D163"/>
    <mergeCell ref="E162:E163"/>
    <mergeCell ref="F162:F163"/>
    <mergeCell ref="D164:D165"/>
    <mergeCell ref="E164:E165"/>
    <mergeCell ref="F164:F165"/>
    <mergeCell ref="D166:D167"/>
    <mergeCell ref="E166:E167"/>
    <mergeCell ref="F166:F167"/>
    <mergeCell ref="D168:D169"/>
    <mergeCell ref="E168:E169"/>
    <mergeCell ref="F168:F169"/>
    <mergeCell ref="D170:D171"/>
    <mergeCell ref="E170:E171"/>
    <mergeCell ref="F170:F171"/>
    <mergeCell ref="C152:C161"/>
    <mergeCell ref="D152:D153"/>
    <mergeCell ref="E152:E153"/>
    <mergeCell ref="F152:F153"/>
    <mergeCell ref="D154:D155"/>
    <mergeCell ref="E154:E155"/>
    <mergeCell ref="F154:F155"/>
    <mergeCell ref="D156:D157"/>
    <mergeCell ref="E156:E157"/>
    <mergeCell ref="F156:F157"/>
    <mergeCell ref="D158:D159"/>
    <mergeCell ref="E158:E159"/>
    <mergeCell ref="F158:F159"/>
    <mergeCell ref="D160:D161"/>
    <mergeCell ref="E160:E161"/>
    <mergeCell ref="F160:F161"/>
    <mergeCell ref="C142:C151"/>
    <mergeCell ref="D142:D143"/>
    <mergeCell ref="E142:E143"/>
    <mergeCell ref="F142:F143"/>
    <mergeCell ref="D144:D145"/>
    <mergeCell ref="E144:E145"/>
    <mergeCell ref="F144:F145"/>
    <mergeCell ref="D146:D147"/>
    <mergeCell ref="E146:E147"/>
    <mergeCell ref="F146:F147"/>
    <mergeCell ref="D148:D149"/>
    <mergeCell ref="E148:E149"/>
    <mergeCell ref="F148:F149"/>
    <mergeCell ref="D150:D151"/>
    <mergeCell ref="E150:E151"/>
    <mergeCell ref="F150:F151"/>
    <mergeCell ref="C132:C141"/>
    <mergeCell ref="D132:D133"/>
    <mergeCell ref="E132:E133"/>
    <mergeCell ref="F132:F133"/>
    <mergeCell ref="D134:D135"/>
    <mergeCell ref="E134:E135"/>
    <mergeCell ref="F134:F135"/>
    <mergeCell ref="D136:D137"/>
    <mergeCell ref="E136:E137"/>
    <mergeCell ref="F136:F137"/>
    <mergeCell ref="D138:D139"/>
    <mergeCell ref="E138:E139"/>
    <mergeCell ref="F138:F139"/>
    <mergeCell ref="D140:D141"/>
    <mergeCell ref="E140:E141"/>
    <mergeCell ref="F140:F141"/>
    <mergeCell ref="C122:C131"/>
    <mergeCell ref="D122:D123"/>
    <mergeCell ref="E122:E123"/>
    <mergeCell ref="F122:F123"/>
    <mergeCell ref="D124:D125"/>
    <mergeCell ref="E124:E125"/>
    <mergeCell ref="F124:F125"/>
    <mergeCell ref="D126:D127"/>
    <mergeCell ref="E126:E127"/>
    <mergeCell ref="F126:F127"/>
    <mergeCell ref="D128:D129"/>
    <mergeCell ref="E128:E129"/>
    <mergeCell ref="F128:F129"/>
    <mergeCell ref="D130:D131"/>
    <mergeCell ref="E130:E131"/>
    <mergeCell ref="F130:F131"/>
    <mergeCell ref="C112:C121"/>
    <mergeCell ref="D112:D113"/>
    <mergeCell ref="E112:E113"/>
    <mergeCell ref="F112:F113"/>
    <mergeCell ref="D114:D115"/>
    <mergeCell ref="E114:E115"/>
    <mergeCell ref="F114:F115"/>
    <mergeCell ref="D116:D117"/>
    <mergeCell ref="E116:E117"/>
    <mergeCell ref="F116:F117"/>
    <mergeCell ref="D118:D119"/>
    <mergeCell ref="E118:E119"/>
    <mergeCell ref="F118:F119"/>
    <mergeCell ref="D120:D121"/>
    <mergeCell ref="E120:E121"/>
    <mergeCell ref="F120:F121"/>
    <mergeCell ref="C102:C111"/>
    <mergeCell ref="D102:D103"/>
    <mergeCell ref="E102:E103"/>
    <mergeCell ref="F102:F103"/>
    <mergeCell ref="D104:D105"/>
    <mergeCell ref="E104:E105"/>
    <mergeCell ref="F104:F105"/>
    <mergeCell ref="D106:D107"/>
    <mergeCell ref="E106:E107"/>
    <mergeCell ref="F106:F107"/>
    <mergeCell ref="D108:D109"/>
    <mergeCell ref="E108:E109"/>
    <mergeCell ref="F108:F109"/>
    <mergeCell ref="D110:D111"/>
    <mergeCell ref="E110:E111"/>
    <mergeCell ref="F110:F111"/>
    <mergeCell ref="C92:C101"/>
    <mergeCell ref="D92:D93"/>
    <mergeCell ref="E92:E93"/>
    <mergeCell ref="F92:F93"/>
    <mergeCell ref="D94:D95"/>
    <mergeCell ref="E94:E95"/>
    <mergeCell ref="F94:F95"/>
    <mergeCell ref="D96:D97"/>
    <mergeCell ref="E96:E97"/>
    <mergeCell ref="F96:F97"/>
    <mergeCell ref="D98:D99"/>
    <mergeCell ref="E98:E99"/>
    <mergeCell ref="F98:F99"/>
    <mergeCell ref="D100:D101"/>
    <mergeCell ref="E100:E101"/>
    <mergeCell ref="F100:F101"/>
    <mergeCell ref="C82:C91"/>
    <mergeCell ref="D82:D83"/>
    <mergeCell ref="E82:E83"/>
    <mergeCell ref="F82:F83"/>
    <mergeCell ref="D84:D85"/>
    <mergeCell ref="E84:E85"/>
    <mergeCell ref="F84:F85"/>
    <mergeCell ref="D86:D87"/>
    <mergeCell ref="E86:E87"/>
    <mergeCell ref="F86:F87"/>
    <mergeCell ref="D88:D89"/>
    <mergeCell ref="E88:E89"/>
    <mergeCell ref="F88:F89"/>
    <mergeCell ref="D90:D91"/>
    <mergeCell ref="E90:E91"/>
    <mergeCell ref="F90:F91"/>
    <mergeCell ref="C72:C81"/>
    <mergeCell ref="D72:D73"/>
    <mergeCell ref="E72:E73"/>
    <mergeCell ref="F72:F73"/>
    <mergeCell ref="D74:D75"/>
    <mergeCell ref="E74:E75"/>
    <mergeCell ref="F74:F75"/>
    <mergeCell ref="D76:D77"/>
    <mergeCell ref="E76:E77"/>
    <mergeCell ref="F76:F77"/>
    <mergeCell ref="D78:D79"/>
    <mergeCell ref="E78:E79"/>
    <mergeCell ref="F78:F79"/>
    <mergeCell ref="D80:D81"/>
    <mergeCell ref="E80:E81"/>
    <mergeCell ref="F80:F81"/>
    <mergeCell ref="C62:C71"/>
    <mergeCell ref="D62:D63"/>
    <mergeCell ref="E62:E63"/>
    <mergeCell ref="F62:F63"/>
    <mergeCell ref="D64:D65"/>
    <mergeCell ref="E64:E65"/>
    <mergeCell ref="F64:F65"/>
    <mergeCell ref="D66:D67"/>
    <mergeCell ref="E66:E67"/>
    <mergeCell ref="F66:F67"/>
    <mergeCell ref="D68:D69"/>
    <mergeCell ref="E68:E69"/>
    <mergeCell ref="F68:F69"/>
    <mergeCell ref="D70:D71"/>
    <mergeCell ref="E70:E71"/>
    <mergeCell ref="F70:F71"/>
    <mergeCell ref="C52:C61"/>
    <mergeCell ref="D52:D53"/>
    <mergeCell ref="E52:E53"/>
    <mergeCell ref="F52:F53"/>
    <mergeCell ref="D54:D55"/>
    <mergeCell ref="E54:E55"/>
    <mergeCell ref="F54:F55"/>
    <mergeCell ref="D56:D57"/>
    <mergeCell ref="E56:E57"/>
    <mergeCell ref="F56:F57"/>
    <mergeCell ref="D58:D59"/>
    <mergeCell ref="E58:E59"/>
    <mergeCell ref="F58:F59"/>
    <mergeCell ref="D60:D61"/>
    <mergeCell ref="E60:E61"/>
    <mergeCell ref="F60:F61"/>
    <mergeCell ref="C42:C51"/>
    <mergeCell ref="D42:D43"/>
    <mergeCell ref="E42:E43"/>
    <mergeCell ref="F42:F43"/>
    <mergeCell ref="D44:D45"/>
    <mergeCell ref="E44:E45"/>
    <mergeCell ref="F44:F45"/>
    <mergeCell ref="D46:D47"/>
    <mergeCell ref="E46:E47"/>
    <mergeCell ref="F46:F47"/>
    <mergeCell ref="D48:D49"/>
    <mergeCell ref="E48:E49"/>
    <mergeCell ref="F48:F49"/>
    <mergeCell ref="D50:D51"/>
    <mergeCell ref="E50:E51"/>
    <mergeCell ref="F50:F51"/>
    <mergeCell ref="C32:C41"/>
    <mergeCell ref="D32:D33"/>
    <mergeCell ref="E32:E33"/>
    <mergeCell ref="F32:F33"/>
    <mergeCell ref="D34:D35"/>
    <mergeCell ref="E34:E35"/>
    <mergeCell ref="F34:F35"/>
    <mergeCell ref="D36:D37"/>
    <mergeCell ref="E36:E37"/>
    <mergeCell ref="F36:F37"/>
    <mergeCell ref="D38:D39"/>
    <mergeCell ref="E38:E39"/>
    <mergeCell ref="F38:F39"/>
    <mergeCell ref="D40:D41"/>
    <mergeCell ref="E40:E41"/>
    <mergeCell ref="F40:F41"/>
    <mergeCell ref="C22:C31"/>
    <mergeCell ref="D22:D23"/>
    <mergeCell ref="E22:E23"/>
    <mergeCell ref="F22:F23"/>
    <mergeCell ref="D24:D25"/>
    <mergeCell ref="E24:E25"/>
    <mergeCell ref="F24:F25"/>
    <mergeCell ref="D26:D27"/>
    <mergeCell ref="E26:E27"/>
    <mergeCell ref="F26:F27"/>
    <mergeCell ref="D28:D29"/>
    <mergeCell ref="E28:E29"/>
    <mergeCell ref="F28:F29"/>
    <mergeCell ref="D30:D31"/>
    <mergeCell ref="E30:E31"/>
    <mergeCell ref="F30:F31"/>
    <mergeCell ref="C12:C21"/>
    <mergeCell ref="D12:D13"/>
    <mergeCell ref="E12:E13"/>
    <mergeCell ref="F12:F13"/>
    <mergeCell ref="D14:D15"/>
    <mergeCell ref="E14:E15"/>
    <mergeCell ref="F14:F15"/>
    <mergeCell ref="D16:D17"/>
    <mergeCell ref="E16:E17"/>
    <mergeCell ref="F16:F17"/>
    <mergeCell ref="D18:D19"/>
    <mergeCell ref="E18:E19"/>
    <mergeCell ref="F18:F19"/>
    <mergeCell ref="D20:D21"/>
    <mergeCell ref="E20:E21"/>
    <mergeCell ref="F20:F21"/>
    <mergeCell ref="A2:A291"/>
    <mergeCell ref="B2:B181"/>
    <mergeCell ref="C2:C11"/>
    <mergeCell ref="D2:D3"/>
    <mergeCell ref="E2:E3"/>
    <mergeCell ref="F2:F3"/>
    <mergeCell ref="D4:D5"/>
    <mergeCell ref="E4:E5"/>
    <mergeCell ref="F4:F5"/>
    <mergeCell ref="D6:D7"/>
    <mergeCell ref="E6:E7"/>
    <mergeCell ref="F6:F7"/>
    <mergeCell ref="D8:D9"/>
    <mergeCell ref="E8:E9"/>
    <mergeCell ref="F8:F9"/>
    <mergeCell ref="D10:D11"/>
    <mergeCell ref="E10:E11"/>
    <mergeCell ref="F10:F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F1C69-D2F5-49B3-895B-66FFCB90DDB7}">
  <dimension ref="A1:J312"/>
  <sheetViews>
    <sheetView workbookViewId="0">
      <selection sqref="A1:J312"/>
    </sheetView>
  </sheetViews>
  <sheetFormatPr baseColWidth="10" defaultRowHeight="14.5" x14ac:dyDescent="0.35"/>
  <cols>
    <col min="1" max="1" width="49.81640625" customWidth="1"/>
    <col min="2" max="2" width="45.90625" customWidth="1"/>
    <col min="3" max="3" width="144.26953125" customWidth="1"/>
    <col min="4" max="4" width="46.26953125" customWidth="1"/>
    <col min="5" max="5" width="42.81640625" customWidth="1"/>
    <col min="6" max="6" width="44.1796875" customWidth="1"/>
    <col min="7" max="7" width="52.7265625" customWidth="1"/>
    <col min="8" max="8" width="60.81640625" customWidth="1"/>
    <col min="9" max="9" width="62.453125" customWidth="1"/>
    <col min="10" max="10" width="63.7265625" customWidth="1"/>
  </cols>
  <sheetData>
    <row r="1" spans="1:10" ht="15.5" x14ac:dyDescent="0.35">
      <c r="A1" s="161" t="s">
        <v>16454</v>
      </c>
      <c r="B1" s="160" t="s">
        <v>9268</v>
      </c>
      <c r="C1" s="160" t="s">
        <v>16453</v>
      </c>
      <c r="D1" s="160" t="s">
        <v>16480</v>
      </c>
      <c r="E1" s="160" t="s">
        <v>9271</v>
      </c>
      <c r="F1" s="160" t="s">
        <v>4842</v>
      </c>
      <c r="G1" s="160" t="s">
        <v>16481</v>
      </c>
      <c r="H1" s="160" t="s">
        <v>4840</v>
      </c>
      <c r="I1" s="160" t="s">
        <v>9272</v>
      </c>
      <c r="J1" s="159" t="s">
        <v>4837</v>
      </c>
    </row>
    <row r="2" spans="1:10" ht="15.5" x14ac:dyDescent="0.35">
      <c r="A2" s="158"/>
      <c r="B2" s="145" t="s">
        <v>18409</v>
      </c>
      <c r="C2" s="145" t="s">
        <v>18408</v>
      </c>
      <c r="D2" s="156" t="s">
        <v>18407</v>
      </c>
      <c r="E2" s="156" t="s">
        <v>18406</v>
      </c>
      <c r="F2" s="156" t="s">
        <v>4853</v>
      </c>
      <c r="G2" s="156" t="s">
        <v>18405</v>
      </c>
      <c r="H2" s="156" t="s">
        <v>18404</v>
      </c>
      <c r="I2" s="156" t="s">
        <v>18403</v>
      </c>
      <c r="J2" s="155" t="s">
        <v>18402</v>
      </c>
    </row>
    <row r="3" spans="1:10" ht="15.5" x14ac:dyDescent="0.35">
      <c r="A3" s="158"/>
      <c r="B3" s="145"/>
      <c r="C3" s="145"/>
      <c r="D3" s="156" t="s">
        <v>18401</v>
      </c>
      <c r="E3" s="156" t="s">
        <v>18400</v>
      </c>
      <c r="F3" s="156" t="s">
        <v>4853</v>
      </c>
      <c r="G3" s="156" t="s">
        <v>18399</v>
      </c>
      <c r="H3" s="156" t="s">
        <v>18398</v>
      </c>
      <c r="I3" s="156" t="s">
        <v>18397</v>
      </c>
      <c r="J3" s="155" t="s">
        <v>18396</v>
      </c>
    </row>
    <row r="4" spans="1:10" ht="15.5" x14ac:dyDescent="0.35">
      <c r="A4" s="158"/>
      <c r="B4" s="145"/>
      <c r="C4" s="145"/>
      <c r="D4" s="156" t="s">
        <v>18395</v>
      </c>
      <c r="E4" s="156" t="s">
        <v>18394</v>
      </c>
      <c r="F4" s="156" t="s">
        <v>4853</v>
      </c>
      <c r="G4" s="156" t="s">
        <v>18393</v>
      </c>
      <c r="H4" s="156" t="s">
        <v>18392</v>
      </c>
      <c r="I4" s="156" t="s">
        <v>18391</v>
      </c>
      <c r="J4" s="155" t="s">
        <v>18390</v>
      </c>
    </row>
    <row r="5" spans="1:10" ht="15.5" x14ac:dyDescent="0.35">
      <c r="A5" s="158"/>
      <c r="B5" s="145"/>
      <c r="C5" s="145"/>
      <c r="D5" s="156" t="s">
        <v>18389</v>
      </c>
      <c r="E5" s="156" t="s">
        <v>18388</v>
      </c>
      <c r="F5" s="156" t="s">
        <v>16550</v>
      </c>
      <c r="G5" s="156" t="s">
        <v>18387</v>
      </c>
      <c r="H5" s="156" t="s">
        <v>18111</v>
      </c>
      <c r="I5" s="156" t="s">
        <v>18386</v>
      </c>
      <c r="J5" s="155" t="s">
        <v>18385</v>
      </c>
    </row>
    <row r="6" spans="1:10" ht="15.5" x14ac:dyDescent="0.35">
      <c r="A6" s="158"/>
      <c r="B6" s="145"/>
      <c r="C6" s="145"/>
      <c r="D6" s="156" t="s">
        <v>18384</v>
      </c>
      <c r="E6" s="156" t="s">
        <v>18383</v>
      </c>
      <c r="F6" s="156" t="s">
        <v>16603</v>
      </c>
      <c r="G6" s="156" t="s">
        <v>18382</v>
      </c>
      <c r="H6" s="156" t="s">
        <v>18381</v>
      </c>
      <c r="I6" s="156" t="s">
        <v>18380</v>
      </c>
      <c r="J6" s="155" t="s">
        <v>18379</v>
      </c>
    </row>
    <row r="7" spans="1:10" ht="15.5" x14ac:dyDescent="0.35">
      <c r="A7" s="158"/>
      <c r="B7" s="145"/>
      <c r="C7" s="145" t="s">
        <v>18378</v>
      </c>
      <c r="D7" s="148" t="s">
        <v>18377</v>
      </c>
      <c r="E7" s="148" t="s">
        <v>18376</v>
      </c>
      <c r="F7" s="148" t="s">
        <v>4853</v>
      </c>
      <c r="G7" s="148" t="s">
        <v>18375</v>
      </c>
      <c r="H7" s="148" t="s">
        <v>18374</v>
      </c>
      <c r="I7" s="148" t="s">
        <v>18373</v>
      </c>
      <c r="J7" s="147" t="s">
        <v>18372</v>
      </c>
    </row>
    <row r="8" spans="1:10" ht="15.5" x14ac:dyDescent="0.35">
      <c r="A8" s="158"/>
      <c r="B8" s="145"/>
      <c r="C8" s="145"/>
      <c r="D8" s="148" t="s">
        <v>18371</v>
      </c>
      <c r="E8" s="148" t="s">
        <v>18370</v>
      </c>
      <c r="F8" s="148" t="s">
        <v>4853</v>
      </c>
      <c r="G8" s="148" t="s">
        <v>18369</v>
      </c>
      <c r="H8" s="148" t="s">
        <v>18368</v>
      </c>
      <c r="I8" s="148" t="s">
        <v>18367</v>
      </c>
      <c r="J8" s="147" t="s">
        <v>881</v>
      </c>
    </row>
    <row r="9" spans="1:10" ht="15.5" x14ac:dyDescent="0.35">
      <c r="A9" s="158"/>
      <c r="B9" s="145"/>
      <c r="C9" s="145"/>
      <c r="D9" s="148" t="s">
        <v>18366</v>
      </c>
      <c r="E9" s="148" t="s">
        <v>18365</v>
      </c>
      <c r="F9" s="148" t="s">
        <v>4853</v>
      </c>
      <c r="G9" s="148" t="s">
        <v>18364</v>
      </c>
      <c r="H9" s="148" t="s">
        <v>18363</v>
      </c>
      <c r="I9" s="148" t="s">
        <v>18362</v>
      </c>
      <c r="J9" s="147" t="s">
        <v>18361</v>
      </c>
    </row>
    <row r="10" spans="1:10" ht="15.5" x14ac:dyDescent="0.35">
      <c r="A10" s="158"/>
      <c r="B10" s="145"/>
      <c r="C10" s="145"/>
      <c r="D10" s="148" t="s">
        <v>18360</v>
      </c>
      <c r="E10" s="148" t="s">
        <v>18359</v>
      </c>
      <c r="F10" s="148" t="s">
        <v>4853</v>
      </c>
      <c r="G10" s="148" t="s">
        <v>11973</v>
      </c>
      <c r="H10" s="148" t="s">
        <v>18358</v>
      </c>
      <c r="I10" s="148" t="s">
        <v>18357</v>
      </c>
      <c r="J10" s="147" t="s">
        <v>18356</v>
      </c>
    </row>
    <row r="11" spans="1:10" ht="15.5" x14ac:dyDescent="0.35">
      <c r="A11" s="158"/>
      <c r="B11" s="145"/>
      <c r="C11" s="145"/>
      <c r="D11" s="148" t="s">
        <v>18355</v>
      </c>
      <c r="E11" s="148" t="s">
        <v>18354</v>
      </c>
      <c r="F11" s="148" t="s">
        <v>4853</v>
      </c>
      <c r="G11" s="148" t="s">
        <v>3151</v>
      </c>
      <c r="H11" s="148" t="s">
        <v>18353</v>
      </c>
      <c r="I11" s="148" t="s">
        <v>18352</v>
      </c>
      <c r="J11" s="147" t="s">
        <v>18351</v>
      </c>
    </row>
    <row r="12" spans="1:10" ht="108.5" x14ac:dyDescent="0.35">
      <c r="A12" s="158"/>
      <c r="B12" s="145"/>
      <c r="C12" s="145" t="s">
        <v>18350</v>
      </c>
      <c r="D12" s="144" t="s">
        <v>18349</v>
      </c>
      <c r="E12" s="144" t="s">
        <v>18348</v>
      </c>
      <c r="F12" s="148" t="s">
        <v>4853</v>
      </c>
      <c r="G12" s="144" t="s">
        <v>18347</v>
      </c>
      <c r="H12" s="144" t="s">
        <v>18346</v>
      </c>
      <c r="I12" s="144" t="s">
        <v>18345</v>
      </c>
      <c r="J12" s="143" t="s">
        <v>18344</v>
      </c>
    </row>
    <row r="13" spans="1:10" ht="93" x14ac:dyDescent="0.35">
      <c r="A13" s="158"/>
      <c r="B13" s="145"/>
      <c r="C13" s="145"/>
      <c r="D13" s="144" t="s">
        <v>18343</v>
      </c>
      <c r="E13" s="144" t="s">
        <v>18342</v>
      </c>
      <c r="F13" s="148" t="s">
        <v>4853</v>
      </c>
      <c r="G13" s="144" t="s">
        <v>18341</v>
      </c>
      <c r="H13" s="144" t="s">
        <v>17696</v>
      </c>
      <c r="I13" s="144" t="s">
        <v>18340</v>
      </c>
      <c r="J13" s="143" t="s">
        <v>18339</v>
      </c>
    </row>
    <row r="14" spans="1:10" ht="93" x14ac:dyDescent="0.35">
      <c r="A14" s="158"/>
      <c r="B14" s="145"/>
      <c r="C14" s="145"/>
      <c r="D14" s="144" t="s">
        <v>18338</v>
      </c>
      <c r="E14" s="144" t="s">
        <v>18337</v>
      </c>
      <c r="F14" s="148" t="s">
        <v>4853</v>
      </c>
      <c r="G14" s="144" t="s">
        <v>18336</v>
      </c>
      <c r="H14" s="144" t="s">
        <v>18335</v>
      </c>
      <c r="I14" s="144" t="s">
        <v>18334</v>
      </c>
      <c r="J14" s="143" t="s">
        <v>18333</v>
      </c>
    </row>
    <row r="15" spans="1:10" ht="77.5" x14ac:dyDescent="0.35">
      <c r="A15" s="158"/>
      <c r="B15" s="145"/>
      <c r="C15" s="145"/>
      <c r="D15" s="144" t="s">
        <v>18332</v>
      </c>
      <c r="E15" s="144" t="s">
        <v>18331</v>
      </c>
      <c r="F15" s="148" t="s">
        <v>4853</v>
      </c>
      <c r="G15" s="144" t="s">
        <v>18330</v>
      </c>
      <c r="H15" s="144" t="s">
        <v>18329</v>
      </c>
      <c r="I15" s="144" t="s">
        <v>18328</v>
      </c>
      <c r="J15" s="143" t="s">
        <v>18327</v>
      </c>
    </row>
    <row r="16" spans="1:10" ht="93" x14ac:dyDescent="0.35">
      <c r="A16" s="158"/>
      <c r="B16" s="145"/>
      <c r="C16" s="145"/>
      <c r="D16" s="144" t="s">
        <v>18326</v>
      </c>
      <c r="E16" s="144" t="s">
        <v>18325</v>
      </c>
      <c r="F16" s="148" t="s">
        <v>4853</v>
      </c>
      <c r="G16" s="144" t="s">
        <v>18324</v>
      </c>
      <c r="H16" s="144" t="s">
        <v>18323</v>
      </c>
      <c r="I16" s="144" t="s">
        <v>18322</v>
      </c>
      <c r="J16" s="143" t="s">
        <v>18321</v>
      </c>
    </row>
    <row r="17" spans="1:10" ht="15.5" x14ac:dyDescent="0.35">
      <c r="A17" s="158"/>
      <c r="B17" s="145"/>
      <c r="C17" s="145" t="s">
        <v>18320</v>
      </c>
      <c r="D17" s="156" t="s">
        <v>18319</v>
      </c>
      <c r="E17" s="156" t="s">
        <v>1930</v>
      </c>
      <c r="F17" s="156" t="s">
        <v>4853</v>
      </c>
      <c r="G17" s="156" t="s">
        <v>18318</v>
      </c>
      <c r="H17" s="156" t="s">
        <v>18317</v>
      </c>
      <c r="I17" s="156" t="s">
        <v>18316</v>
      </c>
      <c r="J17" s="155" t="s">
        <v>18315</v>
      </c>
    </row>
    <row r="18" spans="1:10" ht="15.5" x14ac:dyDescent="0.35">
      <c r="A18" s="158"/>
      <c r="B18" s="145"/>
      <c r="C18" s="145"/>
      <c r="D18" s="156" t="s">
        <v>18314</v>
      </c>
      <c r="E18" s="156" t="s">
        <v>18313</v>
      </c>
      <c r="F18" s="156" t="s">
        <v>4853</v>
      </c>
      <c r="G18" s="156" t="s">
        <v>18312</v>
      </c>
      <c r="H18" s="156" t="s">
        <v>18311</v>
      </c>
      <c r="I18" s="156" t="s">
        <v>18310</v>
      </c>
      <c r="J18" s="155" t="s">
        <v>18309</v>
      </c>
    </row>
    <row r="19" spans="1:10" ht="15.5" x14ac:dyDescent="0.35">
      <c r="A19" s="158"/>
      <c r="B19" s="145"/>
      <c r="C19" s="145"/>
      <c r="D19" s="156" t="s">
        <v>18308</v>
      </c>
      <c r="E19" s="156" t="s">
        <v>18307</v>
      </c>
      <c r="F19" s="156" t="s">
        <v>4853</v>
      </c>
      <c r="G19" s="156" t="s">
        <v>18306</v>
      </c>
      <c r="H19" s="156" t="s">
        <v>18305</v>
      </c>
      <c r="I19" s="156" t="s">
        <v>18304</v>
      </c>
      <c r="J19" s="155" t="s">
        <v>18303</v>
      </c>
    </row>
    <row r="20" spans="1:10" ht="15.5" x14ac:dyDescent="0.35">
      <c r="A20" s="158"/>
      <c r="B20" s="145"/>
      <c r="C20" s="145"/>
      <c r="D20" s="156" t="s">
        <v>18302</v>
      </c>
      <c r="E20" s="156" t="s">
        <v>18301</v>
      </c>
      <c r="F20" s="156" t="s">
        <v>4853</v>
      </c>
      <c r="G20" s="156" t="s">
        <v>18300</v>
      </c>
      <c r="H20" s="156" t="s">
        <v>18299</v>
      </c>
      <c r="I20" s="156" t="s">
        <v>18298</v>
      </c>
      <c r="J20" s="155" t="s">
        <v>18297</v>
      </c>
    </row>
    <row r="21" spans="1:10" ht="15.5" x14ac:dyDescent="0.35">
      <c r="A21" s="158"/>
      <c r="B21" s="145"/>
      <c r="C21" s="145"/>
      <c r="D21" s="156" t="s">
        <v>18296</v>
      </c>
      <c r="E21" s="156" t="s">
        <v>18295</v>
      </c>
      <c r="F21" s="156" t="s">
        <v>4853</v>
      </c>
      <c r="G21" s="156" t="s">
        <v>18294</v>
      </c>
      <c r="H21" s="156" t="s">
        <v>18013</v>
      </c>
      <c r="I21" s="156" t="s">
        <v>18293</v>
      </c>
      <c r="J21" s="155" t="s">
        <v>18292</v>
      </c>
    </row>
    <row r="22" spans="1:10" ht="15.5" x14ac:dyDescent="0.35">
      <c r="A22" s="158"/>
      <c r="B22" s="145"/>
      <c r="C22" s="145" t="s">
        <v>18291</v>
      </c>
      <c r="D22" s="156" t="s">
        <v>17462</v>
      </c>
      <c r="E22" s="156" t="s">
        <v>18290</v>
      </c>
      <c r="F22" s="156" t="s">
        <v>4853</v>
      </c>
      <c r="G22" s="156" t="s">
        <v>18289</v>
      </c>
      <c r="H22" s="156" t="s">
        <v>17672</v>
      </c>
      <c r="I22" s="156" t="s">
        <v>18288</v>
      </c>
      <c r="J22" s="155" t="s">
        <v>18287</v>
      </c>
    </row>
    <row r="23" spans="1:10" ht="15.5" x14ac:dyDescent="0.35">
      <c r="A23" s="158"/>
      <c r="B23" s="145"/>
      <c r="C23" s="145"/>
      <c r="D23" s="156" t="s">
        <v>18286</v>
      </c>
      <c r="E23" s="156" t="s">
        <v>18285</v>
      </c>
      <c r="F23" s="156" t="s">
        <v>4853</v>
      </c>
      <c r="G23" s="156" t="s">
        <v>18284</v>
      </c>
      <c r="H23" s="156" t="s">
        <v>18283</v>
      </c>
      <c r="I23" s="156" t="s">
        <v>18282</v>
      </c>
      <c r="J23" s="155" t="s">
        <v>18281</v>
      </c>
    </row>
    <row r="24" spans="1:10" ht="15.5" x14ac:dyDescent="0.35">
      <c r="A24" s="158"/>
      <c r="B24" s="145"/>
      <c r="C24" s="145"/>
      <c r="D24" s="156" t="s">
        <v>18280</v>
      </c>
      <c r="E24" s="156" t="s">
        <v>18279</v>
      </c>
      <c r="F24" s="156" t="s">
        <v>4853</v>
      </c>
      <c r="G24" s="156" t="s">
        <v>18278</v>
      </c>
      <c r="H24" s="156" t="s">
        <v>15919</v>
      </c>
      <c r="I24" s="156" t="s">
        <v>18277</v>
      </c>
      <c r="J24" s="155" t="s">
        <v>18276</v>
      </c>
    </row>
    <row r="25" spans="1:10" ht="15.5" x14ac:dyDescent="0.35">
      <c r="A25" s="158"/>
      <c r="B25" s="145"/>
      <c r="C25" s="145"/>
      <c r="D25" s="156" t="s">
        <v>18275</v>
      </c>
      <c r="E25" s="156" t="s">
        <v>18274</v>
      </c>
      <c r="F25" s="156" t="s">
        <v>4853</v>
      </c>
      <c r="G25" s="156" t="s">
        <v>18273</v>
      </c>
      <c r="H25" s="156" t="s">
        <v>18272</v>
      </c>
      <c r="I25" s="156" t="s">
        <v>18271</v>
      </c>
      <c r="J25" s="155" t="s">
        <v>18270</v>
      </c>
    </row>
    <row r="26" spans="1:10" ht="15.5" x14ac:dyDescent="0.35">
      <c r="A26" s="158"/>
      <c r="B26" s="145"/>
      <c r="C26" s="145"/>
      <c r="D26" s="156" t="s">
        <v>18269</v>
      </c>
      <c r="E26" s="156" t="s">
        <v>18268</v>
      </c>
      <c r="F26" s="156" t="s">
        <v>4853</v>
      </c>
      <c r="G26" s="156" t="s">
        <v>18267</v>
      </c>
      <c r="H26" s="156" t="s">
        <v>17557</v>
      </c>
      <c r="I26" s="156" t="s">
        <v>18266</v>
      </c>
      <c r="J26" s="155" t="s">
        <v>18265</v>
      </c>
    </row>
    <row r="27" spans="1:10" ht="15.5" x14ac:dyDescent="0.35">
      <c r="A27" s="158"/>
      <c r="B27" s="145"/>
      <c r="C27" s="145" t="s">
        <v>18264</v>
      </c>
      <c r="D27" s="148" t="s">
        <v>18263</v>
      </c>
      <c r="E27" s="148" t="s">
        <v>18262</v>
      </c>
      <c r="F27" s="156" t="s">
        <v>4853</v>
      </c>
      <c r="G27" s="148" t="s">
        <v>18261</v>
      </c>
      <c r="H27" s="148" t="s">
        <v>18260</v>
      </c>
      <c r="I27" s="148" t="s">
        <v>18259</v>
      </c>
      <c r="J27" s="147" t="s">
        <v>18258</v>
      </c>
    </row>
    <row r="28" spans="1:10" ht="15.5" x14ac:dyDescent="0.35">
      <c r="A28" s="158"/>
      <c r="B28" s="145"/>
      <c r="C28" s="145"/>
      <c r="D28" s="148" t="s">
        <v>18257</v>
      </c>
      <c r="E28" s="148" t="s">
        <v>18256</v>
      </c>
      <c r="F28" s="156" t="s">
        <v>4853</v>
      </c>
      <c r="G28" s="148" t="s">
        <v>18255</v>
      </c>
      <c r="H28" s="148" t="s">
        <v>18254</v>
      </c>
      <c r="I28" s="148" t="s">
        <v>18253</v>
      </c>
      <c r="J28" s="147" t="s">
        <v>18252</v>
      </c>
    </row>
    <row r="29" spans="1:10" ht="15.5" x14ac:dyDescent="0.35">
      <c r="A29" s="158"/>
      <c r="B29" s="145"/>
      <c r="C29" s="145"/>
      <c r="D29" s="148" t="s">
        <v>18251</v>
      </c>
      <c r="E29" s="148" t="s">
        <v>18250</v>
      </c>
      <c r="F29" s="156" t="s">
        <v>4853</v>
      </c>
      <c r="G29" s="148" t="s">
        <v>18249</v>
      </c>
      <c r="H29" s="148" t="s">
        <v>18248</v>
      </c>
      <c r="I29" s="148" t="s">
        <v>18247</v>
      </c>
      <c r="J29" s="147" t="s">
        <v>18246</v>
      </c>
    </row>
    <row r="30" spans="1:10" ht="15.5" x14ac:dyDescent="0.35">
      <c r="A30" s="158"/>
      <c r="B30" s="145"/>
      <c r="C30" s="145"/>
      <c r="D30" s="148" t="s">
        <v>18245</v>
      </c>
      <c r="E30" s="148" t="s">
        <v>18244</v>
      </c>
      <c r="F30" s="156" t="s">
        <v>4853</v>
      </c>
      <c r="G30" s="148" t="s">
        <v>18243</v>
      </c>
      <c r="H30" s="148" t="s">
        <v>18142</v>
      </c>
      <c r="I30" s="148" t="s">
        <v>18242</v>
      </c>
      <c r="J30" s="147" t="s">
        <v>18241</v>
      </c>
    </row>
    <row r="31" spans="1:10" ht="15.5" x14ac:dyDescent="0.35">
      <c r="A31" s="158"/>
      <c r="B31" s="145"/>
      <c r="C31" s="145"/>
      <c r="D31" s="148" t="s">
        <v>18240</v>
      </c>
      <c r="E31" s="148" t="s">
        <v>18239</v>
      </c>
      <c r="F31" s="156" t="s">
        <v>4853</v>
      </c>
      <c r="G31" s="148" t="s">
        <v>17804</v>
      </c>
      <c r="H31" s="148" t="s">
        <v>18238</v>
      </c>
      <c r="I31" s="148" t="s">
        <v>18237</v>
      </c>
      <c r="J31" s="147" t="s">
        <v>18236</v>
      </c>
    </row>
    <row r="32" spans="1:10" ht="15.5" x14ac:dyDescent="0.35">
      <c r="A32" s="158"/>
      <c r="B32" s="145"/>
      <c r="C32" s="157" t="s">
        <v>18235</v>
      </c>
      <c r="D32" s="148" t="s">
        <v>18234</v>
      </c>
      <c r="E32" s="148" t="s">
        <v>18233</v>
      </c>
      <c r="F32" s="156" t="s">
        <v>4853</v>
      </c>
      <c r="G32" s="148" t="s">
        <v>18232</v>
      </c>
      <c r="H32" s="148" t="s">
        <v>18231</v>
      </c>
      <c r="I32" s="148" t="s">
        <v>18230</v>
      </c>
      <c r="J32" s="147" t="s">
        <v>18229</v>
      </c>
    </row>
    <row r="33" spans="1:10" ht="15.5" x14ac:dyDescent="0.35">
      <c r="A33" s="158"/>
      <c r="B33" s="145"/>
      <c r="C33" s="157"/>
      <c r="D33" s="148" t="s">
        <v>18228</v>
      </c>
      <c r="E33" s="148" t="s">
        <v>18227</v>
      </c>
      <c r="F33" s="156" t="s">
        <v>4853</v>
      </c>
      <c r="G33" s="148" t="s">
        <v>15328</v>
      </c>
      <c r="H33" s="148" t="s">
        <v>18226</v>
      </c>
      <c r="I33" s="148" t="s">
        <v>18225</v>
      </c>
      <c r="J33" s="147" t="s">
        <v>18224</v>
      </c>
    </row>
    <row r="34" spans="1:10" ht="15.5" x14ac:dyDescent="0.35">
      <c r="A34" s="158"/>
      <c r="B34" s="145"/>
      <c r="C34" s="157"/>
      <c r="D34" s="148" t="s">
        <v>18223</v>
      </c>
      <c r="E34" s="148" t="s">
        <v>18222</v>
      </c>
      <c r="F34" s="148" t="s">
        <v>16550</v>
      </c>
      <c r="G34" s="148" t="s">
        <v>18221</v>
      </c>
      <c r="H34" s="148" t="s">
        <v>18220</v>
      </c>
      <c r="I34" s="148" t="s">
        <v>16879</v>
      </c>
      <c r="J34" s="147" t="s">
        <v>18219</v>
      </c>
    </row>
    <row r="35" spans="1:10" ht="15.5" x14ac:dyDescent="0.35">
      <c r="A35" s="158"/>
      <c r="B35" s="145"/>
      <c r="C35" s="157"/>
      <c r="D35" s="148" t="s">
        <v>18218</v>
      </c>
      <c r="E35" s="148" t="s">
        <v>18217</v>
      </c>
      <c r="F35" s="148" t="s">
        <v>4853</v>
      </c>
      <c r="G35" s="148" t="s">
        <v>18216</v>
      </c>
      <c r="H35" s="148" t="s">
        <v>18215</v>
      </c>
      <c r="I35" s="148" t="s">
        <v>18214</v>
      </c>
      <c r="J35" s="147" t="s">
        <v>18213</v>
      </c>
    </row>
    <row r="36" spans="1:10" ht="15.5" x14ac:dyDescent="0.35">
      <c r="A36" s="158"/>
      <c r="B36" s="145"/>
      <c r="C36" s="157"/>
      <c r="D36" s="148" t="s">
        <v>18212</v>
      </c>
      <c r="E36" s="148" t="s">
        <v>18211</v>
      </c>
      <c r="F36" s="148" t="s">
        <v>4853</v>
      </c>
      <c r="G36" s="148" t="s">
        <v>18061</v>
      </c>
      <c r="H36" s="148" t="s">
        <v>18210</v>
      </c>
      <c r="I36" s="148" t="s">
        <v>18209</v>
      </c>
      <c r="J36" s="147" t="s">
        <v>18208</v>
      </c>
    </row>
    <row r="37" spans="1:10" ht="15.5" x14ac:dyDescent="0.35">
      <c r="A37" s="158"/>
      <c r="B37" s="145"/>
      <c r="C37" s="157" t="s">
        <v>18207</v>
      </c>
      <c r="D37" s="148" t="s">
        <v>18206</v>
      </c>
      <c r="E37" s="148" t="s">
        <v>18205</v>
      </c>
      <c r="F37" s="148" t="s">
        <v>4853</v>
      </c>
      <c r="G37" s="148" t="s">
        <v>18204</v>
      </c>
      <c r="H37" s="148" t="s">
        <v>18203</v>
      </c>
      <c r="I37" s="148" t="s">
        <v>18202</v>
      </c>
      <c r="J37" s="147" t="s">
        <v>18201</v>
      </c>
    </row>
    <row r="38" spans="1:10" ht="15.5" x14ac:dyDescent="0.35">
      <c r="A38" s="158"/>
      <c r="B38" s="145"/>
      <c r="C38" s="157"/>
      <c r="D38" s="148" t="s">
        <v>18200</v>
      </c>
      <c r="E38" s="148" t="s">
        <v>18199</v>
      </c>
      <c r="F38" s="148" t="s">
        <v>4853</v>
      </c>
      <c r="G38" s="148" t="s">
        <v>18198</v>
      </c>
      <c r="H38" s="148" t="s">
        <v>18197</v>
      </c>
      <c r="I38" s="148" t="s">
        <v>18196</v>
      </c>
      <c r="J38" s="147" t="s">
        <v>18195</v>
      </c>
    </row>
    <row r="39" spans="1:10" ht="15.5" x14ac:dyDescent="0.35">
      <c r="A39" s="158"/>
      <c r="B39" s="145"/>
      <c r="C39" s="157"/>
      <c r="D39" s="148" t="s">
        <v>18194</v>
      </c>
      <c r="E39" s="148" t="s">
        <v>18193</v>
      </c>
      <c r="F39" s="148" t="s">
        <v>4853</v>
      </c>
      <c r="G39" s="148" t="s">
        <v>18192</v>
      </c>
      <c r="H39" s="148" t="s">
        <v>18191</v>
      </c>
      <c r="I39" s="148" t="s">
        <v>18190</v>
      </c>
      <c r="J39" s="147" t="s">
        <v>18189</v>
      </c>
    </row>
    <row r="40" spans="1:10" ht="15.5" x14ac:dyDescent="0.35">
      <c r="A40" s="158"/>
      <c r="B40" s="145"/>
      <c r="C40" s="157"/>
      <c r="D40" s="148" t="s">
        <v>18188</v>
      </c>
      <c r="E40" s="148" t="s">
        <v>18187</v>
      </c>
      <c r="F40" s="148" t="s">
        <v>16603</v>
      </c>
      <c r="G40" s="148" t="s">
        <v>15850</v>
      </c>
      <c r="H40" s="148" t="s">
        <v>18186</v>
      </c>
      <c r="I40" s="148" t="s">
        <v>18185</v>
      </c>
      <c r="J40" s="147" t="s">
        <v>18184</v>
      </c>
    </row>
    <row r="41" spans="1:10" ht="15.5" x14ac:dyDescent="0.35">
      <c r="A41" s="146"/>
      <c r="B41" s="145"/>
      <c r="C41" s="157"/>
      <c r="D41" s="148" t="s">
        <v>18183</v>
      </c>
      <c r="E41" s="148" t="s">
        <v>18182</v>
      </c>
      <c r="F41" s="148" t="s">
        <v>4853</v>
      </c>
      <c r="G41" s="148" t="s">
        <v>18181</v>
      </c>
      <c r="H41" s="148" t="s">
        <v>18180</v>
      </c>
      <c r="I41" s="148" t="s">
        <v>18179</v>
      </c>
      <c r="J41" s="147" t="s">
        <v>18178</v>
      </c>
    </row>
    <row r="42" spans="1:10" ht="15.5" x14ac:dyDescent="0.35">
      <c r="A42" s="146"/>
      <c r="B42" s="145" t="s">
        <v>18177</v>
      </c>
      <c r="C42" s="145" t="s">
        <v>18176</v>
      </c>
      <c r="D42" s="148" t="s">
        <v>18175</v>
      </c>
      <c r="E42" s="148" t="s">
        <v>18174</v>
      </c>
      <c r="F42" s="148" t="s">
        <v>4853</v>
      </c>
      <c r="G42" s="148" t="s">
        <v>17061</v>
      </c>
      <c r="H42" s="148" t="s">
        <v>18173</v>
      </c>
      <c r="I42" s="148" t="s">
        <v>18172</v>
      </c>
      <c r="J42" s="147" t="s">
        <v>18171</v>
      </c>
    </row>
    <row r="43" spans="1:10" ht="15.5" x14ac:dyDescent="0.35">
      <c r="A43" s="146"/>
      <c r="B43" s="145"/>
      <c r="C43" s="145"/>
      <c r="D43" s="148" t="s">
        <v>18170</v>
      </c>
      <c r="E43" s="148" t="s">
        <v>18169</v>
      </c>
      <c r="F43" s="148" t="s">
        <v>4853</v>
      </c>
      <c r="G43" s="148" t="s">
        <v>18168</v>
      </c>
      <c r="H43" s="148" t="s">
        <v>18167</v>
      </c>
      <c r="I43" s="148" t="s">
        <v>18166</v>
      </c>
      <c r="J43" s="147" t="s">
        <v>18165</v>
      </c>
    </row>
    <row r="44" spans="1:10" ht="15.5" x14ac:dyDescent="0.35">
      <c r="A44" s="146"/>
      <c r="B44" s="145"/>
      <c r="C44" s="145"/>
      <c r="D44" s="148" t="s">
        <v>18164</v>
      </c>
      <c r="E44" s="148" t="s">
        <v>18163</v>
      </c>
      <c r="F44" s="148" t="s">
        <v>4853</v>
      </c>
      <c r="G44" s="148" t="s">
        <v>18162</v>
      </c>
      <c r="H44" s="148" t="s">
        <v>18161</v>
      </c>
      <c r="I44" s="148" t="s">
        <v>18160</v>
      </c>
      <c r="J44" s="147" t="s">
        <v>18159</v>
      </c>
    </row>
    <row r="45" spans="1:10" ht="15.5" x14ac:dyDescent="0.35">
      <c r="A45" s="146"/>
      <c r="B45" s="145"/>
      <c r="C45" s="145"/>
      <c r="D45" s="148" t="s">
        <v>18158</v>
      </c>
      <c r="E45" s="148" t="s">
        <v>18157</v>
      </c>
      <c r="F45" s="148" t="s">
        <v>4853</v>
      </c>
      <c r="G45" s="148" t="s">
        <v>18156</v>
      </c>
      <c r="H45" s="148" t="s">
        <v>18155</v>
      </c>
      <c r="I45" s="148" t="s">
        <v>18154</v>
      </c>
      <c r="J45" s="147" t="s">
        <v>18153</v>
      </c>
    </row>
    <row r="46" spans="1:10" ht="15.5" x14ac:dyDescent="0.35">
      <c r="A46" s="146"/>
      <c r="B46" s="145"/>
      <c r="C46" s="145"/>
      <c r="D46" s="148" t="s">
        <v>18152</v>
      </c>
      <c r="E46" s="148" t="s">
        <v>18151</v>
      </c>
      <c r="F46" s="148" t="s">
        <v>4853</v>
      </c>
      <c r="G46" s="148" t="s">
        <v>18150</v>
      </c>
      <c r="H46" s="148" t="s">
        <v>18149</v>
      </c>
      <c r="I46" s="148" t="s">
        <v>18148</v>
      </c>
      <c r="J46" s="147" t="s">
        <v>18147</v>
      </c>
    </row>
    <row r="47" spans="1:10" ht="93" x14ac:dyDescent="0.35">
      <c r="A47" s="146"/>
      <c r="B47" s="145"/>
      <c r="C47" s="145" t="s">
        <v>18146</v>
      </c>
      <c r="D47" s="144" t="s">
        <v>18145</v>
      </c>
      <c r="E47" s="144" t="s">
        <v>18144</v>
      </c>
      <c r="F47" s="148" t="s">
        <v>4853</v>
      </c>
      <c r="G47" s="144" t="s">
        <v>18143</v>
      </c>
      <c r="H47" s="144" t="s">
        <v>18142</v>
      </c>
      <c r="I47" s="144" t="s">
        <v>18141</v>
      </c>
      <c r="J47" s="143" t="s">
        <v>18140</v>
      </c>
    </row>
    <row r="48" spans="1:10" ht="108.5" x14ac:dyDescent="0.35">
      <c r="A48" s="146"/>
      <c r="B48" s="145"/>
      <c r="C48" s="145"/>
      <c r="D48" s="144" t="s">
        <v>18139</v>
      </c>
      <c r="E48" s="144" t="s">
        <v>18138</v>
      </c>
      <c r="F48" s="148" t="s">
        <v>4853</v>
      </c>
      <c r="G48" s="144" t="s">
        <v>18137</v>
      </c>
      <c r="H48" s="144" t="s">
        <v>18136</v>
      </c>
      <c r="I48" s="144" t="s">
        <v>18135</v>
      </c>
      <c r="J48" s="143" t="s">
        <v>18134</v>
      </c>
    </row>
    <row r="49" spans="1:10" ht="62" x14ac:dyDescent="0.35">
      <c r="A49" s="146"/>
      <c r="B49" s="145"/>
      <c r="C49" s="145"/>
      <c r="D49" s="144" t="s">
        <v>18133</v>
      </c>
      <c r="E49" s="144" t="s">
        <v>18132</v>
      </c>
      <c r="F49" s="148" t="s">
        <v>4853</v>
      </c>
      <c r="G49" s="144" t="s">
        <v>18131</v>
      </c>
      <c r="H49" s="144" t="s">
        <v>18130</v>
      </c>
      <c r="I49" s="144" t="s">
        <v>18129</v>
      </c>
      <c r="J49" s="143" t="s">
        <v>18128</v>
      </c>
    </row>
    <row r="50" spans="1:10" ht="108.5" x14ac:dyDescent="0.35">
      <c r="A50" s="146"/>
      <c r="B50" s="145"/>
      <c r="C50" s="145"/>
      <c r="D50" s="144" t="s">
        <v>18127</v>
      </c>
      <c r="E50" s="144" t="s">
        <v>18126</v>
      </c>
      <c r="F50" s="148" t="s">
        <v>4853</v>
      </c>
      <c r="G50" s="144" t="s">
        <v>18125</v>
      </c>
      <c r="H50" s="144" t="s">
        <v>18124</v>
      </c>
      <c r="I50" s="144" t="s">
        <v>17724</v>
      </c>
      <c r="J50" s="143" t="s">
        <v>18123</v>
      </c>
    </row>
    <row r="51" spans="1:10" ht="93" x14ac:dyDescent="0.35">
      <c r="A51" s="146"/>
      <c r="B51" s="145"/>
      <c r="C51" s="145"/>
      <c r="D51" s="144" t="s">
        <v>18122</v>
      </c>
      <c r="E51" s="144" t="s">
        <v>18121</v>
      </c>
      <c r="F51" s="148" t="s">
        <v>4853</v>
      </c>
      <c r="G51" s="144" t="s">
        <v>18120</v>
      </c>
      <c r="H51" s="144" t="s">
        <v>18119</v>
      </c>
      <c r="I51" s="144" t="s">
        <v>18118</v>
      </c>
      <c r="J51" s="143" t="s">
        <v>18117</v>
      </c>
    </row>
    <row r="52" spans="1:10" ht="15.5" x14ac:dyDescent="0.35">
      <c r="A52" s="146"/>
      <c r="B52" s="145"/>
      <c r="C52" s="145" t="s">
        <v>18116</v>
      </c>
      <c r="D52" s="148" t="s">
        <v>18115</v>
      </c>
      <c r="E52" s="148" t="s">
        <v>18114</v>
      </c>
      <c r="F52" s="148" t="s">
        <v>4853</v>
      </c>
      <c r="G52" s="148" t="s">
        <v>18113</v>
      </c>
      <c r="H52" s="148" t="s">
        <v>18112</v>
      </c>
      <c r="I52" s="148" t="s">
        <v>18111</v>
      </c>
      <c r="J52" s="147" t="s">
        <v>18110</v>
      </c>
    </row>
    <row r="53" spans="1:10" ht="15.5" x14ac:dyDescent="0.35">
      <c r="A53" s="146"/>
      <c r="B53" s="145"/>
      <c r="C53" s="145"/>
      <c r="D53" s="148" t="s">
        <v>18109</v>
      </c>
      <c r="E53" s="148" t="s">
        <v>18108</v>
      </c>
      <c r="F53" s="148" t="s">
        <v>16550</v>
      </c>
      <c r="G53" s="148" t="s">
        <v>17973</v>
      </c>
      <c r="H53" s="148" t="s">
        <v>18107</v>
      </c>
      <c r="I53" s="148" t="s">
        <v>18106</v>
      </c>
      <c r="J53" s="147" t="s">
        <v>18105</v>
      </c>
    </row>
    <row r="54" spans="1:10" ht="15.5" x14ac:dyDescent="0.35">
      <c r="A54" s="146"/>
      <c r="B54" s="145"/>
      <c r="C54" s="145"/>
      <c r="D54" s="148" t="s">
        <v>18104</v>
      </c>
      <c r="E54" s="148" t="s">
        <v>18103</v>
      </c>
      <c r="F54" s="148" t="s">
        <v>4853</v>
      </c>
      <c r="G54" s="148" t="s">
        <v>18102</v>
      </c>
      <c r="H54" s="148" t="s">
        <v>18101</v>
      </c>
      <c r="I54" s="148" t="s">
        <v>18100</v>
      </c>
      <c r="J54" s="147" t="s">
        <v>18099</v>
      </c>
    </row>
    <row r="55" spans="1:10" ht="15.5" x14ac:dyDescent="0.35">
      <c r="A55" s="146"/>
      <c r="B55" s="145"/>
      <c r="C55" s="145"/>
      <c r="D55" s="148" t="s">
        <v>18098</v>
      </c>
      <c r="E55" s="148" t="s">
        <v>18097</v>
      </c>
      <c r="F55" s="148" t="s">
        <v>4853</v>
      </c>
      <c r="G55" s="148" t="s">
        <v>15463</v>
      </c>
      <c r="H55" s="148" t="s">
        <v>17014</v>
      </c>
      <c r="I55" s="148" t="s">
        <v>18096</v>
      </c>
      <c r="J55" s="147" t="s">
        <v>18095</v>
      </c>
    </row>
    <row r="56" spans="1:10" ht="15.5" x14ac:dyDescent="0.35">
      <c r="A56" s="146"/>
      <c r="B56" s="145"/>
      <c r="C56" s="145"/>
      <c r="D56" s="148" t="s">
        <v>18094</v>
      </c>
      <c r="E56" s="148" t="s">
        <v>18093</v>
      </c>
      <c r="F56" s="148" t="s">
        <v>4853</v>
      </c>
      <c r="G56" s="148" t="s">
        <v>18092</v>
      </c>
      <c r="H56" s="148" t="s">
        <v>18091</v>
      </c>
      <c r="I56" s="148" t="s">
        <v>18090</v>
      </c>
      <c r="J56" s="147" t="s">
        <v>18089</v>
      </c>
    </row>
    <row r="57" spans="1:10" ht="15.5" x14ac:dyDescent="0.35">
      <c r="A57" s="146"/>
      <c r="B57" s="145"/>
      <c r="C57" s="145" t="s">
        <v>18088</v>
      </c>
      <c r="D57" s="148" t="s">
        <v>18087</v>
      </c>
      <c r="E57" s="148" t="s">
        <v>18086</v>
      </c>
      <c r="F57" s="148" t="s">
        <v>4853</v>
      </c>
      <c r="G57" s="148" t="s">
        <v>18085</v>
      </c>
      <c r="H57" s="148" t="s">
        <v>18084</v>
      </c>
      <c r="I57" s="148" t="s">
        <v>18083</v>
      </c>
      <c r="J57" s="147" t="s">
        <v>18082</v>
      </c>
    </row>
    <row r="58" spans="1:10" ht="15.5" x14ac:dyDescent="0.35">
      <c r="A58" s="146"/>
      <c r="B58" s="145"/>
      <c r="C58" s="145"/>
      <c r="D58" s="148" t="s">
        <v>18081</v>
      </c>
      <c r="E58" s="148" t="s">
        <v>18080</v>
      </c>
      <c r="F58" s="148" t="s">
        <v>4853</v>
      </c>
      <c r="G58" s="148" t="s">
        <v>18079</v>
      </c>
      <c r="H58" s="148" t="s">
        <v>18078</v>
      </c>
      <c r="I58" s="148" t="s">
        <v>18077</v>
      </c>
      <c r="J58" s="147" t="s">
        <v>18076</v>
      </c>
    </row>
    <row r="59" spans="1:10" ht="15.5" x14ac:dyDescent="0.35">
      <c r="A59" s="146"/>
      <c r="B59" s="145"/>
      <c r="C59" s="145"/>
      <c r="D59" s="148" t="s">
        <v>18075</v>
      </c>
      <c r="E59" s="148" t="s">
        <v>18074</v>
      </c>
      <c r="F59" s="148" t="s">
        <v>4853</v>
      </c>
      <c r="G59" s="148" t="s">
        <v>18073</v>
      </c>
      <c r="H59" s="148" t="s">
        <v>18072</v>
      </c>
      <c r="I59" s="148" t="s">
        <v>18071</v>
      </c>
      <c r="J59" s="147" t="s">
        <v>18070</v>
      </c>
    </row>
    <row r="60" spans="1:10" ht="15.5" x14ac:dyDescent="0.35">
      <c r="A60" s="146"/>
      <c r="B60" s="145"/>
      <c r="C60" s="145"/>
      <c r="D60" s="148" t="s">
        <v>18069</v>
      </c>
      <c r="E60" s="148" t="s">
        <v>18068</v>
      </c>
      <c r="F60" s="148" t="s">
        <v>4853</v>
      </c>
      <c r="G60" s="148" t="s">
        <v>18067</v>
      </c>
      <c r="H60" s="148" t="s">
        <v>18066</v>
      </c>
      <c r="I60" s="148" t="s">
        <v>18065</v>
      </c>
      <c r="J60" s="147" t="s">
        <v>18064</v>
      </c>
    </row>
    <row r="61" spans="1:10" ht="15.5" x14ac:dyDescent="0.35">
      <c r="A61" s="146"/>
      <c r="B61" s="145"/>
      <c r="C61" s="145"/>
      <c r="D61" s="148" t="s">
        <v>18063</v>
      </c>
      <c r="E61" s="148" t="s">
        <v>18062</v>
      </c>
      <c r="F61" s="148" t="s">
        <v>4853</v>
      </c>
      <c r="G61" s="148" t="s">
        <v>18061</v>
      </c>
      <c r="H61" s="148" t="s">
        <v>18060</v>
      </c>
      <c r="I61" s="148" t="s">
        <v>18059</v>
      </c>
      <c r="J61" s="147" t="s">
        <v>18058</v>
      </c>
    </row>
    <row r="62" spans="1:10" ht="15.5" x14ac:dyDescent="0.35">
      <c r="A62" s="146"/>
      <c r="B62" s="145" t="s">
        <v>18057</v>
      </c>
      <c r="C62" s="145" t="s">
        <v>18056</v>
      </c>
      <c r="D62" s="148" t="s">
        <v>18055</v>
      </c>
      <c r="E62" s="148" t="s">
        <v>18054</v>
      </c>
      <c r="F62" s="148" t="s">
        <v>4853</v>
      </c>
      <c r="G62" s="148" t="s">
        <v>18026</v>
      </c>
      <c r="H62" s="148" t="s">
        <v>18053</v>
      </c>
      <c r="I62" s="148" t="s">
        <v>18052</v>
      </c>
      <c r="J62" s="147" t="s">
        <v>18051</v>
      </c>
    </row>
    <row r="63" spans="1:10" ht="15.5" x14ac:dyDescent="0.35">
      <c r="A63" s="146"/>
      <c r="B63" s="145"/>
      <c r="C63" s="145"/>
      <c r="D63" s="148" t="s">
        <v>18050</v>
      </c>
      <c r="E63" s="148" t="s">
        <v>18049</v>
      </c>
      <c r="F63" s="148" t="s">
        <v>4853</v>
      </c>
      <c r="G63" s="148" t="s">
        <v>17973</v>
      </c>
      <c r="H63" s="148" t="s">
        <v>18048</v>
      </c>
      <c r="I63" s="148" t="s">
        <v>18047</v>
      </c>
      <c r="J63" s="147" t="s">
        <v>18046</v>
      </c>
    </row>
    <row r="64" spans="1:10" ht="15.5" x14ac:dyDescent="0.35">
      <c r="A64" s="146"/>
      <c r="B64" s="145"/>
      <c r="C64" s="145"/>
      <c r="D64" s="148" t="s">
        <v>18045</v>
      </c>
      <c r="E64" s="148" t="s">
        <v>18044</v>
      </c>
      <c r="F64" s="148" t="s">
        <v>4853</v>
      </c>
      <c r="G64" s="148" t="s">
        <v>14338</v>
      </c>
      <c r="H64" s="148" t="s">
        <v>18043</v>
      </c>
      <c r="I64" s="148" t="s">
        <v>18042</v>
      </c>
      <c r="J64" s="147" t="s">
        <v>18041</v>
      </c>
    </row>
    <row r="65" spans="1:10" ht="15.5" x14ac:dyDescent="0.35">
      <c r="A65" s="146"/>
      <c r="B65" s="145"/>
      <c r="C65" s="145"/>
      <c r="D65" s="148" t="s">
        <v>18040</v>
      </c>
      <c r="E65" s="148" t="s">
        <v>18039</v>
      </c>
      <c r="F65" s="148" t="s">
        <v>4853</v>
      </c>
      <c r="G65" s="148" t="s">
        <v>18038</v>
      </c>
      <c r="H65" s="148" t="s">
        <v>18037</v>
      </c>
      <c r="I65" s="148" t="s">
        <v>18036</v>
      </c>
      <c r="J65" s="147" t="s">
        <v>18035</v>
      </c>
    </row>
    <row r="66" spans="1:10" ht="15.5" x14ac:dyDescent="0.35">
      <c r="A66" s="146"/>
      <c r="B66" s="145"/>
      <c r="C66" s="145"/>
      <c r="D66" s="148" t="s">
        <v>18034</v>
      </c>
      <c r="E66" s="148" t="s">
        <v>18033</v>
      </c>
      <c r="F66" s="148" t="s">
        <v>4853</v>
      </c>
      <c r="G66" s="148" t="s">
        <v>18032</v>
      </c>
      <c r="H66" s="148" t="s">
        <v>18031</v>
      </c>
      <c r="I66" s="148" t="s">
        <v>18030</v>
      </c>
      <c r="J66" s="147" t="s">
        <v>18029</v>
      </c>
    </row>
    <row r="67" spans="1:10" ht="15.5" x14ac:dyDescent="0.35">
      <c r="A67" s="146"/>
      <c r="B67" s="145"/>
      <c r="C67" s="145" t="s">
        <v>18028</v>
      </c>
      <c r="D67" s="156" t="s">
        <v>17573</v>
      </c>
      <c r="E67" s="156" t="s">
        <v>18027</v>
      </c>
      <c r="F67" s="148" t="s">
        <v>4853</v>
      </c>
      <c r="G67" s="156" t="s">
        <v>18026</v>
      </c>
      <c r="H67" s="156" t="s">
        <v>18025</v>
      </c>
      <c r="I67" s="156" t="s">
        <v>18024</v>
      </c>
      <c r="J67" s="155" t="s">
        <v>18023</v>
      </c>
    </row>
    <row r="68" spans="1:10" ht="15.5" x14ac:dyDescent="0.35">
      <c r="A68" s="146"/>
      <c r="B68" s="145"/>
      <c r="C68" s="145"/>
      <c r="D68" s="156" t="s">
        <v>17098</v>
      </c>
      <c r="E68" s="156" t="s">
        <v>18022</v>
      </c>
      <c r="F68" s="148" t="s">
        <v>4853</v>
      </c>
      <c r="G68" s="156" t="s">
        <v>18021</v>
      </c>
      <c r="H68" s="156" t="s">
        <v>18020</v>
      </c>
      <c r="I68" s="156" t="s">
        <v>18019</v>
      </c>
      <c r="J68" s="155" t="s">
        <v>18018</v>
      </c>
    </row>
    <row r="69" spans="1:10" ht="15.5" x14ac:dyDescent="0.35">
      <c r="A69" s="146"/>
      <c r="B69" s="145"/>
      <c r="C69" s="145"/>
      <c r="D69" s="156" t="s">
        <v>18017</v>
      </c>
      <c r="E69" s="156" t="s">
        <v>18016</v>
      </c>
      <c r="F69" s="148" t="s">
        <v>4853</v>
      </c>
      <c r="G69" s="156" t="s">
        <v>18015</v>
      </c>
      <c r="H69" s="156" t="s">
        <v>18014</v>
      </c>
      <c r="I69" s="156" t="s">
        <v>18013</v>
      </c>
      <c r="J69" s="155" t="s">
        <v>18012</v>
      </c>
    </row>
    <row r="70" spans="1:10" ht="15.5" x14ac:dyDescent="0.35">
      <c r="A70" s="146"/>
      <c r="B70" s="145"/>
      <c r="C70" s="145"/>
      <c r="D70" s="156" t="s">
        <v>18011</v>
      </c>
      <c r="E70" s="156" t="s">
        <v>18010</v>
      </c>
      <c r="F70" s="148" t="s">
        <v>4853</v>
      </c>
      <c r="G70" s="156" t="s">
        <v>18009</v>
      </c>
      <c r="H70" s="156" t="s">
        <v>18008</v>
      </c>
      <c r="I70" s="156" t="s">
        <v>18007</v>
      </c>
      <c r="J70" s="155" t="s">
        <v>18006</v>
      </c>
    </row>
    <row r="71" spans="1:10" ht="15.5" x14ac:dyDescent="0.35">
      <c r="A71" s="146"/>
      <c r="B71" s="145"/>
      <c r="C71" s="145"/>
      <c r="D71" s="156" t="s">
        <v>18005</v>
      </c>
      <c r="E71" s="156" t="s">
        <v>18004</v>
      </c>
      <c r="F71" s="148" t="s">
        <v>4853</v>
      </c>
      <c r="G71" s="156" t="s">
        <v>18003</v>
      </c>
      <c r="H71" s="156" t="s">
        <v>18002</v>
      </c>
      <c r="I71" s="156" t="s">
        <v>18001</v>
      </c>
      <c r="J71" s="155" t="s">
        <v>18000</v>
      </c>
    </row>
    <row r="72" spans="1:10" ht="15.5" x14ac:dyDescent="0.35">
      <c r="A72" s="146"/>
      <c r="B72" s="145"/>
      <c r="C72" s="145" t="s">
        <v>17999</v>
      </c>
      <c r="D72" s="156" t="s">
        <v>17998</v>
      </c>
      <c r="E72" s="156" t="s">
        <v>17997</v>
      </c>
      <c r="F72" s="148" t="s">
        <v>4853</v>
      </c>
      <c r="G72" s="156" t="s">
        <v>17996</v>
      </c>
      <c r="H72" s="156" t="s">
        <v>17995</v>
      </c>
      <c r="I72" s="156" t="s">
        <v>17994</v>
      </c>
      <c r="J72" s="155" t="s">
        <v>17993</v>
      </c>
    </row>
    <row r="73" spans="1:10" ht="15.5" x14ac:dyDescent="0.35">
      <c r="A73" s="146"/>
      <c r="B73" s="145"/>
      <c r="C73" s="145"/>
      <c r="D73" s="156" t="s">
        <v>17992</v>
      </c>
      <c r="E73" s="156" t="s">
        <v>17991</v>
      </c>
      <c r="F73" s="148" t="s">
        <v>4853</v>
      </c>
      <c r="G73" s="156" t="s">
        <v>17990</v>
      </c>
      <c r="H73" s="156" t="s">
        <v>17989</v>
      </c>
      <c r="I73" s="156" t="s">
        <v>17140</v>
      </c>
      <c r="J73" s="155" t="s">
        <v>17988</v>
      </c>
    </row>
    <row r="74" spans="1:10" ht="15.5" x14ac:dyDescent="0.35">
      <c r="A74" s="146"/>
      <c r="B74" s="145"/>
      <c r="C74" s="145"/>
      <c r="D74" s="156" t="s">
        <v>17987</v>
      </c>
      <c r="E74" s="156" t="s">
        <v>17986</v>
      </c>
      <c r="F74" s="148" t="s">
        <v>4853</v>
      </c>
      <c r="G74" s="156" t="s">
        <v>17985</v>
      </c>
      <c r="H74" s="156" t="s">
        <v>17984</v>
      </c>
      <c r="I74" s="156" t="s">
        <v>17983</v>
      </c>
      <c r="J74" s="155" t="s">
        <v>17982</v>
      </c>
    </row>
    <row r="75" spans="1:10" ht="15.5" x14ac:dyDescent="0.35">
      <c r="A75" s="146"/>
      <c r="B75" s="145"/>
      <c r="C75" s="145"/>
      <c r="D75" s="156" t="s">
        <v>17981</v>
      </c>
      <c r="E75" s="156" t="s">
        <v>17980</v>
      </c>
      <c r="F75" s="148" t="s">
        <v>4853</v>
      </c>
      <c r="G75" s="156" t="s">
        <v>17979</v>
      </c>
      <c r="H75" s="156" t="s">
        <v>17978</v>
      </c>
      <c r="I75" s="156" t="s">
        <v>17977</v>
      </c>
      <c r="J75" s="155" t="s">
        <v>17976</v>
      </c>
    </row>
    <row r="76" spans="1:10" ht="15.5" x14ac:dyDescent="0.35">
      <c r="A76" s="146"/>
      <c r="B76" s="145"/>
      <c r="C76" s="145"/>
      <c r="D76" s="156" t="s">
        <v>17975</v>
      </c>
      <c r="E76" s="156" t="s">
        <v>17974</v>
      </c>
      <c r="F76" s="148" t="s">
        <v>4853</v>
      </c>
      <c r="G76" s="156" t="s">
        <v>17973</v>
      </c>
      <c r="H76" s="156" t="s">
        <v>17972</v>
      </c>
      <c r="I76" s="156" t="s">
        <v>17971</v>
      </c>
      <c r="J76" s="155" t="s">
        <v>17970</v>
      </c>
    </row>
    <row r="77" spans="1:10" ht="15.5" x14ac:dyDescent="0.35">
      <c r="A77" s="146"/>
      <c r="B77" s="145"/>
      <c r="C77" s="145" t="s">
        <v>17969</v>
      </c>
      <c r="D77" s="156" t="s">
        <v>17968</v>
      </c>
      <c r="E77" s="156" t="s">
        <v>17967</v>
      </c>
      <c r="F77" s="148" t="s">
        <v>4853</v>
      </c>
      <c r="G77" s="156" t="s">
        <v>17966</v>
      </c>
      <c r="H77" s="156" t="s">
        <v>17965</v>
      </c>
      <c r="I77" s="156" t="s">
        <v>17964</v>
      </c>
      <c r="J77" s="155" t="s">
        <v>17963</v>
      </c>
    </row>
    <row r="78" spans="1:10" ht="15.5" x14ac:dyDescent="0.35">
      <c r="A78" s="146"/>
      <c r="B78" s="145"/>
      <c r="C78" s="145"/>
      <c r="D78" s="156" t="s">
        <v>17962</v>
      </c>
      <c r="E78" s="156" t="s">
        <v>17961</v>
      </c>
      <c r="F78" s="148" t="s">
        <v>4853</v>
      </c>
      <c r="G78" s="156" t="s">
        <v>17960</v>
      </c>
      <c r="H78" s="156" t="s">
        <v>17959</v>
      </c>
      <c r="I78" s="156" t="s">
        <v>17958</v>
      </c>
      <c r="J78" s="155" t="s">
        <v>17957</v>
      </c>
    </row>
    <row r="79" spans="1:10" ht="15.5" x14ac:dyDescent="0.35">
      <c r="A79" s="146"/>
      <c r="B79" s="145"/>
      <c r="C79" s="145"/>
      <c r="D79" s="156" t="s">
        <v>17956</v>
      </c>
      <c r="E79" s="156" t="s">
        <v>17955</v>
      </c>
      <c r="F79" s="148" t="s">
        <v>4853</v>
      </c>
      <c r="G79" s="156" t="s">
        <v>17954</v>
      </c>
      <c r="H79" s="156" t="s">
        <v>17953</v>
      </c>
      <c r="I79" s="156" t="s">
        <v>17952</v>
      </c>
      <c r="J79" s="155" t="s">
        <v>17951</v>
      </c>
    </row>
    <row r="80" spans="1:10" ht="15.5" x14ac:dyDescent="0.35">
      <c r="A80" s="146"/>
      <c r="B80" s="145"/>
      <c r="C80" s="145"/>
      <c r="D80" s="156" t="s">
        <v>17950</v>
      </c>
      <c r="E80" s="156" t="s">
        <v>17949</v>
      </c>
      <c r="F80" s="148" t="s">
        <v>4853</v>
      </c>
      <c r="G80" s="156" t="s">
        <v>17948</v>
      </c>
      <c r="H80" s="156" t="s">
        <v>17595</v>
      </c>
      <c r="I80" s="156" t="s">
        <v>17947</v>
      </c>
      <c r="J80" s="155" t="s">
        <v>17946</v>
      </c>
    </row>
    <row r="81" spans="1:10" ht="15.5" x14ac:dyDescent="0.35">
      <c r="A81" s="146"/>
      <c r="B81" s="145"/>
      <c r="C81" s="145"/>
      <c r="D81" s="156" t="s">
        <v>16627</v>
      </c>
      <c r="E81" s="156" t="s">
        <v>17945</v>
      </c>
      <c r="F81" s="148" t="s">
        <v>4853</v>
      </c>
      <c r="G81" s="156" t="s">
        <v>17944</v>
      </c>
      <c r="H81" s="156" t="s">
        <v>17943</v>
      </c>
      <c r="I81" s="156" t="s">
        <v>17942</v>
      </c>
      <c r="J81" s="155" t="s">
        <v>17941</v>
      </c>
    </row>
    <row r="82" spans="1:10" ht="15.5" x14ac:dyDescent="0.35">
      <c r="A82" s="146"/>
      <c r="B82" s="145"/>
      <c r="C82" s="145" t="s">
        <v>17940</v>
      </c>
      <c r="D82" s="156" t="s">
        <v>17939</v>
      </c>
      <c r="E82" s="156" t="s">
        <v>17938</v>
      </c>
      <c r="F82" s="148" t="s">
        <v>4853</v>
      </c>
      <c r="G82" s="156" t="s">
        <v>17937</v>
      </c>
      <c r="H82" s="156" t="s">
        <v>17936</v>
      </c>
      <c r="I82" s="156" t="s">
        <v>17935</v>
      </c>
      <c r="J82" s="155" t="s">
        <v>17934</v>
      </c>
    </row>
    <row r="83" spans="1:10" ht="15.5" x14ac:dyDescent="0.35">
      <c r="A83" s="146"/>
      <c r="B83" s="145"/>
      <c r="C83" s="145"/>
      <c r="D83" s="156" t="s">
        <v>17933</v>
      </c>
      <c r="E83" s="156" t="s">
        <v>17932</v>
      </c>
      <c r="F83" s="148" t="s">
        <v>4853</v>
      </c>
      <c r="G83" s="156" t="s">
        <v>17931</v>
      </c>
      <c r="H83" s="156" t="s">
        <v>17025</v>
      </c>
      <c r="I83" s="156" t="s">
        <v>17930</v>
      </c>
      <c r="J83" s="155" t="s">
        <v>17929</v>
      </c>
    </row>
    <row r="84" spans="1:10" ht="15.5" x14ac:dyDescent="0.35">
      <c r="A84" s="146"/>
      <c r="B84" s="145"/>
      <c r="C84" s="145"/>
      <c r="D84" s="156" t="s">
        <v>17928</v>
      </c>
      <c r="E84" s="156" t="s">
        <v>16999</v>
      </c>
      <c r="F84" s="148" t="s">
        <v>4853</v>
      </c>
      <c r="G84" s="156" t="s">
        <v>17927</v>
      </c>
      <c r="H84" s="156" t="s">
        <v>17926</v>
      </c>
      <c r="I84" s="156" t="s">
        <v>17925</v>
      </c>
      <c r="J84" s="155" t="s">
        <v>502</v>
      </c>
    </row>
    <row r="85" spans="1:10" ht="15.5" x14ac:dyDescent="0.35">
      <c r="A85" s="146"/>
      <c r="B85" s="145"/>
      <c r="C85" s="145"/>
      <c r="D85" s="156" t="s">
        <v>17924</v>
      </c>
      <c r="E85" s="156" t="s">
        <v>16989</v>
      </c>
      <c r="F85" s="148" t="s">
        <v>4853</v>
      </c>
      <c r="G85" s="156" t="s">
        <v>17923</v>
      </c>
      <c r="H85" s="156" t="s">
        <v>17922</v>
      </c>
      <c r="I85" s="156" t="s">
        <v>17921</v>
      </c>
      <c r="J85" s="155" t="s">
        <v>17920</v>
      </c>
    </row>
    <row r="86" spans="1:10" ht="15.5" x14ac:dyDescent="0.35">
      <c r="A86" s="146"/>
      <c r="B86" s="145"/>
      <c r="C86" s="145"/>
      <c r="D86" s="156" t="s">
        <v>17919</v>
      </c>
      <c r="E86" s="156" t="s">
        <v>17918</v>
      </c>
      <c r="F86" s="148" t="s">
        <v>4853</v>
      </c>
      <c r="G86" s="156" t="s">
        <v>17917</v>
      </c>
      <c r="H86" s="156" t="s">
        <v>17916</v>
      </c>
      <c r="I86" s="156" t="s">
        <v>17915</v>
      </c>
      <c r="J86" s="155" t="s">
        <v>17914</v>
      </c>
    </row>
    <row r="87" spans="1:10" ht="15.5" x14ac:dyDescent="0.35">
      <c r="A87" s="146"/>
      <c r="B87" s="145"/>
      <c r="C87" s="145" t="s">
        <v>17913</v>
      </c>
      <c r="D87" s="148" t="s">
        <v>17912</v>
      </c>
      <c r="E87" s="148" t="s">
        <v>17911</v>
      </c>
      <c r="F87" s="148" t="s">
        <v>4853</v>
      </c>
      <c r="G87" s="148" t="s">
        <v>17910</v>
      </c>
      <c r="H87" s="148" t="s">
        <v>17909</v>
      </c>
      <c r="I87" s="148" t="s">
        <v>17908</v>
      </c>
      <c r="J87" s="147" t="s">
        <v>17907</v>
      </c>
    </row>
    <row r="88" spans="1:10" ht="15.5" x14ac:dyDescent="0.35">
      <c r="A88" s="146"/>
      <c r="B88" s="145"/>
      <c r="C88" s="145"/>
      <c r="D88" s="148" t="s">
        <v>17906</v>
      </c>
      <c r="E88" s="148" t="s">
        <v>17905</v>
      </c>
      <c r="F88" s="148" t="s">
        <v>4853</v>
      </c>
      <c r="G88" s="148" t="s">
        <v>17904</v>
      </c>
      <c r="H88" s="148" t="s">
        <v>17903</v>
      </c>
      <c r="I88" s="148" t="s">
        <v>17902</v>
      </c>
      <c r="J88" s="147" t="s">
        <v>17901</v>
      </c>
    </row>
    <row r="89" spans="1:10" ht="15.5" x14ac:dyDescent="0.35">
      <c r="A89" s="146"/>
      <c r="B89" s="145"/>
      <c r="C89" s="145"/>
      <c r="D89" s="148" t="s">
        <v>17900</v>
      </c>
      <c r="E89" s="148" t="s">
        <v>17899</v>
      </c>
      <c r="F89" s="148" t="s">
        <v>4853</v>
      </c>
      <c r="G89" s="148" t="s">
        <v>17898</v>
      </c>
      <c r="H89" s="148" t="s">
        <v>17897</v>
      </c>
      <c r="I89" s="148" t="s">
        <v>17896</v>
      </c>
      <c r="J89" s="147" t="s">
        <v>17895</v>
      </c>
    </row>
    <row r="90" spans="1:10" ht="15.5" x14ac:dyDescent="0.35">
      <c r="A90" s="146"/>
      <c r="B90" s="145"/>
      <c r="C90" s="145"/>
      <c r="D90" s="148" t="s">
        <v>17894</v>
      </c>
      <c r="E90" s="148" t="s">
        <v>17893</v>
      </c>
      <c r="F90" s="148" t="s">
        <v>4853</v>
      </c>
      <c r="G90" s="148" t="s">
        <v>17892</v>
      </c>
      <c r="H90" s="148" t="s">
        <v>17891</v>
      </c>
      <c r="I90" s="148" t="s">
        <v>17890</v>
      </c>
      <c r="J90" s="147" t="s">
        <v>17889</v>
      </c>
    </row>
    <row r="91" spans="1:10" ht="15.5" x14ac:dyDescent="0.35">
      <c r="A91" s="146"/>
      <c r="B91" s="145"/>
      <c r="C91" s="145"/>
      <c r="D91" s="148" t="s">
        <v>17888</v>
      </c>
      <c r="E91" s="148" t="s">
        <v>17887</v>
      </c>
      <c r="F91" s="148" t="s">
        <v>16603</v>
      </c>
      <c r="G91" s="148" t="s">
        <v>17886</v>
      </c>
      <c r="H91" s="148" t="s">
        <v>17885</v>
      </c>
      <c r="I91" s="148" t="s">
        <v>17884</v>
      </c>
      <c r="J91" s="147" t="s">
        <v>17883</v>
      </c>
    </row>
    <row r="92" spans="1:10" ht="15.5" x14ac:dyDescent="0.35">
      <c r="A92" s="146"/>
      <c r="B92" s="145"/>
      <c r="C92" s="145" t="s">
        <v>17882</v>
      </c>
      <c r="D92" s="148" t="s">
        <v>17881</v>
      </c>
      <c r="E92" s="148" t="s">
        <v>17880</v>
      </c>
      <c r="F92" s="148" t="s">
        <v>4853</v>
      </c>
      <c r="G92" s="148" t="s">
        <v>17879</v>
      </c>
      <c r="H92" s="148" t="s">
        <v>17878</v>
      </c>
      <c r="I92" s="148" t="s">
        <v>17877</v>
      </c>
      <c r="J92" s="147" t="s">
        <v>17876</v>
      </c>
    </row>
    <row r="93" spans="1:10" ht="15.5" x14ac:dyDescent="0.35">
      <c r="A93" s="146"/>
      <c r="B93" s="145"/>
      <c r="C93" s="145"/>
      <c r="D93" s="148" t="s">
        <v>17875</v>
      </c>
      <c r="E93" s="148" t="s">
        <v>17874</v>
      </c>
      <c r="F93" s="148" t="s">
        <v>4853</v>
      </c>
      <c r="G93" s="148" t="s">
        <v>17873</v>
      </c>
      <c r="H93" s="148" t="s">
        <v>17872</v>
      </c>
      <c r="I93" s="148" t="s">
        <v>17871</v>
      </c>
      <c r="J93" s="147" t="s">
        <v>17870</v>
      </c>
    </row>
    <row r="94" spans="1:10" ht="15.5" x14ac:dyDescent="0.35">
      <c r="A94" s="146"/>
      <c r="B94" s="145"/>
      <c r="C94" s="145"/>
      <c r="D94" s="148" t="s">
        <v>17869</v>
      </c>
      <c r="E94" s="148" t="s">
        <v>17868</v>
      </c>
      <c r="F94" s="148" t="s">
        <v>4853</v>
      </c>
      <c r="G94" s="148" t="s">
        <v>17867</v>
      </c>
      <c r="H94" s="148" t="s">
        <v>17866</v>
      </c>
      <c r="I94" s="148" t="s">
        <v>17865</v>
      </c>
      <c r="J94" s="147" t="s">
        <v>17864</v>
      </c>
    </row>
    <row r="95" spans="1:10" ht="15.5" x14ac:dyDescent="0.35">
      <c r="A95" s="146"/>
      <c r="B95" s="145"/>
      <c r="C95" s="145"/>
      <c r="D95" s="148" t="s">
        <v>17110</v>
      </c>
      <c r="E95" s="148" t="s">
        <v>17863</v>
      </c>
      <c r="F95" s="148" t="s">
        <v>16603</v>
      </c>
      <c r="G95" s="148" t="s">
        <v>17862</v>
      </c>
      <c r="H95" s="148" t="s">
        <v>17861</v>
      </c>
      <c r="I95" s="148" t="s">
        <v>17860</v>
      </c>
      <c r="J95" s="147" t="s">
        <v>17859</v>
      </c>
    </row>
    <row r="96" spans="1:10" ht="15.5" x14ac:dyDescent="0.35">
      <c r="A96" s="146"/>
      <c r="B96" s="145"/>
      <c r="C96" s="145"/>
      <c r="D96" s="148" t="s">
        <v>17858</v>
      </c>
      <c r="E96" s="148" t="s">
        <v>17857</v>
      </c>
      <c r="F96" s="148" t="s">
        <v>4853</v>
      </c>
      <c r="G96" s="148" t="s">
        <v>17856</v>
      </c>
      <c r="H96" s="148" t="s">
        <v>17855</v>
      </c>
      <c r="I96" s="148" t="s">
        <v>17854</v>
      </c>
      <c r="J96" s="147" t="s">
        <v>17853</v>
      </c>
    </row>
    <row r="97" spans="1:10" ht="15.5" x14ac:dyDescent="0.35">
      <c r="A97" s="146"/>
      <c r="B97" s="145"/>
      <c r="C97" s="145" t="s">
        <v>17852</v>
      </c>
      <c r="D97" s="148" t="s">
        <v>17851</v>
      </c>
      <c r="E97" s="148" t="s">
        <v>17850</v>
      </c>
      <c r="F97" s="148" t="s">
        <v>4853</v>
      </c>
      <c r="G97" s="148" t="s">
        <v>17849</v>
      </c>
      <c r="H97" s="148" t="s">
        <v>17356</v>
      </c>
      <c r="I97" s="148" t="s">
        <v>17848</v>
      </c>
      <c r="J97" s="147" t="s">
        <v>17847</v>
      </c>
    </row>
    <row r="98" spans="1:10" ht="15.5" x14ac:dyDescent="0.35">
      <c r="A98" s="146"/>
      <c r="B98" s="145"/>
      <c r="C98" s="145"/>
      <c r="D98" s="148" t="s">
        <v>17846</v>
      </c>
      <c r="E98" s="148" t="s">
        <v>17845</v>
      </c>
      <c r="F98" s="148" t="s">
        <v>4853</v>
      </c>
      <c r="G98" s="148" t="s">
        <v>17351</v>
      </c>
      <c r="H98" s="148" t="s">
        <v>17844</v>
      </c>
      <c r="I98" s="148" t="s">
        <v>17843</v>
      </c>
      <c r="J98" s="147" t="s">
        <v>17842</v>
      </c>
    </row>
    <row r="99" spans="1:10" ht="15.5" x14ac:dyDescent="0.35">
      <c r="A99" s="146"/>
      <c r="B99" s="145"/>
      <c r="C99" s="145"/>
      <c r="D99" s="148" t="s">
        <v>17841</v>
      </c>
      <c r="E99" s="148" t="s">
        <v>17840</v>
      </c>
      <c r="F99" s="148" t="s">
        <v>4853</v>
      </c>
      <c r="G99" s="148" t="s">
        <v>17839</v>
      </c>
      <c r="H99" s="148" t="s">
        <v>17838</v>
      </c>
      <c r="I99" s="148" t="s">
        <v>17837</v>
      </c>
      <c r="J99" s="147" t="s">
        <v>17836</v>
      </c>
    </row>
    <row r="100" spans="1:10" ht="15.5" x14ac:dyDescent="0.35">
      <c r="A100" s="146"/>
      <c r="B100" s="145"/>
      <c r="C100" s="145"/>
      <c r="D100" s="148" t="s">
        <v>17336</v>
      </c>
      <c r="E100" s="148" t="s">
        <v>17835</v>
      </c>
      <c r="F100" s="148" t="s">
        <v>4853</v>
      </c>
      <c r="G100" s="148" t="s">
        <v>17834</v>
      </c>
      <c r="H100" s="148" t="s">
        <v>17833</v>
      </c>
      <c r="I100" s="148" t="s">
        <v>17832</v>
      </c>
      <c r="J100" s="147" t="s">
        <v>17831</v>
      </c>
    </row>
    <row r="101" spans="1:10" ht="15.5" x14ac:dyDescent="0.35">
      <c r="A101" s="146"/>
      <c r="B101" s="145"/>
      <c r="C101" s="145"/>
      <c r="D101" s="148" t="s">
        <v>17830</v>
      </c>
      <c r="E101" s="148" t="s">
        <v>17829</v>
      </c>
      <c r="F101" s="148" t="s">
        <v>4853</v>
      </c>
      <c r="G101" s="148" t="s">
        <v>17828</v>
      </c>
      <c r="H101" s="148" t="s">
        <v>17827</v>
      </c>
      <c r="I101" s="148" t="s">
        <v>17826</v>
      </c>
      <c r="J101" s="147" t="s">
        <v>17825</v>
      </c>
    </row>
    <row r="102" spans="1:10" ht="93" x14ac:dyDescent="0.35">
      <c r="A102" s="146"/>
      <c r="B102" s="145" t="s">
        <v>17824</v>
      </c>
      <c r="C102" s="145" t="s">
        <v>17823</v>
      </c>
      <c r="D102" s="144" t="s">
        <v>17822</v>
      </c>
      <c r="E102" s="144" t="s">
        <v>17821</v>
      </c>
      <c r="F102" s="148" t="s">
        <v>4853</v>
      </c>
      <c r="G102" s="144" t="s">
        <v>17820</v>
      </c>
      <c r="H102" s="144" t="s">
        <v>17819</v>
      </c>
      <c r="I102" s="144" t="s">
        <v>17818</v>
      </c>
      <c r="J102" s="143" t="s">
        <v>17817</v>
      </c>
    </row>
    <row r="103" spans="1:10" ht="77.5" x14ac:dyDescent="0.35">
      <c r="A103" s="146"/>
      <c r="B103" s="145"/>
      <c r="C103" s="145"/>
      <c r="D103" s="144" t="s">
        <v>17816</v>
      </c>
      <c r="E103" s="144" t="s">
        <v>17815</v>
      </c>
      <c r="F103" s="148" t="s">
        <v>4853</v>
      </c>
      <c r="G103" s="144" t="s">
        <v>17814</v>
      </c>
      <c r="H103" s="144" t="s">
        <v>16184</v>
      </c>
      <c r="I103" s="144" t="s">
        <v>17813</v>
      </c>
      <c r="J103" s="143" t="s">
        <v>17812</v>
      </c>
    </row>
    <row r="104" spans="1:10" ht="77.5" x14ac:dyDescent="0.35">
      <c r="A104" s="146"/>
      <c r="B104" s="145"/>
      <c r="C104" s="145"/>
      <c r="D104" s="144" t="s">
        <v>17811</v>
      </c>
      <c r="E104" s="144" t="s">
        <v>17810</v>
      </c>
      <c r="F104" s="148" t="s">
        <v>4853</v>
      </c>
      <c r="G104" s="144" t="s">
        <v>17809</v>
      </c>
      <c r="H104" s="144" t="s">
        <v>17808</v>
      </c>
      <c r="I104" s="144" t="s">
        <v>17807</v>
      </c>
      <c r="J104" s="143" t="s">
        <v>17806</v>
      </c>
    </row>
    <row r="105" spans="1:10" ht="77.5" x14ac:dyDescent="0.35">
      <c r="A105" s="146"/>
      <c r="B105" s="145"/>
      <c r="C105" s="145"/>
      <c r="D105" s="144" t="s">
        <v>17098</v>
      </c>
      <c r="E105" s="144" t="s">
        <v>17805</v>
      </c>
      <c r="F105" s="148" t="s">
        <v>4853</v>
      </c>
      <c r="G105" s="144" t="s">
        <v>17804</v>
      </c>
      <c r="H105" s="144" t="s">
        <v>17803</v>
      </c>
      <c r="I105" s="144" t="s">
        <v>17802</v>
      </c>
      <c r="J105" s="143" t="s">
        <v>17801</v>
      </c>
    </row>
    <row r="106" spans="1:10" ht="62" x14ac:dyDescent="0.35">
      <c r="A106" s="146"/>
      <c r="B106" s="145"/>
      <c r="C106" s="145"/>
      <c r="D106" s="144" t="s">
        <v>17800</v>
      </c>
      <c r="E106" s="144" t="s">
        <v>17799</v>
      </c>
      <c r="F106" s="144" t="s">
        <v>17565</v>
      </c>
      <c r="G106" s="144" t="s">
        <v>17798</v>
      </c>
      <c r="H106" s="144" t="s">
        <v>17797</v>
      </c>
      <c r="I106" s="144" t="s">
        <v>17796</v>
      </c>
      <c r="J106" s="143" t="s">
        <v>17795</v>
      </c>
    </row>
    <row r="107" spans="1:10" ht="15.5" x14ac:dyDescent="0.35">
      <c r="A107" s="146"/>
      <c r="B107" s="145"/>
      <c r="C107" s="145" t="s">
        <v>17794</v>
      </c>
      <c r="D107" s="154" t="s">
        <v>17793</v>
      </c>
      <c r="E107" s="154" t="s">
        <v>17792</v>
      </c>
      <c r="F107" s="154" t="s">
        <v>4853</v>
      </c>
      <c r="G107" s="154" t="s">
        <v>17791</v>
      </c>
      <c r="H107" s="154" t="s">
        <v>17790</v>
      </c>
      <c r="I107" s="154" t="s">
        <v>17789</v>
      </c>
      <c r="J107" s="153" t="s">
        <v>17788</v>
      </c>
    </row>
    <row r="108" spans="1:10" ht="15.5" x14ac:dyDescent="0.35">
      <c r="A108" s="146"/>
      <c r="B108" s="145"/>
      <c r="C108" s="145"/>
      <c r="D108" s="154" t="s">
        <v>17787</v>
      </c>
      <c r="E108" s="154" t="s">
        <v>17786</v>
      </c>
      <c r="F108" s="154" t="s">
        <v>17565</v>
      </c>
      <c r="G108" s="154" t="s">
        <v>17785</v>
      </c>
      <c r="H108" s="154" t="s">
        <v>17784</v>
      </c>
      <c r="I108" s="154" t="s">
        <v>17783</v>
      </c>
      <c r="J108" s="153" t="s">
        <v>17782</v>
      </c>
    </row>
    <row r="109" spans="1:10" ht="15.5" x14ac:dyDescent="0.35">
      <c r="A109" s="146"/>
      <c r="B109" s="145"/>
      <c r="C109" s="145"/>
      <c r="D109" s="154" t="s">
        <v>17781</v>
      </c>
      <c r="E109" s="154" t="s">
        <v>17780</v>
      </c>
      <c r="F109" s="154" t="s">
        <v>4853</v>
      </c>
      <c r="G109" s="154" t="s">
        <v>17779</v>
      </c>
      <c r="H109" s="154" t="s">
        <v>17778</v>
      </c>
      <c r="I109" s="154" t="s">
        <v>17777</v>
      </c>
      <c r="J109" s="153" t="s">
        <v>17776</v>
      </c>
    </row>
    <row r="110" spans="1:10" ht="15.5" x14ac:dyDescent="0.35">
      <c r="A110" s="146"/>
      <c r="B110" s="145"/>
      <c r="C110" s="145"/>
      <c r="D110" s="154" t="s">
        <v>17775</v>
      </c>
      <c r="E110" s="154" t="s">
        <v>17774</v>
      </c>
      <c r="F110" s="154" t="s">
        <v>4853</v>
      </c>
      <c r="G110" s="154" t="s">
        <v>17773</v>
      </c>
      <c r="H110" s="154" t="s">
        <v>17772</v>
      </c>
      <c r="I110" s="154" t="s">
        <v>17771</v>
      </c>
      <c r="J110" s="153" t="s">
        <v>17770</v>
      </c>
    </row>
    <row r="111" spans="1:10" ht="15.5" x14ac:dyDescent="0.35">
      <c r="A111" s="146"/>
      <c r="B111" s="145"/>
      <c r="C111" s="145"/>
      <c r="D111" s="154" t="s">
        <v>17769</v>
      </c>
      <c r="E111" s="154" t="s">
        <v>17768</v>
      </c>
      <c r="F111" s="154" t="s">
        <v>17565</v>
      </c>
      <c r="G111" s="154" t="s">
        <v>17767</v>
      </c>
      <c r="H111" s="154" t="s">
        <v>17766</v>
      </c>
      <c r="I111" s="154" t="s">
        <v>17765</v>
      </c>
      <c r="J111" s="153" t="s">
        <v>17764</v>
      </c>
    </row>
    <row r="112" spans="1:10" ht="93" x14ac:dyDescent="0.35">
      <c r="A112" s="146"/>
      <c r="B112" s="145"/>
      <c r="C112" s="145" t="s">
        <v>17763</v>
      </c>
      <c r="D112" s="144" t="s">
        <v>17762</v>
      </c>
      <c r="E112" s="144" t="s">
        <v>17761</v>
      </c>
      <c r="F112" s="144" t="s">
        <v>4853</v>
      </c>
      <c r="G112" s="144" t="s">
        <v>17760</v>
      </c>
      <c r="H112" s="144" t="s">
        <v>17759</v>
      </c>
      <c r="I112" s="144" t="s">
        <v>17758</v>
      </c>
      <c r="J112" s="143" t="s">
        <v>17757</v>
      </c>
    </row>
    <row r="113" spans="1:10" ht="77.5" x14ac:dyDescent="0.35">
      <c r="A113" s="146"/>
      <c r="B113" s="145"/>
      <c r="C113" s="145"/>
      <c r="D113" s="144" t="s">
        <v>17756</v>
      </c>
      <c r="E113" s="144" t="s">
        <v>17755</v>
      </c>
      <c r="F113" s="144" t="s">
        <v>4853</v>
      </c>
      <c r="G113" s="144" t="s">
        <v>17754</v>
      </c>
      <c r="H113" s="144" t="s">
        <v>17753</v>
      </c>
      <c r="I113" s="144" t="s">
        <v>17752</v>
      </c>
      <c r="J113" s="143" t="s">
        <v>17751</v>
      </c>
    </row>
    <row r="114" spans="1:10" ht="77.5" x14ac:dyDescent="0.35">
      <c r="A114" s="146"/>
      <c r="B114" s="145"/>
      <c r="C114" s="145"/>
      <c r="D114" s="144" t="s">
        <v>17750</v>
      </c>
      <c r="E114" s="144" t="s">
        <v>17749</v>
      </c>
      <c r="F114" s="144" t="s">
        <v>4853</v>
      </c>
      <c r="G114" s="144" t="s">
        <v>17748</v>
      </c>
      <c r="H114" s="144" t="s">
        <v>16891</v>
      </c>
      <c r="I114" s="144" t="s">
        <v>17747</v>
      </c>
      <c r="J114" s="143" t="s">
        <v>17746</v>
      </c>
    </row>
    <row r="115" spans="1:10" ht="93" x14ac:dyDescent="0.35">
      <c r="A115" s="146"/>
      <c r="B115" s="145"/>
      <c r="C115" s="145"/>
      <c r="D115" s="144" t="s">
        <v>17745</v>
      </c>
      <c r="E115" s="144" t="s">
        <v>17744</v>
      </c>
      <c r="F115" s="144" t="s">
        <v>4853</v>
      </c>
      <c r="G115" s="144" t="s">
        <v>17743</v>
      </c>
      <c r="H115" s="144" t="s">
        <v>17730</v>
      </c>
      <c r="I115" s="144" t="s">
        <v>17742</v>
      </c>
      <c r="J115" s="143" t="s">
        <v>17741</v>
      </c>
    </row>
    <row r="116" spans="1:10" ht="108.5" x14ac:dyDescent="0.35">
      <c r="A116" s="146"/>
      <c r="B116" s="145"/>
      <c r="C116" s="145"/>
      <c r="D116" s="144" t="s">
        <v>17740</v>
      </c>
      <c r="E116" s="144" t="s">
        <v>17739</v>
      </c>
      <c r="F116" s="144" t="s">
        <v>4853</v>
      </c>
      <c r="G116" s="144" t="s">
        <v>17738</v>
      </c>
      <c r="H116" s="144" t="s">
        <v>17737</v>
      </c>
      <c r="I116" s="144" t="s">
        <v>17736</v>
      </c>
      <c r="J116" s="143" t="s">
        <v>17735</v>
      </c>
    </row>
    <row r="117" spans="1:10" ht="90" x14ac:dyDescent="0.35">
      <c r="A117" s="146"/>
      <c r="B117" s="145"/>
      <c r="C117" s="145" t="s">
        <v>17734</v>
      </c>
      <c r="D117" s="152" t="s">
        <v>17733</v>
      </c>
      <c r="E117" s="152" t="s">
        <v>17732</v>
      </c>
      <c r="F117" s="152" t="s">
        <v>17565</v>
      </c>
      <c r="G117" s="152" t="s">
        <v>17731</v>
      </c>
      <c r="H117" s="152" t="s">
        <v>17730</v>
      </c>
      <c r="I117" s="152" t="s">
        <v>17729</v>
      </c>
      <c r="J117" s="151" t="s">
        <v>17728</v>
      </c>
    </row>
    <row r="118" spans="1:10" ht="90" x14ac:dyDescent="0.35">
      <c r="A118" s="146"/>
      <c r="B118" s="145"/>
      <c r="C118" s="145"/>
      <c r="D118" s="152" t="s">
        <v>17727</v>
      </c>
      <c r="E118" s="152" t="s">
        <v>17726</v>
      </c>
      <c r="F118" s="152" t="s">
        <v>17565</v>
      </c>
      <c r="G118" s="152" t="s">
        <v>17725</v>
      </c>
      <c r="H118" s="152" t="s">
        <v>17724</v>
      </c>
      <c r="I118" s="152" t="s">
        <v>17723</v>
      </c>
      <c r="J118" s="151" t="s">
        <v>17722</v>
      </c>
    </row>
    <row r="119" spans="1:10" ht="75" x14ac:dyDescent="0.35">
      <c r="A119" s="146"/>
      <c r="B119" s="145"/>
      <c r="C119" s="145"/>
      <c r="D119" s="152" t="s">
        <v>17721</v>
      </c>
      <c r="E119" s="152" t="s">
        <v>17720</v>
      </c>
      <c r="F119" s="152" t="s">
        <v>17565</v>
      </c>
      <c r="G119" s="152" t="s">
        <v>17719</v>
      </c>
      <c r="H119" s="152" t="s">
        <v>17718</v>
      </c>
      <c r="I119" s="152" t="s">
        <v>17717</v>
      </c>
      <c r="J119" s="151" t="s">
        <v>17716</v>
      </c>
    </row>
    <row r="120" spans="1:10" ht="120" x14ac:dyDescent="0.35">
      <c r="A120" s="146"/>
      <c r="B120" s="145"/>
      <c r="C120" s="145"/>
      <c r="D120" s="152" t="s">
        <v>17715</v>
      </c>
      <c r="E120" s="152" t="s">
        <v>17714</v>
      </c>
      <c r="F120" s="152" t="s">
        <v>17565</v>
      </c>
      <c r="G120" s="152" t="s">
        <v>17713</v>
      </c>
      <c r="H120" s="152" t="s">
        <v>17712</v>
      </c>
      <c r="I120" s="152" t="s">
        <v>17711</v>
      </c>
      <c r="J120" s="151" t="s">
        <v>17710</v>
      </c>
    </row>
    <row r="121" spans="1:10" ht="105" x14ac:dyDescent="0.35">
      <c r="A121" s="146"/>
      <c r="B121" s="145"/>
      <c r="C121" s="145"/>
      <c r="D121" s="152" t="s">
        <v>17169</v>
      </c>
      <c r="E121" s="152" t="s">
        <v>17709</v>
      </c>
      <c r="F121" s="152" t="s">
        <v>17565</v>
      </c>
      <c r="G121" s="152" t="s">
        <v>1881</v>
      </c>
      <c r="H121" s="152" t="s">
        <v>17517</v>
      </c>
      <c r="I121" s="152" t="s">
        <v>17708</v>
      </c>
      <c r="J121" s="151" t="s">
        <v>17707</v>
      </c>
    </row>
    <row r="122" spans="1:10" ht="15.5" x14ac:dyDescent="0.35">
      <c r="A122" s="146"/>
      <c r="B122" s="145" t="s">
        <v>17706</v>
      </c>
      <c r="C122" s="145" t="s">
        <v>17705</v>
      </c>
      <c r="D122" s="154" t="s">
        <v>17703</v>
      </c>
      <c r="E122" s="154" t="s">
        <v>17704</v>
      </c>
      <c r="F122" s="154" t="s">
        <v>17565</v>
      </c>
      <c r="G122" s="154" t="s">
        <v>17703</v>
      </c>
      <c r="H122" s="154" t="s">
        <v>17702</v>
      </c>
      <c r="I122" s="154" t="s">
        <v>17701</v>
      </c>
      <c r="J122" s="153" t="s">
        <v>17700</v>
      </c>
    </row>
    <row r="123" spans="1:10" ht="15.5" x14ac:dyDescent="0.35">
      <c r="A123" s="146"/>
      <c r="B123" s="145"/>
      <c r="C123" s="145"/>
      <c r="D123" s="154" t="s">
        <v>17699</v>
      </c>
      <c r="E123" s="154" t="s">
        <v>17698</v>
      </c>
      <c r="F123" s="154" t="s">
        <v>17577</v>
      </c>
      <c r="G123" s="154" t="s">
        <v>17697</v>
      </c>
      <c r="H123" s="154" t="s">
        <v>17696</v>
      </c>
      <c r="I123" s="154" t="s">
        <v>17695</v>
      </c>
      <c r="J123" s="153" t="s">
        <v>17694</v>
      </c>
    </row>
    <row r="124" spans="1:10" ht="15.5" x14ac:dyDescent="0.35">
      <c r="A124" s="146"/>
      <c r="B124" s="145"/>
      <c r="C124" s="145"/>
      <c r="D124" s="154" t="s">
        <v>17693</v>
      </c>
      <c r="E124" s="154" t="s">
        <v>17692</v>
      </c>
      <c r="F124" s="154" t="s">
        <v>17565</v>
      </c>
      <c r="G124" s="154" t="s">
        <v>17691</v>
      </c>
      <c r="H124" s="154" t="s">
        <v>17690</v>
      </c>
      <c r="I124" s="154" t="s">
        <v>17689</v>
      </c>
      <c r="J124" s="153" t="s">
        <v>17688</v>
      </c>
    </row>
    <row r="125" spans="1:10" ht="15.5" x14ac:dyDescent="0.35">
      <c r="A125" s="146"/>
      <c r="B125" s="145"/>
      <c r="C125" s="145"/>
      <c r="D125" s="154" t="s">
        <v>17687</v>
      </c>
      <c r="E125" s="154" t="s">
        <v>17686</v>
      </c>
      <c r="F125" s="154" t="s">
        <v>4853</v>
      </c>
      <c r="G125" s="154" t="s">
        <v>17685</v>
      </c>
      <c r="H125" s="154" t="s">
        <v>17684</v>
      </c>
      <c r="I125" s="154" t="s">
        <v>6003</v>
      </c>
      <c r="J125" s="153" t="s">
        <v>17683</v>
      </c>
    </row>
    <row r="126" spans="1:10" ht="15.5" x14ac:dyDescent="0.35">
      <c r="A126" s="146"/>
      <c r="B126" s="145"/>
      <c r="C126" s="145"/>
      <c r="D126" s="154" t="s">
        <v>17682</v>
      </c>
      <c r="E126" s="154" t="s">
        <v>17681</v>
      </c>
      <c r="F126" s="154" t="s">
        <v>4853</v>
      </c>
      <c r="G126" s="154" t="s">
        <v>17680</v>
      </c>
      <c r="H126" s="154" t="s">
        <v>17679</v>
      </c>
      <c r="I126" s="154" t="s">
        <v>17678</v>
      </c>
      <c r="J126" s="153" t="s">
        <v>17677</v>
      </c>
    </row>
    <row r="127" spans="1:10" ht="15.5" x14ac:dyDescent="0.35">
      <c r="A127" s="146"/>
      <c r="B127" s="145"/>
      <c r="C127" s="145" t="s">
        <v>17676</v>
      </c>
      <c r="D127" s="148" t="s">
        <v>17675</v>
      </c>
      <c r="E127" s="148" t="s">
        <v>17674</v>
      </c>
      <c r="F127" s="148" t="s">
        <v>4853</v>
      </c>
      <c r="G127" s="148" t="s">
        <v>17673</v>
      </c>
      <c r="H127" s="148" t="s">
        <v>17672</v>
      </c>
      <c r="I127" s="148" t="s">
        <v>17671</v>
      </c>
      <c r="J127" s="147" t="s">
        <v>17670</v>
      </c>
    </row>
    <row r="128" spans="1:10" ht="15.5" x14ac:dyDescent="0.35">
      <c r="A128" s="146"/>
      <c r="B128" s="145"/>
      <c r="C128" s="145"/>
      <c r="D128" s="148" t="s">
        <v>17669</v>
      </c>
      <c r="E128" s="148" t="s">
        <v>17668</v>
      </c>
      <c r="F128" s="148" t="s">
        <v>4853</v>
      </c>
      <c r="G128" s="148" t="s">
        <v>15463</v>
      </c>
      <c r="H128" s="148" t="s">
        <v>17667</v>
      </c>
      <c r="I128" s="148" t="s">
        <v>17666</v>
      </c>
      <c r="J128" s="147" t="s">
        <v>17665</v>
      </c>
    </row>
    <row r="129" spans="1:10" ht="15.5" x14ac:dyDescent="0.35">
      <c r="A129" s="146"/>
      <c r="B129" s="145"/>
      <c r="C129" s="145"/>
      <c r="D129" s="148" t="s">
        <v>17664</v>
      </c>
      <c r="E129" s="148" t="s">
        <v>17663</v>
      </c>
      <c r="F129" s="148" t="s">
        <v>4853</v>
      </c>
      <c r="G129" s="148" t="s">
        <v>17662</v>
      </c>
      <c r="H129" s="148" t="s">
        <v>17661</v>
      </c>
      <c r="I129" s="148" t="s">
        <v>17660</v>
      </c>
      <c r="J129" s="147" t="s">
        <v>17659</v>
      </c>
    </row>
    <row r="130" spans="1:10" ht="15.5" x14ac:dyDescent="0.35">
      <c r="A130" s="146"/>
      <c r="B130" s="145"/>
      <c r="C130" s="145"/>
      <c r="D130" s="148" t="s">
        <v>17658</v>
      </c>
      <c r="E130" s="148" t="s">
        <v>17657</v>
      </c>
      <c r="F130" s="148" t="s">
        <v>4853</v>
      </c>
      <c r="G130" s="148" t="s">
        <v>17656</v>
      </c>
      <c r="H130" s="148" t="s">
        <v>17655</v>
      </c>
      <c r="I130" s="148" t="s">
        <v>17654</v>
      </c>
      <c r="J130" s="147" t="s">
        <v>17653</v>
      </c>
    </row>
    <row r="131" spans="1:10" ht="15.5" x14ac:dyDescent="0.35">
      <c r="A131" s="146"/>
      <c r="B131" s="145"/>
      <c r="C131" s="145"/>
      <c r="D131" s="148" t="s">
        <v>17652</v>
      </c>
      <c r="E131" s="148" t="s">
        <v>17651</v>
      </c>
      <c r="F131" s="148" t="s">
        <v>4853</v>
      </c>
      <c r="G131" s="148" t="s">
        <v>17650</v>
      </c>
      <c r="H131" s="148" t="s">
        <v>17649</v>
      </c>
      <c r="I131" s="148" t="s">
        <v>17648</v>
      </c>
      <c r="J131" s="147" t="s">
        <v>17647</v>
      </c>
    </row>
    <row r="132" spans="1:10" ht="15.5" x14ac:dyDescent="0.35">
      <c r="A132" s="146"/>
      <c r="B132" s="145"/>
      <c r="C132" s="148" t="s">
        <v>17646</v>
      </c>
      <c r="D132" s="144"/>
      <c r="E132" s="144"/>
      <c r="F132" s="148"/>
      <c r="G132" s="144"/>
      <c r="H132" s="144"/>
      <c r="I132" s="144"/>
      <c r="J132" s="143"/>
    </row>
    <row r="133" spans="1:10" ht="15.5" x14ac:dyDescent="0.35">
      <c r="A133" s="146"/>
      <c r="B133" s="145"/>
      <c r="C133" s="148" t="s">
        <v>17645</v>
      </c>
      <c r="D133" s="144"/>
      <c r="E133" s="144"/>
      <c r="F133" s="148"/>
      <c r="G133" s="144"/>
      <c r="H133" s="144"/>
      <c r="I133" s="144"/>
      <c r="J133" s="143"/>
    </row>
    <row r="134" spans="1:10" ht="15.5" x14ac:dyDescent="0.35">
      <c r="A134" s="146"/>
      <c r="B134" s="145"/>
      <c r="C134" s="148" t="s">
        <v>17644</v>
      </c>
      <c r="D134" s="144"/>
      <c r="E134" s="144"/>
      <c r="F134" s="148"/>
      <c r="G134" s="144"/>
      <c r="H134" s="144"/>
      <c r="I134" s="144"/>
      <c r="J134" s="143"/>
    </row>
    <row r="135" spans="1:10" ht="15.5" x14ac:dyDescent="0.35">
      <c r="A135" s="146"/>
      <c r="B135" s="145"/>
      <c r="C135" s="148" t="s">
        <v>17643</v>
      </c>
      <c r="D135" s="144"/>
      <c r="E135" s="144"/>
      <c r="F135" s="148"/>
      <c r="G135" s="144"/>
      <c r="H135" s="144"/>
      <c r="I135" s="144"/>
      <c r="J135" s="143"/>
    </row>
    <row r="136" spans="1:10" ht="120" x14ac:dyDescent="0.35">
      <c r="A136" s="146"/>
      <c r="B136" s="145" t="s">
        <v>17642</v>
      </c>
      <c r="C136" s="145" t="s">
        <v>17641</v>
      </c>
      <c r="D136" s="152" t="s">
        <v>17640</v>
      </c>
      <c r="E136" s="152" t="s">
        <v>17639</v>
      </c>
      <c r="F136" s="152" t="s">
        <v>4853</v>
      </c>
      <c r="G136" s="152" t="s">
        <v>9604</v>
      </c>
      <c r="H136" s="152" t="s">
        <v>17638</v>
      </c>
      <c r="I136" s="152" t="s">
        <v>17637</v>
      </c>
      <c r="J136" s="151" t="s">
        <v>17636</v>
      </c>
    </row>
    <row r="137" spans="1:10" ht="120" x14ac:dyDescent="0.35">
      <c r="A137" s="146"/>
      <c r="B137" s="145"/>
      <c r="C137" s="145"/>
      <c r="D137" s="152" t="s">
        <v>17635</v>
      </c>
      <c r="E137" s="152" t="s">
        <v>17634</v>
      </c>
      <c r="F137" s="152" t="s">
        <v>17565</v>
      </c>
      <c r="G137" s="152" t="s">
        <v>17633</v>
      </c>
      <c r="H137" s="152" t="s">
        <v>17632</v>
      </c>
      <c r="I137" s="152" t="s">
        <v>17631</v>
      </c>
      <c r="J137" s="151" t="s">
        <v>17630</v>
      </c>
    </row>
    <row r="138" spans="1:10" ht="135" x14ac:dyDescent="0.35">
      <c r="A138" s="146"/>
      <c r="B138" s="145"/>
      <c r="C138" s="145"/>
      <c r="D138" s="152" t="s">
        <v>7550</v>
      </c>
      <c r="E138" s="152" t="s">
        <v>17629</v>
      </c>
      <c r="F138" s="152" t="s">
        <v>4853</v>
      </c>
      <c r="G138" s="152" t="s">
        <v>17628</v>
      </c>
      <c r="H138" s="152" t="s">
        <v>17627</v>
      </c>
      <c r="I138" s="152" t="s">
        <v>17626</v>
      </c>
      <c r="J138" s="151" t="s">
        <v>17625</v>
      </c>
    </row>
    <row r="139" spans="1:10" ht="105" x14ac:dyDescent="0.35">
      <c r="A139" s="146"/>
      <c r="B139" s="145"/>
      <c r="C139" s="145"/>
      <c r="D139" s="152" t="s">
        <v>17098</v>
      </c>
      <c r="E139" s="152" t="s">
        <v>17624</v>
      </c>
      <c r="F139" s="152" t="s">
        <v>17577</v>
      </c>
      <c r="G139" s="152" t="s">
        <v>15463</v>
      </c>
      <c r="H139" s="152" t="s">
        <v>16304</v>
      </c>
      <c r="I139" s="152" t="s">
        <v>17440</v>
      </c>
      <c r="J139" s="151" t="s">
        <v>17623</v>
      </c>
    </row>
    <row r="140" spans="1:10" ht="105" x14ac:dyDescent="0.35">
      <c r="A140" s="146"/>
      <c r="B140" s="145"/>
      <c r="C140" s="145"/>
      <c r="D140" s="152" t="s">
        <v>17622</v>
      </c>
      <c r="E140" s="152" t="s">
        <v>17621</v>
      </c>
      <c r="F140" s="152" t="s">
        <v>4853</v>
      </c>
      <c r="G140" s="152" t="s">
        <v>17620</v>
      </c>
      <c r="H140" s="152" t="s">
        <v>17619</v>
      </c>
      <c r="I140" s="152" t="s">
        <v>17618</v>
      </c>
      <c r="J140" s="151" t="s">
        <v>17617</v>
      </c>
    </row>
    <row r="141" spans="1:10" ht="135" x14ac:dyDescent="0.35">
      <c r="A141" s="146"/>
      <c r="B141" s="145"/>
      <c r="C141" s="145" t="s">
        <v>17616</v>
      </c>
      <c r="D141" s="152" t="s">
        <v>17615</v>
      </c>
      <c r="E141" s="152" t="s">
        <v>17614</v>
      </c>
      <c r="F141" s="152" t="s">
        <v>17565</v>
      </c>
      <c r="G141" s="152" t="s">
        <v>5575</v>
      </c>
      <c r="H141" s="152" t="s">
        <v>17613</v>
      </c>
      <c r="I141" s="152" t="s">
        <v>17612</v>
      </c>
      <c r="J141" s="151" t="s">
        <v>17611</v>
      </c>
    </row>
    <row r="142" spans="1:10" ht="105" x14ac:dyDescent="0.35">
      <c r="A142" s="146"/>
      <c r="B142" s="145"/>
      <c r="C142" s="145"/>
      <c r="D142" s="152" t="s">
        <v>17610</v>
      </c>
      <c r="E142" s="152" t="s">
        <v>17609</v>
      </c>
      <c r="F142" s="152" t="s">
        <v>4853</v>
      </c>
      <c r="G142" s="152" t="s">
        <v>17608</v>
      </c>
      <c r="H142" s="152" t="s">
        <v>17607</v>
      </c>
      <c r="I142" s="152" t="s">
        <v>17606</v>
      </c>
      <c r="J142" s="151" t="s">
        <v>17605</v>
      </c>
    </row>
    <row r="143" spans="1:10" ht="90" x14ac:dyDescent="0.35">
      <c r="A143" s="146"/>
      <c r="B143" s="145"/>
      <c r="C143" s="145"/>
      <c r="D143" s="152" t="s">
        <v>17604</v>
      </c>
      <c r="E143" s="152" t="s">
        <v>17603</v>
      </c>
      <c r="F143" s="152" t="s">
        <v>17577</v>
      </c>
      <c r="G143" s="152" t="s">
        <v>17602</v>
      </c>
      <c r="H143" s="152" t="s">
        <v>17601</v>
      </c>
      <c r="I143" s="152" t="s">
        <v>17600</v>
      </c>
      <c r="J143" s="151" t="s">
        <v>17599</v>
      </c>
    </row>
    <row r="144" spans="1:10" ht="120" x14ac:dyDescent="0.35">
      <c r="A144" s="146"/>
      <c r="B144" s="145"/>
      <c r="C144" s="145"/>
      <c r="D144" s="152" t="s">
        <v>17598</v>
      </c>
      <c r="E144" s="152" t="s">
        <v>17597</v>
      </c>
      <c r="F144" s="152" t="s">
        <v>4853</v>
      </c>
      <c r="G144" s="152" t="s">
        <v>17596</v>
      </c>
      <c r="H144" s="152" t="s">
        <v>17595</v>
      </c>
      <c r="I144" s="152" t="s">
        <v>17594</v>
      </c>
      <c r="J144" s="151" t="s">
        <v>17593</v>
      </c>
    </row>
    <row r="145" spans="1:10" ht="120" x14ac:dyDescent="0.35">
      <c r="A145" s="146"/>
      <c r="B145" s="145"/>
      <c r="C145" s="145"/>
      <c r="D145" s="152" t="s">
        <v>17592</v>
      </c>
      <c r="E145" s="152" t="s">
        <v>17591</v>
      </c>
      <c r="F145" s="152" t="s">
        <v>17565</v>
      </c>
      <c r="G145" s="152" t="s">
        <v>17590</v>
      </c>
      <c r="H145" s="152" t="s">
        <v>17589</v>
      </c>
      <c r="I145" s="152" t="s">
        <v>17588</v>
      </c>
      <c r="J145" s="151" t="s">
        <v>17587</v>
      </c>
    </row>
    <row r="146" spans="1:10" ht="120" x14ac:dyDescent="0.35">
      <c r="A146" s="146"/>
      <c r="B146" s="145"/>
      <c r="C146" s="145" t="s">
        <v>17586</v>
      </c>
      <c r="D146" s="152" t="s">
        <v>17585</v>
      </c>
      <c r="E146" s="152" t="s">
        <v>17584</v>
      </c>
      <c r="F146" s="152" t="s">
        <v>4853</v>
      </c>
      <c r="G146" s="152" t="s">
        <v>17583</v>
      </c>
      <c r="H146" s="152" t="s">
        <v>17582</v>
      </c>
      <c r="I146" s="152" t="s">
        <v>17581</v>
      </c>
      <c r="J146" s="151" t="s">
        <v>17580</v>
      </c>
    </row>
    <row r="147" spans="1:10" ht="135" x14ac:dyDescent="0.35">
      <c r="A147" s="146"/>
      <c r="B147" s="145"/>
      <c r="C147" s="145"/>
      <c r="D147" s="152" t="s">
        <v>17579</v>
      </c>
      <c r="E147" s="152" t="s">
        <v>17578</v>
      </c>
      <c r="F147" s="152" t="s">
        <v>17577</v>
      </c>
      <c r="G147" s="152" t="s">
        <v>17576</v>
      </c>
      <c r="H147" s="152" t="s">
        <v>16921</v>
      </c>
      <c r="I147" s="152" t="s">
        <v>17575</v>
      </c>
      <c r="J147" s="151" t="s">
        <v>17574</v>
      </c>
    </row>
    <row r="148" spans="1:10" ht="105" x14ac:dyDescent="0.35">
      <c r="A148" s="146"/>
      <c r="B148" s="145"/>
      <c r="C148" s="145"/>
      <c r="D148" s="152" t="s">
        <v>17573</v>
      </c>
      <c r="E148" s="152" t="s">
        <v>17572</v>
      </c>
      <c r="F148" s="152" t="s">
        <v>4853</v>
      </c>
      <c r="G148" s="152" t="s">
        <v>17571</v>
      </c>
      <c r="H148" s="152" t="s">
        <v>17570</v>
      </c>
      <c r="I148" s="152" t="s">
        <v>17569</v>
      </c>
      <c r="J148" s="151" t="s">
        <v>17568</v>
      </c>
    </row>
    <row r="149" spans="1:10" ht="90" x14ac:dyDescent="0.35">
      <c r="A149" s="146"/>
      <c r="B149" s="145"/>
      <c r="C149" s="145"/>
      <c r="D149" s="152" t="s">
        <v>17567</v>
      </c>
      <c r="E149" s="152" t="s">
        <v>17566</v>
      </c>
      <c r="F149" s="152" t="s">
        <v>17565</v>
      </c>
      <c r="G149" s="152" t="s">
        <v>17564</v>
      </c>
      <c r="H149" s="152" t="s">
        <v>17563</v>
      </c>
      <c r="I149" s="152" t="s">
        <v>17562</v>
      </c>
      <c r="J149" s="151" t="s">
        <v>17561</v>
      </c>
    </row>
    <row r="150" spans="1:10" ht="90" x14ac:dyDescent="0.35">
      <c r="A150" s="146"/>
      <c r="B150" s="145"/>
      <c r="C150" s="145"/>
      <c r="D150" s="152" t="s">
        <v>17560</v>
      </c>
      <c r="E150" s="152" t="s">
        <v>17559</v>
      </c>
      <c r="F150" s="152" t="s">
        <v>4853</v>
      </c>
      <c r="G150" s="152" t="s">
        <v>17558</v>
      </c>
      <c r="H150" s="152" t="s">
        <v>17557</v>
      </c>
      <c r="I150" s="152" t="s">
        <v>17556</v>
      </c>
      <c r="J150" s="151" t="s">
        <v>17555</v>
      </c>
    </row>
    <row r="151" spans="1:10" ht="15.5" x14ac:dyDescent="0.35">
      <c r="A151" s="146"/>
      <c r="B151" s="145"/>
      <c r="C151" s="148" t="s">
        <v>17554</v>
      </c>
      <c r="D151" s="144"/>
      <c r="E151" s="144"/>
      <c r="F151" s="148"/>
      <c r="G151" s="144"/>
      <c r="H151" s="144"/>
      <c r="I151" s="144"/>
      <c r="J151" s="143"/>
    </row>
    <row r="152" spans="1:10" ht="15.5" x14ac:dyDescent="0.35">
      <c r="A152" s="146"/>
      <c r="B152" s="145"/>
      <c r="C152" s="148" t="s">
        <v>17553</v>
      </c>
      <c r="D152" s="144"/>
      <c r="E152" s="144"/>
      <c r="F152" s="148"/>
      <c r="G152" s="144"/>
      <c r="H152" s="144"/>
      <c r="I152" s="144"/>
      <c r="J152" s="143"/>
    </row>
    <row r="153" spans="1:10" ht="93" x14ac:dyDescent="0.35">
      <c r="A153" s="146"/>
      <c r="B153" s="145"/>
      <c r="C153" s="145" t="s">
        <v>17552</v>
      </c>
      <c r="D153" s="144" t="s">
        <v>17551</v>
      </c>
      <c r="E153" s="144" t="s">
        <v>17550</v>
      </c>
      <c r="F153" s="144" t="s">
        <v>4853</v>
      </c>
      <c r="G153" s="144" t="s">
        <v>17549</v>
      </c>
      <c r="H153" s="144" t="s">
        <v>17548</v>
      </c>
      <c r="I153" s="144" t="s">
        <v>17547</v>
      </c>
      <c r="J153" s="143" t="s">
        <v>17546</v>
      </c>
    </row>
    <row r="154" spans="1:10" ht="77.5" x14ac:dyDescent="0.35">
      <c r="A154" s="146"/>
      <c r="B154" s="145"/>
      <c r="C154" s="145"/>
      <c r="D154" s="144" t="s">
        <v>17545</v>
      </c>
      <c r="E154" s="144" t="s">
        <v>17544</v>
      </c>
      <c r="F154" s="144" t="s">
        <v>4853</v>
      </c>
      <c r="G154" s="144" t="s">
        <v>2343</v>
      </c>
      <c r="H154" s="144" t="s">
        <v>16295</v>
      </c>
      <c r="I154" s="144" t="s">
        <v>17543</v>
      </c>
      <c r="J154" s="143" t="s">
        <v>17542</v>
      </c>
    </row>
    <row r="155" spans="1:10" ht="77.5" x14ac:dyDescent="0.35">
      <c r="A155" s="146"/>
      <c r="B155" s="145"/>
      <c r="C155" s="145"/>
      <c r="D155" s="144" t="s">
        <v>17541</v>
      </c>
      <c r="E155" s="144" t="s">
        <v>17540</v>
      </c>
      <c r="F155" s="144" t="s">
        <v>4853</v>
      </c>
      <c r="G155" s="144" t="s">
        <v>16875</v>
      </c>
      <c r="H155" s="144" t="s">
        <v>17539</v>
      </c>
      <c r="I155" s="144" t="s">
        <v>17538</v>
      </c>
      <c r="J155" s="143" t="s">
        <v>17537</v>
      </c>
    </row>
    <row r="156" spans="1:10" ht="62" x14ac:dyDescent="0.35">
      <c r="A156" s="146"/>
      <c r="B156" s="145"/>
      <c r="C156" s="145"/>
      <c r="D156" s="144" t="s">
        <v>17536</v>
      </c>
      <c r="E156" s="144" t="s">
        <v>17535</v>
      </c>
      <c r="F156" s="144" t="s">
        <v>4853</v>
      </c>
      <c r="G156" s="144" t="s">
        <v>17534</v>
      </c>
      <c r="H156" s="144" t="s">
        <v>17533</v>
      </c>
      <c r="I156" s="144" t="s">
        <v>17532</v>
      </c>
      <c r="J156" s="143" t="s">
        <v>17531</v>
      </c>
    </row>
    <row r="157" spans="1:10" ht="77.5" x14ac:dyDescent="0.35">
      <c r="A157" s="146"/>
      <c r="B157" s="145"/>
      <c r="C157" s="145"/>
      <c r="D157" s="144" t="s">
        <v>17462</v>
      </c>
      <c r="E157" s="144" t="s">
        <v>17530</v>
      </c>
      <c r="F157" s="144" t="s">
        <v>4853</v>
      </c>
      <c r="G157" s="144" t="s">
        <v>16892</v>
      </c>
      <c r="H157" s="144" t="s">
        <v>17529</v>
      </c>
      <c r="I157" s="144" t="s">
        <v>17528</v>
      </c>
      <c r="J157" s="143" t="s">
        <v>17527</v>
      </c>
    </row>
    <row r="158" spans="1:10" ht="15.5" x14ac:dyDescent="0.35">
      <c r="A158" s="146"/>
      <c r="B158" s="145"/>
      <c r="C158" s="145" t="s">
        <v>17526</v>
      </c>
      <c r="D158" s="148" t="s">
        <v>17525</v>
      </c>
      <c r="E158" s="148" t="s">
        <v>17524</v>
      </c>
      <c r="F158" s="148" t="s">
        <v>4853</v>
      </c>
      <c r="G158" s="148" t="s">
        <v>8206</v>
      </c>
      <c r="H158" s="148" t="s">
        <v>17523</v>
      </c>
      <c r="I158" s="148" t="s">
        <v>17522</v>
      </c>
      <c r="J158" s="147" t="s">
        <v>17521</v>
      </c>
    </row>
    <row r="159" spans="1:10" ht="15.5" x14ac:dyDescent="0.35">
      <c r="A159" s="146"/>
      <c r="B159" s="145"/>
      <c r="C159" s="145"/>
      <c r="D159" s="148" t="s">
        <v>17520</v>
      </c>
      <c r="E159" s="148" t="s">
        <v>17519</v>
      </c>
      <c r="F159" s="148" t="s">
        <v>4853</v>
      </c>
      <c r="G159" s="148" t="s">
        <v>17518</v>
      </c>
      <c r="H159" s="148" t="s">
        <v>17517</v>
      </c>
      <c r="I159" s="148" t="s">
        <v>17516</v>
      </c>
      <c r="J159" s="147" t="s">
        <v>17515</v>
      </c>
    </row>
    <row r="160" spans="1:10" ht="15.5" x14ac:dyDescent="0.35">
      <c r="A160" s="146"/>
      <c r="B160" s="145"/>
      <c r="C160" s="145"/>
      <c r="D160" s="148" t="s">
        <v>17514</v>
      </c>
      <c r="E160" s="148" t="s">
        <v>17513</v>
      </c>
      <c r="F160" s="148" t="s">
        <v>4853</v>
      </c>
      <c r="G160" s="148" t="s">
        <v>17512</v>
      </c>
      <c r="H160" s="148" t="s">
        <v>17511</v>
      </c>
      <c r="I160" s="148" t="s">
        <v>17510</v>
      </c>
      <c r="J160" s="147" t="s">
        <v>17509</v>
      </c>
    </row>
    <row r="161" spans="1:10" ht="15.5" x14ac:dyDescent="0.35">
      <c r="A161" s="146"/>
      <c r="B161" s="145"/>
      <c r="C161" s="145"/>
      <c r="D161" s="148" t="s">
        <v>17508</v>
      </c>
      <c r="E161" s="148" t="s">
        <v>17507</v>
      </c>
      <c r="F161" s="148" t="s">
        <v>4853</v>
      </c>
      <c r="G161" s="148" t="s">
        <v>17506</v>
      </c>
      <c r="H161" s="148" t="s">
        <v>17505</v>
      </c>
      <c r="I161" s="148" t="s">
        <v>17504</v>
      </c>
      <c r="J161" s="147" t="s">
        <v>17503</v>
      </c>
    </row>
    <row r="162" spans="1:10" ht="15.5" x14ac:dyDescent="0.35">
      <c r="A162" s="146"/>
      <c r="B162" s="145"/>
      <c r="C162" s="145"/>
      <c r="D162" s="148" t="s">
        <v>17502</v>
      </c>
      <c r="E162" s="148" t="s">
        <v>17501</v>
      </c>
      <c r="F162" s="148" t="s">
        <v>4853</v>
      </c>
      <c r="G162" s="148" t="s">
        <v>17500</v>
      </c>
      <c r="H162" s="148" t="s">
        <v>17499</v>
      </c>
      <c r="I162" s="148" t="s">
        <v>16710</v>
      </c>
      <c r="J162" s="147" t="s">
        <v>17498</v>
      </c>
    </row>
    <row r="163" spans="1:10" ht="15.5" x14ac:dyDescent="0.35">
      <c r="A163" s="146"/>
      <c r="B163" s="145"/>
      <c r="C163" s="145" t="s">
        <v>17497</v>
      </c>
      <c r="D163" s="148" t="s">
        <v>17496</v>
      </c>
      <c r="E163" s="148" t="s">
        <v>17495</v>
      </c>
      <c r="F163" s="148" t="s">
        <v>4853</v>
      </c>
      <c r="G163" s="148" t="s">
        <v>8206</v>
      </c>
      <c r="H163" s="148" t="s">
        <v>17494</v>
      </c>
      <c r="I163" s="148" t="s">
        <v>17493</v>
      </c>
      <c r="J163" s="147" t="s">
        <v>17492</v>
      </c>
    </row>
    <row r="164" spans="1:10" ht="15.5" x14ac:dyDescent="0.35">
      <c r="A164" s="146"/>
      <c r="B164" s="145"/>
      <c r="C164" s="145"/>
      <c r="D164" s="148" t="s">
        <v>17491</v>
      </c>
      <c r="E164" s="148" t="s">
        <v>17490</v>
      </c>
      <c r="F164" s="148" t="s">
        <v>4853</v>
      </c>
      <c r="G164" s="148" t="s">
        <v>16881</v>
      </c>
      <c r="H164" s="148" t="s">
        <v>17140</v>
      </c>
      <c r="I164" s="148" t="s">
        <v>17489</v>
      </c>
      <c r="J164" s="147" t="s">
        <v>17488</v>
      </c>
    </row>
    <row r="165" spans="1:10" ht="15.5" x14ac:dyDescent="0.35">
      <c r="A165" s="146"/>
      <c r="B165" s="145"/>
      <c r="C165" s="145"/>
      <c r="D165" s="148" t="s">
        <v>17487</v>
      </c>
      <c r="E165" s="148" t="s">
        <v>17486</v>
      </c>
      <c r="F165" s="148" t="s">
        <v>4853</v>
      </c>
      <c r="G165" s="148" t="s">
        <v>16305</v>
      </c>
      <c r="H165" s="148" t="s">
        <v>16728</v>
      </c>
      <c r="I165" s="148" t="s">
        <v>17485</v>
      </c>
      <c r="J165" s="147" t="s">
        <v>17484</v>
      </c>
    </row>
    <row r="166" spans="1:10" ht="15.5" x14ac:dyDescent="0.35">
      <c r="A166" s="146"/>
      <c r="B166" s="145"/>
      <c r="C166" s="145"/>
      <c r="D166" s="148" t="s">
        <v>17150</v>
      </c>
      <c r="E166" s="148" t="s">
        <v>17483</v>
      </c>
      <c r="F166" s="148" t="s">
        <v>4853</v>
      </c>
      <c r="G166" s="148" t="s">
        <v>17482</v>
      </c>
      <c r="H166" s="148" t="s">
        <v>16734</v>
      </c>
      <c r="I166" s="148" t="s">
        <v>17481</v>
      </c>
      <c r="J166" s="147" t="s">
        <v>17480</v>
      </c>
    </row>
    <row r="167" spans="1:10" ht="15.5" x14ac:dyDescent="0.35">
      <c r="A167" s="146"/>
      <c r="B167" s="145"/>
      <c r="C167" s="145"/>
      <c r="D167" s="148" t="s">
        <v>17479</v>
      </c>
      <c r="E167" s="148" t="s">
        <v>17478</v>
      </c>
      <c r="F167" s="148" t="s">
        <v>4853</v>
      </c>
      <c r="G167" s="148" t="s">
        <v>17477</v>
      </c>
      <c r="H167" s="148" t="s">
        <v>17476</v>
      </c>
      <c r="I167" s="148" t="s">
        <v>17475</v>
      </c>
      <c r="J167" s="147" t="s">
        <v>17474</v>
      </c>
    </row>
    <row r="168" spans="1:10" ht="77.5" x14ac:dyDescent="0.35">
      <c r="A168" s="146"/>
      <c r="B168" s="145"/>
      <c r="C168" s="145" t="s">
        <v>17473</v>
      </c>
      <c r="D168" s="144" t="s">
        <v>17472</v>
      </c>
      <c r="E168" s="144" t="s">
        <v>17471</v>
      </c>
      <c r="F168" s="144" t="s">
        <v>4853</v>
      </c>
      <c r="G168" s="144" t="s">
        <v>15436</v>
      </c>
      <c r="H168" s="144" t="s">
        <v>17232</v>
      </c>
      <c r="I168" s="144" t="s">
        <v>17470</v>
      </c>
      <c r="J168" s="143" t="s">
        <v>17469</v>
      </c>
    </row>
    <row r="169" spans="1:10" ht="62" x14ac:dyDescent="0.35">
      <c r="A169" s="146"/>
      <c r="B169" s="145"/>
      <c r="C169" s="145"/>
      <c r="D169" s="144" t="s">
        <v>17468</v>
      </c>
      <c r="E169" s="144" t="s">
        <v>17467</v>
      </c>
      <c r="F169" s="144" t="s">
        <v>4853</v>
      </c>
      <c r="G169" s="144" t="s">
        <v>17466</v>
      </c>
      <c r="H169" s="144" t="s">
        <v>17465</v>
      </c>
      <c r="I169" s="144" t="s">
        <v>17464</v>
      </c>
      <c r="J169" s="143" t="s">
        <v>17463</v>
      </c>
    </row>
    <row r="170" spans="1:10" ht="93" x14ac:dyDescent="0.35">
      <c r="A170" s="146"/>
      <c r="B170" s="145"/>
      <c r="C170" s="145"/>
      <c r="D170" s="144" t="s">
        <v>17462</v>
      </c>
      <c r="E170" s="144" t="s">
        <v>17461</v>
      </c>
      <c r="F170" s="144" t="s">
        <v>4853</v>
      </c>
      <c r="G170" s="144" t="s">
        <v>17420</v>
      </c>
      <c r="H170" s="144" t="s">
        <v>17460</v>
      </c>
      <c r="I170" s="144" t="s">
        <v>17459</v>
      </c>
      <c r="J170" s="143" t="s">
        <v>17458</v>
      </c>
    </row>
    <row r="171" spans="1:10" ht="77.5" x14ac:dyDescent="0.35">
      <c r="A171" s="146"/>
      <c r="B171" s="145"/>
      <c r="C171" s="145"/>
      <c r="D171" s="144" t="s">
        <v>17457</v>
      </c>
      <c r="E171" s="144" t="s">
        <v>17456</v>
      </c>
      <c r="F171" s="144" t="s">
        <v>4853</v>
      </c>
      <c r="G171" s="144" t="s">
        <v>17455</v>
      </c>
      <c r="H171" s="144" t="s">
        <v>17454</v>
      </c>
      <c r="I171" s="144" t="s">
        <v>17453</v>
      </c>
      <c r="J171" s="143" t="s">
        <v>17452</v>
      </c>
    </row>
    <row r="172" spans="1:10" ht="108.5" x14ac:dyDescent="0.35">
      <c r="A172" s="146"/>
      <c r="B172" s="145"/>
      <c r="C172" s="145"/>
      <c r="D172" s="144" t="s">
        <v>17451</v>
      </c>
      <c r="E172" s="144" t="s">
        <v>17450</v>
      </c>
      <c r="F172" s="144" t="s">
        <v>4853</v>
      </c>
      <c r="G172" s="144" t="s">
        <v>17449</v>
      </c>
      <c r="H172" s="144" t="s">
        <v>17448</v>
      </c>
      <c r="I172" s="144" t="s">
        <v>17447</v>
      </c>
      <c r="J172" s="143" t="s">
        <v>17446</v>
      </c>
    </row>
    <row r="173" spans="1:10" ht="15.5" x14ac:dyDescent="0.35">
      <c r="A173" s="146"/>
      <c r="B173" s="145" t="s">
        <v>17445</v>
      </c>
      <c r="C173" s="145" t="s">
        <v>17444</v>
      </c>
      <c r="D173" s="148" t="s">
        <v>17443</v>
      </c>
      <c r="E173" s="148" t="s">
        <v>17442</v>
      </c>
      <c r="F173" s="148" t="s">
        <v>4853</v>
      </c>
      <c r="G173" s="148" t="s">
        <v>17441</v>
      </c>
      <c r="H173" s="148" t="s">
        <v>17440</v>
      </c>
      <c r="I173" s="148" t="s">
        <v>17439</v>
      </c>
      <c r="J173" s="147" t="s">
        <v>17438</v>
      </c>
    </row>
    <row r="174" spans="1:10" ht="15.5" x14ac:dyDescent="0.35">
      <c r="A174" s="146"/>
      <c r="B174" s="145"/>
      <c r="C174" s="145"/>
      <c r="D174" s="148" t="s">
        <v>17437</v>
      </c>
      <c r="E174" s="148" t="s">
        <v>17436</v>
      </c>
      <c r="F174" s="148" t="s">
        <v>4853</v>
      </c>
      <c r="G174" s="148" t="s">
        <v>17435</v>
      </c>
      <c r="H174" s="148" t="s">
        <v>17434</v>
      </c>
      <c r="I174" s="148" t="s">
        <v>17433</v>
      </c>
      <c r="J174" s="147" t="s">
        <v>17432</v>
      </c>
    </row>
    <row r="175" spans="1:10" ht="15.5" x14ac:dyDescent="0.35">
      <c r="A175" s="146"/>
      <c r="B175" s="145"/>
      <c r="C175" s="145"/>
      <c r="D175" s="148" t="s">
        <v>17431</v>
      </c>
      <c r="E175" s="148" t="s">
        <v>17430</v>
      </c>
      <c r="F175" s="148" t="s">
        <v>4853</v>
      </c>
      <c r="G175" s="148" t="s">
        <v>17429</v>
      </c>
      <c r="H175" s="148" t="s">
        <v>17095</v>
      </c>
      <c r="I175" s="148" t="s">
        <v>17428</v>
      </c>
      <c r="J175" s="147" t="s">
        <v>17427</v>
      </c>
    </row>
    <row r="176" spans="1:10" ht="15.5" x14ac:dyDescent="0.35">
      <c r="A176" s="146"/>
      <c r="B176" s="145"/>
      <c r="C176" s="145"/>
      <c r="D176" s="148" t="s">
        <v>17426</v>
      </c>
      <c r="E176" s="148" t="s">
        <v>17425</v>
      </c>
      <c r="F176" s="148" t="s">
        <v>4853</v>
      </c>
      <c r="G176" s="148" t="s">
        <v>15463</v>
      </c>
      <c r="H176" s="148" t="s">
        <v>17424</v>
      </c>
      <c r="I176" s="148" t="s">
        <v>17423</v>
      </c>
      <c r="J176" s="147" t="s">
        <v>17422</v>
      </c>
    </row>
    <row r="177" spans="1:10" ht="15.5" x14ac:dyDescent="0.35">
      <c r="A177" s="146"/>
      <c r="B177" s="145"/>
      <c r="C177" s="145"/>
      <c r="D177" s="148" t="s">
        <v>9225</v>
      </c>
      <c r="E177" s="148" t="s">
        <v>17421</v>
      </c>
      <c r="F177" s="148" t="s">
        <v>4853</v>
      </c>
      <c r="G177" s="148" t="s">
        <v>17420</v>
      </c>
      <c r="H177" s="148" t="s">
        <v>17419</v>
      </c>
      <c r="I177" s="148" t="s">
        <v>17418</v>
      </c>
      <c r="J177" s="147" t="s">
        <v>17417</v>
      </c>
    </row>
    <row r="178" spans="1:10" ht="77.5" x14ac:dyDescent="0.35">
      <c r="A178" s="146"/>
      <c r="B178" s="145"/>
      <c r="C178" s="145" t="s">
        <v>17416</v>
      </c>
      <c r="D178" s="144" t="s">
        <v>17415</v>
      </c>
      <c r="E178" s="144" t="s">
        <v>17414</v>
      </c>
      <c r="F178" s="144" t="s">
        <v>4853</v>
      </c>
      <c r="G178" s="144" t="s">
        <v>17351</v>
      </c>
      <c r="H178" s="144" t="s">
        <v>17413</v>
      </c>
      <c r="I178" s="144" t="s">
        <v>17412</v>
      </c>
      <c r="J178" s="143" t="s">
        <v>17411</v>
      </c>
    </row>
    <row r="179" spans="1:10" ht="77.5" x14ac:dyDescent="0.35">
      <c r="A179" s="146"/>
      <c r="B179" s="145"/>
      <c r="C179" s="145"/>
      <c r="D179" s="144" t="s">
        <v>17410</v>
      </c>
      <c r="E179" s="144" t="s">
        <v>17409</v>
      </c>
      <c r="F179" s="144" t="s">
        <v>4853</v>
      </c>
      <c r="G179" s="144" t="s">
        <v>17408</v>
      </c>
      <c r="H179" s="144" t="s">
        <v>17407</v>
      </c>
      <c r="I179" s="144" t="s">
        <v>17406</v>
      </c>
      <c r="J179" s="143" t="s">
        <v>17405</v>
      </c>
    </row>
    <row r="180" spans="1:10" ht="77.5" x14ac:dyDescent="0.35">
      <c r="A180" s="146"/>
      <c r="B180" s="145"/>
      <c r="C180" s="145"/>
      <c r="D180" s="144" t="s">
        <v>17404</v>
      </c>
      <c r="E180" s="144" t="s">
        <v>17403</v>
      </c>
      <c r="F180" s="144" t="s">
        <v>4853</v>
      </c>
      <c r="G180" s="144" t="s">
        <v>17402</v>
      </c>
      <c r="H180" s="144" t="s">
        <v>17401</v>
      </c>
      <c r="I180" s="144" t="s">
        <v>17400</v>
      </c>
      <c r="J180" s="143" t="s">
        <v>17399</v>
      </c>
    </row>
    <row r="181" spans="1:10" ht="108.5" x14ac:dyDescent="0.35">
      <c r="A181" s="146"/>
      <c r="B181" s="145"/>
      <c r="C181" s="145"/>
      <c r="D181" s="144" t="s">
        <v>17398</v>
      </c>
      <c r="E181" s="144" t="s">
        <v>17397</v>
      </c>
      <c r="F181" s="144" t="s">
        <v>4853</v>
      </c>
      <c r="G181" s="144" t="s">
        <v>17396</v>
      </c>
      <c r="H181" s="144" t="s">
        <v>17395</v>
      </c>
      <c r="I181" s="144" t="s">
        <v>17394</v>
      </c>
      <c r="J181" s="143" t="s">
        <v>17393</v>
      </c>
    </row>
    <row r="182" spans="1:10" ht="108.5" x14ac:dyDescent="0.35">
      <c r="A182" s="146"/>
      <c r="B182" s="145"/>
      <c r="C182" s="145"/>
      <c r="D182" s="144" t="s">
        <v>17392</v>
      </c>
      <c r="E182" s="144" t="s">
        <v>17391</v>
      </c>
      <c r="F182" s="144" t="s">
        <v>4853</v>
      </c>
      <c r="G182" s="144" t="s">
        <v>17390</v>
      </c>
      <c r="H182" s="144" t="s">
        <v>17389</v>
      </c>
      <c r="I182" s="144" t="s">
        <v>17308</v>
      </c>
      <c r="J182" s="143" t="s">
        <v>17388</v>
      </c>
    </row>
    <row r="183" spans="1:10" ht="93" x14ac:dyDescent="0.35">
      <c r="A183" s="146"/>
      <c r="B183" s="145"/>
      <c r="C183" s="145" t="s">
        <v>17387</v>
      </c>
      <c r="D183" s="144" t="s">
        <v>17386</v>
      </c>
      <c r="E183" s="144" t="s">
        <v>17385</v>
      </c>
      <c r="F183" s="144" t="s">
        <v>4853</v>
      </c>
      <c r="G183" s="144" t="s">
        <v>17384</v>
      </c>
      <c r="H183" s="144" t="s">
        <v>17383</v>
      </c>
      <c r="I183" s="144" t="s">
        <v>17382</v>
      </c>
      <c r="J183" s="143" t="s">
        <v>17381</v>
      </c>
    </row>
    <row r="184" spans="1:10" ht="93" x14ac:dyDescent="0.35">
      <c r="A184" s="146"/>
      <c r="B184" s="145"/>
      <c r="C184" s="145"/>
      <c r="D184" s="144" t="s">
        <v>17380</v>
      </c>
      <c r="E184" s="144" t="s">
        <v>17379</v>
      </c>
      <c r="F184" s="144" t="s">
        <v>4853</v>
      </c>
      <c r="G184" s="144" t="s">
        <v>17167</v>
      </c>
      <c r="H184" s="144" t="s">
        <v>17378</v>
      </c>
      <c r="I184" s="144" t="s">
        <v>17377</v>
      </c>
      <c r="J184" s="143" t="s">
        <v>17376</v>
      </c>
    </row>
    <row r="185" spans="1:10" ht="93" x14ac:dyDescent="0.35">
      <c r="A185" s="146"/>
      <c r="B185" s="145"/>
      <c r="C185" s="145"/>
      <c r="D185" s="144" t="s">
        <v>4910</v>
      </c>
      <c r="E185" s="144" t="s">
        <v>17375</v>
      </c>
      <c r="F185" s="144" t="s">
        <v>4853</v>
      </c>
      <c r="G185" s="144" t="s">
        <v>17374</v>
      </c>
      <c r="H185" s="144" t="s">
        <v>17373</v>
      </c>
      <c r="I185" s="144" t="s">
        <v>17372</v>
      </c>
      <c r="J185" s="143" t="s">
        <v>17371</v>
      </c>
    </row>
    <row r="186" spans="1:10" ht="108.5" x14ac:dyDescent="0.35">
      <c r="A186" s="146"/>
      <c r="B186" s="145"/>
      <c r="C186" s="145"/>
      <c r="D186" s="144" t="s">
        <v>17370</v>
      </c>
      <c r="E186" s="144" t="s">
        <v>17369</v>
      </c>
      <c r="F186" s="144" t="s">
        <v>4853</v>
      </c>
      <c r="G186" s="144" t="s">
        <v>17351</v>
      </c>
      <c r="H186" s="144" t="s">
        <v>16838</v>
      </c>
      <c r="I186" s="144" t="s">
        <v>17368</v>
      </c>
      <c r="J186" s="143" t="s">
        <v>17367</v>
      </c>
    </row>
    <row r="187" spans="1:10" ht="93" x14ac:dyDescent="0.35">
      <c r="A187" s="146"/>
      <c r="B187" s="145"/>
      <c r="C187" s="145"/>
      <c r="D187" s="144" t="s">
        <v>17366</v>
      </c>
      <c r="E187" s="144" t="s">
        <v>17365</v>
      </c>
      <c r="F187" s="144" t="s">
        <v>4853</v>
      </c>
      <c r="G187" s="144" t="s">
        <v>17364</v>
      </c>
      <c r="H187" s="144" t="s">
        <v>17363</v>
      </c>
      <c r="I187" s="144" t="s">
        <v>17362</v>
      </c>
      <c r="J187" s="143" t="s">
        <v>17361</v>
      </c>
    </row>
    <row r="188" spans="1:10" ht="77.5" x14ac:dyDescent="0.35">
      <c r="A188" s="146"/>
      <c r="B188" s="145"/>
      <c r="C188" s="145" t="s">
        <v>17360</v>
      </c>
      <c r="D188" s="144" t="s">
        <v>17359</v>
      </c>
      <c r="E188" s="144" t="s">
        <v>17358</v>
      </c>
      <c r="F188" s="144" t="s">
        <v>4853</v>
      </c>
      <c r="G188" s="144" t="s">
        <v>17357</v>
      </c>
      <c r="H188" s="144" t="s">
        <v>17356</v>
      </c>
      <c r="I188" s="144" t="s">
        <v>17355</v>
      </c>
      <c r="J188" s="143" t="s">
        <v>17354</v>
      </c>
    </row>
    <row r="189" spans="1:10" ht="62" x14ac:dyDescent="0.35">
      <c r="A189" s="146"/>
      <c r="B189" s="145"/>
      <c r="C189" s="145"/>
      <c r="D189" s="144" t="s">
        <v>17353</v>
      </c>
      <c r="E189" s="144" t="s">
        <v>17352</v>
      </c>
      <c r="F189" s="144" t="s">
        <v>4853</v>
      </c>
      <c r="G189" s="144" t="s">
        <v>17351</v>
      </c>
      <c r="H189" s="144" t="s">
        <v>17350</v>
      </c>
      <c r="I189" s="144" t="s">
        <v>17349</v>
      </c>
      <c r="J189" s="143" t="s">
        <v>17348</v>
      </c>
    </row>
    <row r="190" spans="1:10" ht="93" x14ac:dyDescent="0.35">
      <c r="A190" s="146"/>
      <c r="B190" s="145"/>
      <c r="C190" s="145"/>
      <c r="D190" s="144" t="s">
        <v>17347</v>
      </c>
      <c r="E190" s="144" t="s">
        <v>17346</v>
      </c>
      <c r="F190" s="144" t="s">
        <v>4853</v>
      </c>
      <c r="G190" s="144" t="s">
        <v>17345</v>
      </c>
      <c r="H190" s="144" t="s">
        <v>17344</v>
      </c>
      <c r="I190" s="144" t="s">
        <v>17343</v>
      </c>
      <c r="J190" s="143" t="s">
        <v>17342</v>
      </c>
    </row>
    <row r="191" spans="1:10" ht="93" x14ac:dyDescent="0.35">
      <c r="A191" s="146"/>
      <c r="B191" s="145"/>
      <c r="C191" s="145"/>
      <c r="D191" s="144" t="s">
        <v>17341</v>
      </c>
      <c r="E191" s="144" t="s">
        <v>17340</v>
      </c>
      <c r="F191" s="144" t="s">
        <v>4853</v>
      </c>
      <c r="G191" s="144" t="s">
        <v>17339</v>
      </c>
      <c r="H191" s="144" t="s">
        <v>17338</v>
      </c>
      <c r="I191" s="144" t="s">
        <v>1672</v>
      </c>
      <c r="J191" s="143" t="s">
        <v>17337</v>
      </c>
    </row>
    <row r="192" spans="1:10" ht="77.5" x14ac:dyDescent="0.35">
      <c r="A192" s="146"/>
      <c r="B192" s="145"/>
      <c r="C192" s="145"/>
      <c r="D192" s="144" t="s">
        <v>17336</v>
      </c>
      <c r="E192" s="144" t="s">
        <v>17335</v>
      </c>
      <c r="F192" s="144" t="s">
        <v>4853</v>
      </c>
      <c r="G192" s="144" t="s">
        <v>17334</v>
      </c>
      <c r="H192" s="144" t="s">
        <v>17333</v>
      </c>
      <c r="I192" s="144" t="s">
        <v>17332</v>
      </c>
      <c r="J192" s="143" t="s">
        <v>17331</v>
      </c>
    </row>
    <row r="193" spans="1:10" ht="124" x14ac:dyDescent="0.35">
      <c r="A193" s="146"/>
      <c r="B193" s="145"/>
      <c r="C193" s="145" t="s">
        <v>17330</v>
      </c>
      <c r="D193" s="144" t="s">
        <v>17329</v>
      </c>
      <c r="E193" s="144" t="s">
        <v>17328</v>
      </c>
      <c r="F193" s="144" t="s">
        <v>4853</v>
      </c>
      <c r="G193" s="144" t="s">
        <v>17327</v>
      </c>
      <c r="H193" s="144" t="s">
        <v>17326</v>
      </c>
      <c r="I193" s="144" t="s">
        <v>17325</v>
      </c>
      <c r="J193" s="143" t="s">
        <v>17324</v>
      </c>
    </row>
    <row r="194" spans="1:10" ht="77.5" x14ac:dyDescent="0.35">
      <c r="A194" s="146"/>
      <c r="B194" s="145"/>
      <c r="C194" s="145"/>
      <c r="D194" s="144" t="s">
        <v>17323</v>
      </c>
      <c r="E194" s="144" t="s">
        <v>17322</v>
      </c>
      <c r="F194" s="144" t="s">
        <v>4853</v>
      </c>
      <c r="G194" s="144" t="s">
        <v>17321</v>
      </c>
      <c r="H194" s="144" t="s">
        <v>17320</v>
      </c>
      <c r="I194" s="144" t="s">
        <v>17319</v>
      </c>
      <c r="J194" s="143" t="s">
        <v>17318</v>
      </c>
    </row>
    <row r="195" spans="1:10" ht="93" x14ac:dyDescent="0.35">
      <c r="A195" s="146"/>
      <c r="B195" s="145"/>
      <c r="C195" s="145"/>
      <c r="D195" s="144" t="s">
        <v>17317</v>
      </c>
      <c r="E195" s="144" t="s">
        <v>17316</v>
      </c>
      <c r="F195" s="144" t="s">
        <v>4853</v>
      </c>
      <c r="G195" s="144" t="s">
        <v>17315</v>
      </c>
      <c r="H195" s="144" t="s">
        <v>17314</v>
      </c>
      <c r="I195" s="144" t="s">
        <v>17313</v>
      </c>
      <c r="J195" s="143" t="s">
        <v>17312</v>
      </c>
    </row>
    <row r="196" spans="1:10" ht="62" x14ac:dyDescent="0.35">
      <c r="A196" s="146"/>
      <c r="B196" s="145"/>
      <c r="C196" s="145"/>
      <c r="D196" s="144" t="s">
        <v>17311</v>
      </c>
      <c r="E196" s="144" t="s">
        <v>17310</v>
      </c>
      <c r="F196" s="144" t="s">
        <v>4853</v>
      </c>
      <c r="G196" s="144" t="s">
        <v>17309</v>
      </c>
      <c r="H196" s="144" t="s">
        <v>17095</v>
      </c>
      <c r="I196" s="144" t="s">
        <v>17308</v>
      </c>
      <c r="J196" s="143" t="s">
        <v>17307</v>
      </c>
    </row>
    <row r="197" spans="1:10" ht="77.5" x14ac:dyDescent="0.35">
      <c r="A197" s="146"/>
      <c r="B197" s="145"/>
      <c r="C197" s="145"/>
      <c r="D197" s="144" t="s">
        <v>17306</v>
      </c>
      <c r="E197" s="144" t="s">
        <v>17305</v>
      </c>
      <c r="F197" s="144" t="s">
        <v>4853</v>
      </c>
      <c r="G197" s="144" t="s">
        <v>17304</v>
      </c>
      <c r="H197" s="144" t="s">
        <v>17303</v>
      </c>
      <c r="I197" s="144" t="s">
        <v>17302</v>
      </c>
      <c r="J197" s="143" t="s">
        <v>17301</v>
      </c>
    </row>
    <row r="198" spans="1:10" ht="108.5" x14ac:dyDescent="0.35">
      <c r="A198" s="146"/>
      <c r="B198" s="145" t="s">
        <v>17300</v>
      </c>
      <c r="C198" s="145" t="s">
        <v>17299</v>
      </c>
      <c r="D198" s="144" t="s">
        <v>17298</v>
      </c>
      <c r="E198" s="144" t="s">
        <v>17297</v>
      </c>
      <c r="F198" s="144" t="s">
        <v>4853</v>
      </c>
      <c r="G198" s="144" t="s">
        <v>17296</v>
      </c>
      <c r="H198" s="144" t="s">
        <v>17295</v>
      </c>
      <c r="I198" s="144" t="s">
        <v>17294</v>
      </c>
      <c r="J198" s="143" t="s">
        <v>17293</v>
      </c>
    </row>
    <row r="199" spans="1:10" ht="77.5" x14ac:dyDescent="0.35">
      <c r="A199" s="146"/>
      <c r="B199" s="145"/>
      <c r="C199" s="145"/>
      <c r="D199" s="144" t="s">
        <v>17292</v>
      </c>
      <c r="E199" s="144" t="s">
        <v>17291</v>
      </c>
      <c r="F199" s="144" t="s">
        <v>4853</v>
      </c>
      <c r="G199" s="144" t="s">
        <v>17061</v>
      </c>
      <c r="H199" s="144" t="s">
        <v>17290</v>
      </c>
      <c r="I199" s="144" t="s">
        <v>17289</v>
      </c>
      <c r="J199" s="143" t="s">
        <v>17288</v>
      </c>
    </row>
    <row r="200" spans="1:10" ht="93" x14ac:dyDescent="0.35">
      <c r="A200" s="146"/>
      <c r="B200" s="145"/>
      <c r="C200" s="145"/>
      <c r="D200" s="144" t="s">
        <v>17016</v>
      </c>
      <c r="E200" s="144" t="s">
        <v>17287</v>
      </c>
      <c r="F200" s="144" t="s">
        <v>4853</v>
      </c>
      <c r="G200" s="144" t="s">
        <v>17286</v>
      </c>
      <c r="H200" s="144" t="s">
        <v>17285</v>
      </c>
      <c r="I200" s="144" t="s">
        <v>17284</v>
      </c>
      <c r="J200" s="143" t="s">
        <v>17283</v>
      </c>
    </row>
    <row r="201" spans="1:10" ht="108.5" x14ac:dyDescent="0.35">
      <c r="A201" s="146"/>
      <c r="B201" s="145"/>
      <c r="C201" s="145"/>
      <c r="D201" s="144" t="s">
        <v>17282</v>
      </c>
      <c r="E201" s="144" t="s">
        <v>17281</v>
      </c>
      <c r="F201" s="144" t="s">
        <v>4853</v>
      </c>
      <c r="G201" s="144" t="s">
        <v>17280</v>
      </c>
      <c r="H201" s="144" t="s">
        <v>17279</v>
      </c>
      <c r="I201" s="144" t="s">
        <v>17278</v>
      </c>
      <c r="J201" s="143" t="s">
        <v>17277</v>
      </c>
    </row>
    <row r="202" spans="1:10" ht="93" x14ac:dyDescent="0.35">
      <c r="A202" s="146"/>
      <c r="B202" s="145"/>
      <c r="C202" s="145"/>
      <c r="D202" s="144" t="s">
        <v>17276</v>
      </c>
      <c r="E202" s="144" t="s">
        <v>17275</v>
      </c>
      <c r="F202" s="144" t="s">
        <v>4853</v>
      </c>
      <c r="G202" s="144" t="s">
        <v>17274</v>
      </c>
      <c r="H202" s="144" t="s">
        <v>17273</v>
      </c>
      <c r="I202" s="144" t="s">
        <v>17272</v>
      </c>
      <c r="J202" s="143" t="s">
        <v>17271</v>
      </c>
    </row>
    <row r="203" spans="1:10" ht="124" x14ac:dyDescent="0.35">
      <c r="A203" s="146"/>
      <c r="B203" s="145"/>
      <c r="C203" s="145" t="s">
        <v>17270</v>
      </c>
      <c r="D203" s="144" t="s">
        <v>17269</v>
      </c>
      <c r="E203" s="144" t="s">
        <v>17268</v>
      </c>
      <c r="F203" s="144" t="s">
        <v>4853</v>
      </c>
      <c r="G203" s="144" t="s">
        <v>17267</v>
      </c>
      <c r="H203" s="144" t="s">
        <v>17266</v>
      </c>
      <c r="I203" s="144" t="s">
        <v>16734</v>
      </c>
      <c r="J203" s="143" t="s">
        <v>17265</v>
      </c>
    </row>
    <row r="204" spans="1:10" ht="93" x14ac:dyDescent="0.35">
      <c r="A204" s="146"/>
      <c r="B204" s="145"/>
      <c r="C204" s="145"/>
      <c r="D204" s="144" t="s">
        <v>17264</v>
      </c>
      <c r="E204" s="144" t="s">
        <v>17263</v>
      </c>
      <c r="F204" s="144" t="s">
        <v>4853</v>
      </c>
      <c r="G204" s="144" t="s">
        <v>17262</v>
      </c>
      <c r="H204" s="144" t="s">
        <v>17261</v>
      </c>
      <c r="I204" s="144" t="s">
        <v>17260</v>
      </c>
      <c r="J204" s="143" t="s">
        <v>17259</v>
      </c>
    </row>
    <row r="205" spans="1:10" ht="77.5" x14ac:dyDescent="0.35">
      <c r="A205" s="146"/>
      <c r="B205" s="145"/>
      <c r="C205" s="145"/>
      <c r="D205" s="144" t="s">
        <v>17258</v>
      </c>
      <c r="E205" s="144" t="s">
        <v>17257</v>
      </c>
      <c r="F205" s="144" t="s">
        <v>4853</v>
      </c>
      <c r="G205" s="144" t="s">
        <v>17233</v>
      </c>
      <c r="H205" s="144" t="s">
        <v>17256</v>
      </c>
      <c r="I205" s="144" t="s">
        <v>17255</v>
      </c>
      <c r="J205" s="143" t="s">
        <v>17254</v>
      </c>
    </row>
    <row r="206" spans="1:10" ht="62" x14ac:dyDescent="0.35">
      <c r="A206" s="146"/>
      <c r="B206" s="145"/>
      <c r="C206" s="145"/>
      <c r="D206" s="144" t="s">
        <v>17253</v>
      </c>
      <c r="E206" s="144" t="s">
        <v>17252</v>
      </c>
      <c r="F206" s="144" t="s">
        <v>4853</v>
      </c>
      <c r="G206" s="144" t="s">
        <v>15538</v>
      </c>
      <c r="H206" s="144" t="s">
        <v>17251</v>
      </c>
      <c r="I206" s="144" t="s">
        <v>17250</v>
      </c>
      <c r="J206" s="143" t="s">
        <v>17249</v>
      </c>
    </row>
    <row r="207" spans="1:10" ht="77.5" x14ac:dyDescent="0.35">
      <c r="A207" s="146"/>
      <c r="B207" s="145"/>
      <c r="C207" s="145"/>
      <c r="D207" s="144" t="s">
        <v>17248</v>
      </c>
      <c r="E207" s="144" t="s">
        <v>17247</v>
      </c>
      <c r="F207" s="144" t="s">
        <v>4853</v>
      </c>
      <c r="G207" s="144" t="s">
        <v>17246</v>
      </c>
      <c r="H207" s="144" t="s">
        <v>17245</v>
      </c>
      <c r="I207" s="144" t="s">
        <v>17244</v>
      </c>
      <c r="J207" s="143" t="s">
        <v>17243</v>
      </c>
    </row>
    <row r="208" spans="1:10" ht="108.5" x14ac:dyDescent="0.35">
      <c r="A208" s="146"/>
      <c r="B208" s="145"/>
      <c r="C208" s="145" t="s">
        <v>17242</v>
      </c>
      <c r="D208" s="144" t="s">
        <v>17241</v>
      </c>
      <c r="E208" s="144" t="s">
        <v>17240</v>
      </c>
      <c r="F208" s="144" t="s">
        <v>4853</v>
      </c>
      <c r="G208" s="144" t="s">
        <v>17239</v>
      </c>
      <c r="H208" s="144" t="s">
        <v>17238</v>
      </c>
      <c r="I208" s="144" t="s">
        <v>17237</v>
      </c>
      <c r="J208" s="143" t="s">
        <v>17236</v>
      </c>
    </row>
    <row r="209" spans="1:10" ht="93" x14ac:dyDescent="0.35">
      <c r="A209" s="146"/>
      <c r="B209" s="145"/>
      <c r="C209" s="145"/>
      <c r="D209" s="144" t="s">
        <v>17235</v>
      </c>
      <c r="E209" s="144" t="s">
        <v>17234</v>
      </c>
      <c r="F209" s="144" t="s">
        <v>4853</v>
      </c>
      <c r="G209" s="144" t="s">
        <v>17233</v>
      </c>
      <c r="H209" s="144" t="s">
        <v>17232</v>
      </c>
      <c r="I209" s="144" t="s">
        <v>17231</v>
      </c>
      <c r="J209" s="143" t="s">
        <v>17230</v>
      </c>
    </row>
    <row r="210" spans="1:10" ht="124" x14ac:dyDescent="0.35">
      <c r="A210" s="146"/>
      <c r="B210" s="145"/>
      <c r="C210" s="145"/>
      <c r="D210" s="144" t="s">
        <v>17229</v>
      </c>
      <c r="E210" s="144" t="s">
        <v>17228</v>
      </c>
      <c r="F210" s="144" t="s">
        <v>4853</v>
      </c>
      <c r="G210" s="144" t="s">
        <v>17227</v>
      </c>
      <c r="H210" s="144" t="s">
        <v>17226</v>
      </c>
      <c r="I210" s="144" t="s">
        <v>17225</v>
      </c>
      <c r="J210" s="143" t="s">
        <v>17224</v>
      </c>
    </row>
    <row r="211" spans="1:10" ht="108.5" x14ac:dyDescent="0.35">
      <c r="A211" s="146"/>
      <c r="B211" s="145"/>
      <c r="C211" s="145"/>
      <c r="D211" s="144" t="s">
        <v>17223</v>
      </c>
      <c r="E211" s="144" t="s">
        <v>17051</v>
      </c>
      <c r="F211" s="144" t="s">
        <v>4853</v>
      </c>
      <c r="G211" s="144" t="s">
        <v>17222</v>
      </c>
      <c r="H211" s="144" t="s">
        <v>17037</v>
      </c>
      <c r="I211" s="144" t="s">
        <v>17221</v>
      </c>
      <c r="J211" s="143" t="s">
        <v>17220</v>
      </c>
    </row>
    <row r="212" spans="1:10" ht="77.5" x14ac:dyDescent="0.35">
      <c r="A212" s="146"/>
      <c r="B212" s="145"/>
      <c r="C212" s="145"/>
      <c r="D212" s="144" t="s">
        <v>17098</v>
      </c>
      <c r="E212" s="144" t="s">
        <v>17219</v>
      </c>
      <c r="F212" s="144" t="s">
        <v>4853</v>
      </c>
      <c r="G212" s="144" t="s">
        <v>17218</v>
      </c>
      <c r="H212" s="144" t="s">
        <v>17095</v>
      </c>
      <c r="I212" s="144" t="s">
        <v>17217</v>
      </c>
      <c r="J212" s="143" t="s">
        <v>17216</v>
      </c>
    </row>
    <row r="213" spans="1:10" ht="93" x14ac:dyDescent="0.35">
      <c r="A213" s="146"/>
      <c r="B213" s="145"/>
      <c r="C213" s="145" t="s">
        <v>17215</v>
      </c>
      <c r="D213" s="144" t="s">
        <v>17214</v>
      </c>
      <c r="E213" s="144" t="s">
        <v>17213</v>
      </c>
      <c r="F213" s="144" t="s">
        <v>4853</v>
      </c>
      <c r="G213" s="144" t="s">
        <v>16910</v>
      </c>
      <c r="H213" s="144" t="s">
        <v>17212</v>
      </c>
      <c r="I213" s="144" t="s">
        <v>17211</v>
      </c>
      <c r="J213" s="143" t="s">
        <v>17210</v>
      </c>
    </row>
    <row r="214" spans="1:10" ht="77.5" x14ac:dyDescent="0.35">
      <c r="A214" s="146"/>
      <c r="B214" s="145"/>
      <c r="C214" s="145"/>
      <c r="D214" s="144" t="s">
        <v>17209</v>
      </c>
      <c r="E214" s="144" t="s">
        <v>16719</v>
      </c>
      <c r="F214" s="144" t="s">
        <v>4853</v>
      </c>
      <c r="G214" s="144" t="s">
        <v>17208</v>
      </c>
      <c r="H214" s="144" t="s">
        <v>17207</v>
      </c>
      <c r="I214" s="144" t="s">
        <v>17206</v>
      </c>
      <c r="J214" s="143" t="s">
        <v>17205</v>
      </c>
    </row>
    <row r="215" spans="1:10" ht="77.5" x14ac:dyDescent="0.35">
      <c r="A215" s="146"/>
      <c r="B215" s="145"/>
      <c r="C215" s="145"/>
      <c r="D215" s="144" t="s">
        <v>17204</v>
      </c>
      <c r="E215" s="144" t="s">
        <v>17203</v>
      </c>
      <c r="F215" s="144" t="s">
        <v>4853</v>
      </c>
      <c r="G215" s="144" t="s">
        <v>16754</v>
      </c>
      <c r="H215" s="144" t="s">
        <v>17202</v>
      </c>
      <c r="I215" s="144" t="s">
        <v>17201</v>
      </c>
      <c r="J215" s="143" t="s">
        <v>17200</v>
      </c>
    </row>
    <row r="216" spans="1:10" ht="77.5" x14ac:dyDescent="0.35">
      <c r="A216" s="146"/>
      <c r="B216" s="145"/>
      <c r="C216" s="145"/>
      <c r="D216" s="144" t="s">
        <v>17199</v>
      </c>
      <c r="E216" s="144" t="s">
        <v>17198</v>
      </c>
      <c r="F216" s="144" t="s">
        <v>4853</v>
      </c>
      <c r="G216" s="144" t="s">
        <v>17197</v>
      </c>
      <c r="H216" s="144" t="s">
        <v>17196</v>
      </c>
      <c r="I216" s="144" t="s">
        <v>17195</v>
      </c>
      <c r="J216" s="143" t="s">
        <v>17194</v>
      </c>
    </row>
    <row r="217" spans="1:10" ht="93" x14ac:dyDescent="0.35">
      <c r="A217" s="146"/>
      <c r="B217" s="145"/>
      <c r="C217" s="145"/>
      <c r="D217" s="144" t="s">
        <v>17193</v>
      </c>
      <c r="E217" s="144" t="s">
        <v>17192</v>
      </c>
      <c r="F217" s="144" t="s">
        <v>4853</v>
      </c>
      <c r="G217" s="144" t="s">
        <v>17191</v>
      </c>
      <c r="H217" s="144" t="s">
        <v>17190</v>
      </c>
      <c r="I217" s="144" t="s">
        <v>17189</v>
      </c>
      <c r="J217" s="143" t="s">
        <v>17188</v>
      </c>
    </row>
    <row r="218" spans="1:10" ht="62" x14ac:dyDescent="0.35">
      <c r="A218" s="146"/>
      <c r="B218" s="145"/>
      <c r="C218" s="145" t="s">
        <v>17187</v>
      </c>
      <c r="D218" s="144" t="s">
        <v>17186</v>
      </c>
      <c r="E218" s="144" t="s">
        <v>17185</v>
      </c>
      <c r="F218" s="144" t="s">
        <v>4853</v>
      </c>
      <c r="G218" s="144" t="s">
        <v>17184</v>
      </c>
      <c r="H218" s="144" t="s">
        <v>17183</v>
      </c>
      <c r="I218" s="144" t="s">
        <v>17182</v>
      </c>
      <c r="J218" s="143" t="s">
        <v>17181</v>
      </c>
    </row>
    <row r="219" spans="1:10" ht="108.5" x14ac:dyDescent="0.35">
      <c r="A219" s="146"/>
      <c r="B219" s="145"/>
      <c r="C219" s="145"/>
      <c r="D219" s="144" t="s">
        <v>17180</v>
      </c>
      <c r="E219" s="144" t="s">
        <v>17179</v>
      </c>
      <c r="F219" s="144" t="s">
        <v>4853</v>
      </c>
      <c r="G219" s="144" t="s">
        <v>17136</v>
      </c>
      <c r="H219" s="144" t="s">
        <v>17178</v>
      </c>
      <c r="I219" s="144" t="s">
        <v>17177</v>
      </c>
      <c r="J219" s="143" t="s">
        <v>17176</v>
      </c>
    </row>
    <row r="220" spans="1:10" ht="77.5" x14ac:dyDescent="0.35">
      <c r="A220" s="146"/>
      <c r="B220" s="145"/>
      <c r="C220" s="145"/>
      <c r="D220" s="144" t="s">
        <v>17175</v>
      </c>
      <c r="E220" s="144" t="s">
        <v>17174</v>
      </c>
      <c r="F220" s="144" t="s">
        <v>4853</v>
      </c>
      <c r="G220" s="144" t="s">
        <v>17173</v>
      </c>
      <c r="H220" s="144" t="s">
        <v>17172</v>
      </c>
      <c r="I220" s="144" t="s">
        <v>17171</v>
      </c>
      <c r="J220" s="143" t="s">
        <v>17170</v>
      </c>
    </row>
    <row r="221" spans="1:10" ht="62" x14ac:dyDescent="0.35">
      <c r="A221" s="146"/>
      <c r="B221" s="145"/>
      <c r="C221" s="145"/>
      <c r="D221" s="144" t="s">
        <v>17169</v>
      </c>
      <c r="E221" s="144" t="s">
        <v>17168</v>
      </c>
      <c r="F221" s="144" t="s">
        <v>4853</v>
      </c>
      <c r="G221" s="144" t="s">
        <v>17167</v>
      </c>
      <c r="H221" s="144" t="s">
        <v>17166</v>
      </c>
      <c r="I221" s="144" t="s">
        <v>17165</v>
      </c>
      <c r="J221" s="143" t="s">
        <v>17164</v>
      </c>
    </row>
    <row r="222" spans="1:10" ht="62" x14ac:dyDescent="0.35">
      <c r="A222" s="146"/>
      <c r="B222" s="145"/>
      <c r="C222" s="145"/>
      <c r="D222" s="144" t="s">
        <v>17163</v>
      </c>
      <c r="E222" s="144" t="s">
        <v>17162</v>
      </c>
      <c r="F222" s="144" t="s">
        <v>4853</v>
      </c>
      <c r="G222" s="144" t="s">
        <v>17161</v>
      </c>
      <c r="H222" s="144" t="s">
        <v>17160</v>
      </c>
      <c r="I222" s="144" t="s">
        <v>17159</v>
      </c>
      <c r="J222" s="143" t="s">
        <v>17158</v>
      </c>
    </row>
    <row r="223" spans="1:10" ht="15.5" x14ac:dyDescent="0.35">
      <c r="A223" s="146"/>
      <c r="B223" s="145"/>
      <c r="C223" s="145" t="s">
        <v>17157</v>
      </c>
      <c r="D223" s="148" t="s">
        <v>17156</v>
      </c>
      <c r="E223" s="148" t="s">
        <v>17155</v>
      </c>
      <c r="F223" s="148" t="s">
        <v>4853</v>
      </c>
      <c r="G223" s="148" t="s">
        <v>17154</v>
      </c>
      <c r="H223" s="148" t="s">
        <v>17153</v>
      </c>
      <c r="I223" s="148" t="s">
        <v>17152</v>
      </c>
      <c r="J223" s="147" t="s">
        <v>17151</v>
      </c>
    </row>
    <row r="224" spans="1:10" ht="15.5" x14ac:dyDescent="0.35">
      <c r="A224" s="146"/>
      <c r="B224" s="145"/>
      <c r="C224" s="145"/>
      <c r="D224" s="148" t="s">
        <v>17150</v>
      </c>
      <c r="E224" s="148" t="s">
        <v>17149</v>
      </c>
      <c r="F224" s="148" t="s">
        <v>4853</v>
      </c>
      <c r="G224" s="148" t="s">
        <v>17148</v>
      </c>
      <c r="H224" s="148" t="s">
        <v>17147</v>
      </c>
      <c r="I224" s="148" t="s">
        <v>17146</v>
      </c>
      <c r="J224" s="147" t="s">
        <v>17145</v>
      </c>
    </row>
    <row r="225" spans="1:10" ht="15.5" x14ac:dyDescent="0.35">
      <c r="A225" s="146"/>
      <c r="B225" s="145"/>
      <c r="C225" s="145"/>
      <c r="D225" s="148" t="s">
        <v>17144</v>
      </c>
      <c r="E225" s="148" t="s">
        <v>17143</v>
      </c>
      <c r="F225" s="148" t="s">
        <v>4853</v>
      </c>
      <c r="G225" s="148" t="s">
        <v>17142</v>
      </c>
      <c r="H225" s="148" t="s">
        <v>17141</v>
      </c>
      <c r="I225" s="148" t="s">
        <v>17140</v>
      </c>
      <c r="J225" s="147" t="s">
        <v>17139</v>
      </c>
    </row>
    <row r="226" spans="1:10" ht="15.5" x14ac:dyDescent="0.35">
      <c r="A226" s="146"/>
      <c r="B226" s="145"/>
      <c r="C226" s="145"/>
      <c r="D226" s="148" t="s">
        <v>17138</v>
      </c>
      <c r="E226" s="148" t="s">
        <v>17137</v>
      </c>
      <c r="F226" s="148" t="s">
        <v>4853</v>
      </c>
      <c r="G226" s="148" t="s">
        <v>17136</v>
      </c>
      <c r="H226" s="148" t="s">
        <v>17135</v>
      </c>
      <c r="I226" s="148" t="s">
        <v>17134</v>
      </c>
      <c r="J226" s="147" t="s">
        <v>17133</v>
      </c>
    </row>
    <row r="227" spans="1:10" ht="15.5" x14ac:dyDescent="0.35">
      <c r="A227" s="146"/>
      <c r="B227" s="145"/>
      <c r="C227" s="145"/>
      <c r="D227" s="148" t="s">
        <v>17132</v>
      </c>
      <c r="E227" s="148" t="s">
        <v>17131</v>
      </c>
      <c r="F227" s="148" t="s">
        <v>4853</v>
      </c>
      <c r="G227" s="148" t="s">
        <v>17130</v>
      </c>
      <c r="H227" s="148" t="s">
        <v>17129</v>
      </c>
      <c r="I227" s="148" t="s">
        <v>17128</v>
      </c>
      <c r="J227" s="147" t="s">
        <v>17127</v>
      </c>
    </row>
    <row r="228" spans="1:10" ht="15.5" x14ac:dyDescent="0.35">
      <c r="A228" s="146"/>
      <c r="B228" s="145"/>
      <c r="C228" s="145" t="s">
        <v>17126</v>
      </c>
      <c r="D228" s="150"/>
      <c r="E228" s="150"/>
      <c r="F228" s="150"/>
      <c r="G228" s="150"/>
      <c r="H228" s="150"/>
      <c r="I228" s="150"/>
      <c r="J228" s="149"/>
    </row>
    <row r="229" spans="1:10" ht="15.5" x14ac:dyDescent="0.35">
      <c r="A229" s="146"/>
      <c r="B229" s="145"/>
      <c r="C229" s="145"/>
      <c r="D229" s="150"/>
      <c r="E229" s="150"/>
      <c r="F229" s="150"/>
      <c r="G229" s="150"/>
      <c r="H229" s="150"/>
      <c r="I229" s="150"/>
      <c r="J229" s="149"/>
    </row>
    <row r="230" spans="1:10" ht="15.5" x14ac:dyDescent="0.35">
      <c r="A230" s="146"/>
      <c r="B230" s="145"/>
      <c r="C230" s="145"/>
      <c r="D230" s="150"/>
      <c r="E230" s="150"/>
      <c r="F230" s="150"/>
      <c r="G230" s="150"/>
      <c r="H230" s="150"/>
      <c r="I230" s="150"/>
      <c r="J230" s="149"/>
    </row>
    <row r="231" spans="1:10" ht="15.5" x14ac:dyDescent="0.35">
      <c r="A231" s="146"/>
      <c r="B231" s="145"/>
      <c r="C231" s="145"/>
      <c r="D231" s="150"/>
      <c r="E231" s="150"/>
      <c r="F231" s="150"/>
      <c r="G231" s="150"/>
      <c r="H231" s="150"/>
      <c r="I231" s="150"/>
      <c r="J231" s="149"/>
    </row>
    <row r="232" spans="1:10" ht="15.5" x14ac:dyDescent="0.35">
      <c r="A232" s="146"/>
      <c r="B232" s="145"/>
      <c r="C232" s="145"/>
      <c r="D232" s="150"/>
      <c r="E232" s="150"/>
      <c r="F232" s="150"/>
      <c r="G232" s="150"/>
      <c r="H232" s="150"/>
      <c r="I232" s="150"/>
      <c r="J232" s="149"/>
    </row>
    <row r="233" spans="1:10" ht="15.5" x14ac:dyDescent="0.35">
      <c r="A233" s="146"/>
      <c r="B233" s="145"/>
      <c r="C233" s="145" t="s">
        <v>17125</v>
      </c>
      <c r="D233" s="150"/>
      <c r="E233" s="150"/>
      <c r="F233" s="150"/>
      <c r="G233" s="150"/>
      <c r="H233" s="150"/>
      <c r="I233" s="150"/>
      <c r="J233" s="149"/>
    </row>
    <row r="234" spans="1:10" ht="15.5" x14ac:dyDescent="0.35">
      <c r="A234" s="146"/>
      <c r="B234" s="145"/>
      <c r="C234" s="145"/>
      <c r="D234" s="150"/>
      <c r="E234" s="150"/>
      <c r="F234" s="150"/>
      <c r="G234" s="150"/>
      <c r="H234" s="150"/>
      <c r="I234" s="150"/>
      <c r="J234" s="149"/>
    </row>
    <row r="235" spans="1:10" ht="15.5" x14ac:dyDescent="0.35">
      <c r="A235" s="146"/>
      <c r="B235" s="145"/>
      <c r="C235" s="145"/>
      <c r="D235" s="150"/>
      <c r="E235" s="150"/>
      <c r="F235" s="150"/>
      <c r="G235" s="150"/>
      <c r="H235" s="150"/>
      <c r="I235" s="150"/>
      <c r="J235" s="149"/>
    </row>
    <row r="236" spans="1:10" ht="15.5" x14ac:dyDescent="0.35">
      <c r="A236" s="146"/>
      <c r="B236" s="145"/>
      <c r="C236" s="145"/>
      <c r="D236" s="150"/>
      <c r="E236" s="150"/>
      <c r="F236" s="150"/>
      <c r="G236" s="150"/>
      <c r="H236" s="150"/>
      <c r="I236" s="150"/>
      <c r="J236" s="149"/>
    </row>
    <row r="237" spans="1:10" ht="15.5" x14ac:dyDescent="0.35">
      <c r="A237" s="146"/>
      <c r="B237" s="145"/>
      <c r="C237" s="145"/>
      <c r="D237" s="150"/>
      <c r="E237" s="150"/>
      <c r="F237" s="150"/>
      <c r="G237" s="150"/>
      <c r="H237" s="150"/>
      <c r="I237" s="150"/>
      <c r="J237" s="149"/>
    </row>
    <row r="238" spans="1:10" ht="15.5" x14ac:dyDescent="0.35">
      <c r="A238" s="146"/>
      <c r="B238" s="145"/>
      <c r="C238" s="145" t="s">
        <v>17124</v>
      </c>
      <c r="D238" s="150"/>
      <c r="E238" s="150"/>
      <c r="F238" s="150"/>
      <c r="G238" s="150"/>
      <c r="H238" s="150"/>
      <c r="I238" s="150"/>
      <c r="J238" s="149"/>
    </row>
    <row r="239" spans="1:10" ht="15.5" x14ac:dyDescent="0.35">
      <c r="A239" s="146"/>
      <c r="B239" s="145"/>
      <c r="C239" s="145"/>
      <c r="D239" s="150"/>
      <c r="E239" s="150"/>
      <c r="F239" s="150"/>
      <c r="G239" s="150"/>
      <c r="H239" s="150"/>
      <c r="I239" s="150"/>
      <c r="J239" s="149"/>
    </row>
    <row r="240" spans="1:10" ht="15.5" x14ac:dyDescent="0.35">
      <c r="A240" s="146"/>
      <c r="B240" s="145"/>
      <c r="C240" s="145"/>
      <c r="D240" s="150"/>
      <c r="E240" s="150"/>
      <c r="F240" s="150"/>
      <c r="G240" s="150"/>
      <c r="H240" s="150"/>
      <c r="I240" s="150"/>
      <c r="J240" s="149"/>
    </row>
    <row r="241" spans="1:10" ht="15.5" x14ac:dyDescent="0.35">
      <c r="A241" s="146"/>
      <c r="B241" s="145"/>
      <c r="C241" s="145"/>
      <c r="D241" s="150"/>
      <c r="E241" s="150"/>
      <c r="F241" s="150"/>
      <c r="G241" s="150"/>
      <c r="H241" s="150"/>
      <c r="I241" s="150"/>
      <c r="J241" s="149"/>
    </row>
    <row r="242" spans="1:10" ht="15.5" x14ac:dyDescent="0.35">
      <c r="A242" s="146"/>
      <c r="B242" s="145"/>
      <c r="C242" s="145"/>
      <c r="D242" s="150"/>
      <c r="E242" s="150"/>
      <c r="F242" s="150"/>
      <c r="G242" s="150"/>
      <c r="H242" s="150"/>
      <c r="I242" s="150"/>
      <c r="J242" s="149"/>
    </row>
    <row r="243" spans="1:10" ht="77.5" x14ac:dyDescent="0.35">
      <c r="A243" s="146"/>
      <c r="B243" s="145" t="s">
        <v>17123</v>
      </c>
      <c r="C243" s="145" t="s">
        <v>17122</v>
      </c>
      <c r="D243" s="144" t="s">
        <v>17121</v>
      </c>
      <c r="E243" s="144" t="s">
        <v>17120</v>
      </c>
      <c r="F243" s="144" t="s">
        <v>4853</v>
      </c>
      <c r="G243" s="144" t="s">
        <v>17119</v>
      </c>
      <c r="H243" s="144" t="s">
        <v>17118</v>
      </c>
      <c r="I243" s="144" t="s">
        <v>17117</v>
      </c>
      <c r="J243" s="143" t="s">
        <v>17116</v>
      </c>
    </row>
    <row r="244" spans="1:10" ht="77.5" x14ac:dyDescent="0.35">
      <c r="A244" s="146"/>
      <c r="B244" s="145"/>
      <c r="C244" s="145"/>
      <c r="D244" s="144" t="s">
        <v>17115</v>
      </c>
      <c r="E244" s="144" t="s">
        <v>17114</v>
      </c>
      <c r="F244" s="144" t="s">
        <v>4853</v>
      </c>
      <c r="G244" s="144" t="s">
        <v>17113</v>
      </c>
      <c r="H244" s="144" t="s">
        <v>17112</v>
      </c>
      <c r="I244" s="144" t="s">
        <v>17111</v>
      </c>
      <c r="J244" s="143" t="s">
        <v>502</v>
      </c>
    </row>
    <row r="245" spans="1:10" ht="77.5" x14ac:dyDescent="0.35">
      <c r="A245" s="146"/>
      <c r="B245" s="145"/>
      <c r="C245" s="145"/>
      <c r="D245" s="144" t="s">
        <v>17110</v>
      </c>
      <c r="E245" s="144" t="s">
        <v>17109</v>
      </c>
      <c r="F245" s="144" t="s">
        <v>4853</v>
      </c>
      <c r="G245" s="144" t="s">
        <v>17108</v>
      </c>
      <c r="H245" s="144" t="s">
        <v>17107</v>
      </c>
      <c r="I245" s="144" t="s">
        <v>17106</v>
      </c>
      <c r="J245" s="143" t="s">
        <v>17105</v>
      </c>
    </row>
    <row r="246" spans="1:10" ht="108.5" x14ac:dyDescent="0.35">
      <c r="A246" s="146"/>
      <c r="B246" s="145"/>
      <c r="C246" s="145"/>
      <c r="D246" s="144" t="s">
        <v>17104</v>
      </c>
      <c r="E246" s="144" t="s">
        <v>17103</v>
      </c>
      <c r="F246" s="144" t="s">
        <v>4853</v>
      </c>
      <c r="G246" s="144" t="s">
        <v>17102</v>
      </c>
      <c r="H246" s="144" t="s">
        <v>17101</v>
      </c>
      <c r="I246" s="144" t="s">
        <v>17100</v>
      </c>
      <c r="J246" s="143" t="s">
        <v>17099</v>
      </c>
    </row>
    <row r="247" spans="1:10" ht="108.5" x14ac:dyDescent="0.35">
      <c r="A247" s="146"/>
      <c r="B247" s="145"/>
      <c r="C247" s="145"/>
      <c r="D247" s="144" t="s">
        <v>17098</v>
      </c>
      <c r="E247" s="144" t="s">
        <v>17097</v>
      </c>
      <c r="F247" s="144" t="s">
        <v>4853</v>
      </c>
      <c r="G247" s="144" t="s">
        <v>17096</v>
      </c>
      <c r="H247" s="144" t="s">
        <v>17095</v>
      </c>
      <c r="I247" s="144" t="s">
        <v>17094</v>
      </c>
      <c r="J247" s="143" t="s">
        <v>17093</v>
      </c>
    </row>
    <row r="248" spans="1:10" ht="108.5" x14ac:dyDescent="0.35">
      <c r="A248" s="146"/>
      <c r="B248" s="145"/>
      <c r="C248" s="145" t="s">
        <v>17092</v>
      </c>
      <c r="D248" s="144" t="s">
        <v>17091</v>
      </c>
      <c r="E248" s="144" t="s">
        <v>17090</v>
      </c>
      <c r="F248" s="144" t="s">
        <v>4853</v>
      </c>
      <c r="G248" s="144" t="s">
        <v>17089</v>
      </c>
      <c r="H248" s="144" t="s">
        <v>17088</v>
      </c>
      <c r="I248" s="144" t="s">
        <v>16908</v>
      </c>
      <c r="J248" s="143" t="s">
        <v>17087</v>
      </c>
    </row>
    <row r="249" spans="1:10" ht="108.5" x14ac:dyDescent="0.35">
      <c r="A249" s="146"/>
      <c r="B249" s="145"/>
      <c r="C249" s="145"/>
      <c r="D249" s="144" t="s">
        <v>17086</v>
      </c>
      <c r="E249" s="144" t="s">
        <v>17085</v>
      </c>
      <c r="F249" s="144" t="s">
        <v>4853</v>
      </c>
      <c r="G249" s="144" t="s">
        <v>17084</v>
      </c>
      <c r="H249" s="144" t="s">
        <v>17083</v>
      </c>
      <c r="I249" s="144" t="s">
        <v>17082</v>
      </c>
      <c r="J249" s="143" t="s">
        <v>17081</v>
      </c>
    </row>
    <row r="250" spans="1:10" ht="77.5" x14ac:dyDescent="0.35">
      <c r="A250" s="146"/>
      <c r="B250" s="145"/>
      <c r="C250" s="145"/>
      <c r="D250" s="144" t="s">
        <v>17080</v>
      </c>
      <c r="E250" s="144" t="s">
        <v>17079</v>
      </c>
      <c r="F250" s="144" t="s">
        <v>4853</v>
      </c>
      <c r="G250" s="144" t="s">
        <v>17078</v>
      </c>
      <c r="H250" s="144" t="s">
        <v>17077</v>
      </c>
      <c r="I250" s="144" t="s">
        <v>17076</v>
      </c>
      <c r="J250" s="143" t="s">
        <v>17075</v>
      </c>
    </row>
    <row r="251" spans="1:10" ht="77.5" x14ac:dyDescent="0.35">
      <c r="A251" s="146"/>
      <c r="B251" s="145"/>
      <c r="C251" s="145"/>
      <c r="D251" s="144" t="s">
        <v>17074</v>
      </c>
      <c r="E251" s="144" t="s">
        <v>17073</v>
      </c>
      <c r="F251" s="144" t="s">
        <v>4853</v>
      </c>
      <c r="G251" s="144" t="s">
        <v>16969</v>
      </c>
      <c r="H251" s="144" t="s">
        <v>17072</v>
      </c>
      <c r="I251" s="144" t="s">
        <v>17071</v>
      </c>
      <c r="J251" s="143" t="s">
        <v>17070</v>
      </c>
    </row>
    <row r="252" spans="1:10" ht="77.5" x14ac:dyDescent="0.35">
      <c r="A252" s="146"/>
      <c r="B252" s="145"/>
      <c r="C252" s="145"/>
      <c r="D252" s="144" t="s">
        <v>17069</v>
      </c>
      <c r="E252" s="144" t="s">
        <v>17068</v>
      </c>
      <c r="F252" s="144" t="s">
        <v>4853</v>
      </c>
      <c r="G252" s="144" t="s">
        <v>14379</v>
      </c>
      <c r="H252" s="144" t="s">
        <v>17067</v>
      </c>
      <c r="I252" s="144" t="s">
        <v>17066</v>
      </c>
      <c r="J252" s="143" t="s">
        <v>17065</v>
      </c>
    </row>
    <row r="253" spans="1:10" ht="93" x14ac:dyDescent="0.35">
      <c r="A253" s="146"/>
      <c r="B253" s="145"/>
      <c r="C253" s="145" t="s">
        <v>17064</v>
      </c>
      <c r="D253" s="144" t="s">
        <v>17063</v>
      </c>
      <c r="E253" s="144" t="s">
        <v>17062</v>
      </c>
      <c r="F253" s="144" t="s">
        <v>4853</v>
      </c>
      <c r="G253" s="144" t="s">
        <v>17061</v>
      </c>
      <c r="H253" s="144" t="s">
        <v>17060</v>
      </c>
      <c r="I253" s="144" t="s">
        <v>16734</v>
      </c>
      <c r="J253" s="143" t="s">
        <v>17059</v>
      </c>
    </row>
    <row r="254" spans="1:10" ht="108.5" x14ac:dyDescent="0.35">
      <c r="A254" s="146"/>
      <c r="B254" s="145"/>
      <c r="C254" s="145"/>
      <c r="D254" s="144" t="s">
        <v>17058</v>
      </c>
      <c r="E254" s="144" t="s">
        <v>17057</v>
      </c>
      <c r="F254" s="144" t="s">
        <v>4853</v>
      </c>
      <c r="G254" s="144" t="s">
        <v>17056</v>
      </c>
      <c r="H254" s="144" t="s">
        <v>17055</v>
      </c>
      <c r="I254" s="144" t="s">
        <v>17054</v>
      </c>
      <c r="J254" s="143" t="s">
        <v>17053</v>
      </c>
    </row>
    <row r="255" spans="1:10" ht="77.5" x14ac:dyDescent="0.35">
      <c r="A255" s="146"/>
      <c r="B255" s="145"/>
      <c r="C255" s="145"/>
      <c r="D255" s="144" t="s">
        <v>17052</v>
      </c>
      <c r="E255" s="144" t="s">
        <v>17051</v>
      </c>
      <c r="F255" s="144" t="s">
        <v>4853</v>
      </c>
      <c r="G255" s="144" t="s">
        <v>17050</v>
      </c>
      <c r="H255" s="144" t="s">
        <v>17049</v>
      </c>
      <c r="I255" s="144" t="s">
        <v>17048</v>
      </c>
      <c r="J255" s="143" t="s">
        <v>17047</v>
      </c>
    </row>
    <row r="256" spans="1:10" ht="77.5" x14ac:dyDescent="0.35">
      <c r="A256" s="146"/>
      <c r="B256" s="145"/>
      <c r="C256" s="145"/>
      <c r="D256" s="144" t="s">
        <v>17046</v>
      </c>
      <c r="E256" s="144" t="s">
        <v>17045</v>
      </c>
      <c r="F256" s="144" t="s">
        <v>4853</v>
      </c>
      <c r="G256" s="144" t="s">
        <v>17044</v>
      </c>
      <c r="H256" s="144" t="s">
        <v>17043</v>
      </c>
      <c r="I256" s="144" t="s">
        <v>17042</v>
      </c>
      <c r="J256" s="143" t="s">
        <v>17041</v>
      </c>
    </row>
    <row r="257" spans="1:10" ht="93" x14ac:dyDescent="0.35">
      <c r="A257" s="146"/>
      <c r="B257" s="145"/>
      <c r="C257" s="145"/>
      <c r="D257" s="144" t="s">
        <v>17040</v>
      </c>
      <c r="E257" s="144" t="s">
        <v>17039</v>
      </c>
      <c r="F257" s="144" t="s">
        <v>4853</v>
      </c>
      <c r="G257" s="144" t="s">
        <v>17038</v>
      </c>
      <c r="H257" s="144" t="s">
        <v>17037</v>
      </c>
      <c r="I257" s="144" t="s">
        <v>17036</v>
      </c>
      <c r="J257" s="143" t="s">
        <v>17035</v>
      </c>
    </row>
    <row r="258" spans="1:10" ht="93" x14ac:dyDescent="0.35">
      <c r="A258" s="146"/>
      <c r="B258" s="145"/>
      <c r="C258" s="145" t="s">
        <v>17034</v>
      </c>
      <c r="D258" s="144" t="s">
        <v>17033</v>
      </c>
      <c r="E258" s="144" t="s">
        <v>17032</v>
      </c>
      <c r="F258" s="144" t="s">
        <v>4853</v>
      </c>
      <c r="G258" s="144" t="s">
        <v>17031</v>
      </c>
      <c r="H258" s="144" t="s">
        <v>16734</v>
      </c>
      <c r="I258" s="144" t="s">
        <v>17030</v>
      </c>
      <c r="J258" s="143" t="s">
        <v>17029</v>
      </c>
    </row>
    <row r="259" spans="1:10" ht="93" x14ac:dyDescent="0.35">
      <c r="A259" s="146"/>
      <c r="B259" s="145"/>
      <c r="C259" s="145"/>
      <c r="D259" s="144" t="s">
        <v>17028</v>
      </c>
      <c r="E259" s="144" t="s">
        <v>17027</v>
      </c>
      <c r="F259" s="144" t="s">
        <v>4853</v>
      </c>
      <c r="G259" s="144" t="s">
        <v>17026</v>
      </c>
      <c r="H259" s="144" t="s">
        <v>17025</v>
      </c>
      <c r="I259" s="144" t="s">
        <v>17024</v>
      </c>
      <c r="J259" s="143" t="s">
        <v>17023</v>
      </c>
    </row>
    <row r="260" spans="1:10" ht="77.5" x14ac:dyDescent="0.35">
      <c r="A260" s="146"/>
      <c r="B260" s="145"/>
      <c r="C260" s="145"/>
      <c r="D260" s="144" t="s">
        <v>17022</v>
      </c>
      <c r="E260" s="144" t="s">
        <v>17021</v>
      </c>
      <c r="F260" s="144" t="s">
        <v>4853</v>
      </c>
      <c r="G260" s="144" t="s">
        <v>17020</v>
      </c>
      <c r="H260" s="144" t="s">
        <v>17019</v>
      </c>
      <c r="I260" s="144" t="s">
        <v>17018</v>
      </c>
      <c r="J260" s="143" t="s">
        <v>17017</v>
      </c>
    </row>
    <row r="261" spans="1:10" ht="62" x14ac:dyDescent="0.35">
      <c r="A261" s="146"/>
      <c r="B261" s="145"/>
      <c r="C261" s="145"/>
      <c r="D261" s="144" t="s">
        <v>17016</v>
      </c>
      <c r="E261" s="144" t="s">
        <v>16989</v>
      </c>
      <c r="F261" s="144" t="s">
        <v>4853</v>
      </c>
      <c r="G261" s="144" t="s">
        <v>17015</v>
      </c>
      <c r="H261" s="144" t="s">
        <v>17014</v>
      </c>
      <c r="I261" s="144" t="s">
        <v>17013</v>
      </c>
      <c r="J261" s="143" t="s">
        <v>17012</v>
      </c>
    </row>
    <row r="262" spans="1:10" ht="93" x14ac:dyDescent="0.35">
      <c r="A262" s="146"/>
      <c r="B262" s="145"/>
      <c r="C262" s="145"/>
      <c r="D262" s="144" t="s">
        <v>17011</v>
      </c>
      <c r="E262" s="144" t="s">
        <v>17010</v>
      </c>
      <c r="F262" s="144" t="s">
        <v>4853</v>
      </c>
      <c r="G262" s="144" t="s">
        <v>17009</v>
      </c>
      <c r="H262" s="144" t="s">
        <v>16933</v>
      </c>
      <c r="I262" s="144" t="s">
        <v>16932</v>
      </c>
      <c r="J262" s="143" t="s">
        <v>17008</v>
      </c>
    </row>
    <row r="263" spans="1:10" ht="108.5" x14ac:dyDescent="0.35">
      <c r="A263" s="146"/>
      <c r="B263" s="145"/>
      <c r="C263" s="145" t="s">
        <v>17007</v>
      </c>
      <c r="D263" s="144" t="s">
        <v>17006</v>
      </c>
      <c r="E263" s="144" t="s">
        <v>17005</v>
      </c>
      <c r="F263" s="144" t="s">
        <v>4853</v>
      </c>
      <c r="G263" s="144" t="s">
        <v>17004</v>
      </c>
      <c r="H263" s="144" t="s">
        <v>17003</v>
      </c>
      <c r="I263" s="144" t="s">
        <v>17002</v>
      </c>
      <c r="J263" s="143" t="s">
        <v>17001</v>
      </c>
    </row>
    <row r="264" spans="1:10" ht="93" x14ac:dyDescent="0.35">
      <c r="A264" s="146"/>
      <c r="B264" s="145"/>
      <c r="C264" s="145"/>
      <c r="D264" s="144" t="s">
        <v>17000</v>
      </c>
      <c r="E264" s="144" t="s">
        <v>16999</v>
      </c>
      <c r="F264" s="144" t="s">
        <v>4853</v>
      </c>
      <c r="G264" s="144" t="s">
        <v>16998</v>
      </c>
      <c r="H264" s="144" t="s">
        <v>16997</v>
      </c>
      <c r="I264" s="144" t="s">
        <v>16996</v>
      </c>
      <c r="J264" s="143" t="s">
        <v>502</v>
      </c>
    </row>
    <row r="265" spans="1:10" ht="93" x14ac:dyDescent="0.35">
      <c r="A265" s="146"/>
      <c r="B265" s="145"/>
      <c r="C265" s="145"/>
      <c r="D265" s="144" t="s">
        <v>16995</v>
      </c>
      <c r="E265" s="144" t="s">
        <v>16994</v>
      </c>
      <c r="F265" s="144" t="s">
        <v>4853</v>
      </c>
      <c r="G265" s="144" t="s">
        <v>16993</v>
      </c>
      <c r="H265" s="144" t="s">
        <v>16992</v>
      </c>
      <c r="I265" s="144" t="s">
        <v>16991</v>
      </c>
      <c r="J265" s="143" t="s">
        <v>16990</v>
      </c>
    </row>
    <row r="266" spans="1:10" ht="77.5" x14ac:dyDescent="0.35">
      <c r="A266" s="146"/>
      <c r="B266" s="145"/>
      <c r="C266" s="145"/>
      <c r="D266" s="144" t="s">
        <v>16959</v>
      </c>
      <c r="E266" s="144" t="s">
        <v>16989</v>
      </c>
      <c r="F266" s="144" t="s">
        <v>4853</v>
      </c>
      <c r="G266" s="144" t="s">
        <v>16988</v>
      </c>
      <c r="H266" s="144" t="s">
        <v>16987</v>
      </c>
      <c r="I266" s="144" t="s">
        <v>16986</v>
      </c>
      <c r="J266" s="143" t="s">
        <v>16985</v>
      </c>
    </row>
    <row r="267" spans="1:10" ht="93" x14ac:dyDescent="0.35">
      <c r="A267" s="146"/>
      <c r="B267" s="145"/>
      <c r="C267" s="145"/>
      <c r="D267" s="144" t="s">
        <v>16984</v>
      </c>
      <c r="E267" s="144" t="s">
        <v>16983</v>
      </c>
      <c r="F267" s="144" t="s">
        <v>4853</v>
      </c>
      <c r="G267" s="144" t="s">
        <v>16982</v>
      </c>
      <c r="H267" s="144" t="s">
        <v>16981</v>
      </c>
      <c r="I267" s="144" t="s">
        <v>16980</v>
      </c>
      <c r="J267" s="143" t="s">
        <v>16979</v>
      </c>
    </row>
    <row r="268" spans="1:10" ht="77.5" x14ac:dyDescent="0.35">
      <c r="A268" s="146"/>
      <c r="B268" s="145"/>
      <c r="C268" s="145" t="s">
        <v>16978</v>
      </c>
      <c r="D268" s="144" t="s">
        <v>16977</v>
      </c>
      <c r="E268" s="144" t="s">
        <v>16976</v>
      </c>
      <c r="F268" s="144" t="s">
        <v>4853</v>
      </c>
      <c r="G268" s="144" t="s">
        <v>16975</v>
      </c>
      <c r="H268" s="144" t="s">
        <v>16974</v>
      </c>
      <c r="I268" s="144" t="s">
        <v>16973</v>
      </c>
      <c r="J268" s="143" t="s">
        <v>16972</v>
      </c>
    </row>
    <row r="269" spans="1:10" ht="93" x14ac:dyDescent="0.35">
      <c r="A269" s="146"/>
      <c r="B269" s="145"/>
      <c r="C269" s="145"/>
      <c r="D269" s="144" t="s">
        <v>16971</v>
      </c>
      <c r="E269" s="144" t="s">
        <v>16970</v>
      </c>
      <c r="F269" s="144" t="s">
        <v>4853</v>
      </c>
      <c r="G269" s="144" t="s">
        <v>16969</v>
      </c>
      <c r="H269" s="144" t="s">
        <v>16968</v>
      </c>
      <c r="I269" s="144" t="s">
        <v>16967</v>
      </c>
      <c r="J269" s="143" t="s">
        <v>16966</v>
      </c>
    </row>
    <row r="270" spans="1:10" ht="77.5" x14ac:dyDescent="0.35">
      <c r="A270" s="146"/>
      <c r="B270" s="145"/>
      <c r="C270" s="145"/>
      <c r="D270" s="144" t="s">
        <v>16965</v>
      </c>
      <c r="E270" s="144" t="s">
        <v>16964</v>
      </c>
      <c r="F270" s="144" t="s">
        <v>4853</v>
      </c>
      <c r="G270" s="144" t="s">
        <v>16963</v>
      </c>
      <c r="H270" s="144" t="s">
        <v>16962</v>
      </c>
      <c r="I270" s="144" t="s">
        <v>16961</v>
      </c>
      <c r="J270" s="143" t="s">
        <v>16960</v>
      </c>
    </row>
    <row r="271" spans="1:10" ht="77.5" x14ac:dyDescent="0.35">
      <c r="A271" s="146"/>
      <c r="B271" s="145"/>
      <c r="C271" s="145"/>
      <c r="D271" s="144" t="s">
        <v>16959</v>
      </c>
      <c r="E271" s="144" t="s">
        <v>16958</v>
      </c>
      <c r="F271" s="144" t="s">
        <v>4853</v>
      </c>
      <c r="G271" s="144" t="s">
        <v>16814</v>
      </c>
      <c r="H271" s="144" t="s">
        <v>16933</v>
      </c>
      <c r="I271" s="144" t="s">
        <v>16957</v>
      </c>
      <c r="J271" s="143" t="s">
        <v>16956</v>
      </c>
    </row>
    <row r="272" spans="1:10" ht="93" x14ac:dyDescent="0.35">
      <c r="A272" s="146"/>
      <c r="B272" s="145"/>
      <c r="C272" s="145"/>
      <c r="D272" s="144" t="s">
        <v>16955</v>
      </c>
      <c r="E272" s="144" t="s">
        <v>16954</v>
      </c>
      <c r="F272" s="144" t="s">
        <v>4853</v>
      </c>
      <c r="G272" s="144" t="s">
        <v>16953</v>
      </c>
      <c r="H272" s="144" t="s">
        <v>16952</v>
      </c>
      <c r="I272" s="144" t="s">
        <v>16951</v>
      </c>
      <c r="J272" s="143" t="s">
        <v>16950</v>
      </c>
    </row>
    <row r="273" spans="1:10" ht="15.5" x14ac:dyDescent="0.35">
      <c r="A273" s="146"/>
      <c r="B273" s="145"/>
      <c r="C273" s="145" t="s">
        <v>16949</v>
      </c>
      <c r="D273" s="148" t="s">
        <v>16948</v>
      </c>
      <c r="E273" s="148" t="s">
        <v>16947</v>
      </c>
      <c r="F273" s="148" t="s">
        <v>4853</v>
      </c>
      <c r="G273" s="148" t="s">
        <v>16946</v>
      </c>
      <c r="H273" s="148" t="s">
        <v>16945</v>
      </c>
      <c r="I273" s="148" t="s">
        <v>16944</v>
      </c>
      <c r="J273" s="147" t="s">
        <v>16943</v>
      </c>
    </row>
    <row r="274" spans="1:10" ht="15.5" x14ac:dyDescent="0.35">
      <c r="A274" s="146"/>
      <c r="B274" s="145"/>
      <c r="C274" s="145"/>
      <c r="D274" s="148" t="s">
        <v>16942</v>
      </c>
      <c r="E274" s="148" t="s">
        <v>16941</v>
      </c>
      <c r="F274" s="148" t="s">
        <v>4853</v>
      </c>
      <c r="G274" s="148" t="s">
        <v>16940</v>
      </c>
      <c r="H274" s="148" t="s">
        <v>16939</v>
      </c>
      <c r="I274" s="148" t="s">
        <v>16938</v>
      </c>
      <c r="J274" s="147" t="s">
        <v>16937</v>
      </c>
    </row>
    <row r="275" spans="1:10" ht="15.5" x14ac:dyDescent="0.35">
      <c r="A275" s="146"/>
      <c r="B275" s="145"/>
      <c r="C275" s="145"/>
      <c r="D275" s="148" t="s">
        <v>16936</v>
      </c>
      <c r="E275" s="148" t="s">
        <v>16935</v>
      </c>
      <c r="F275" s="148" t="s">
        <v>4853</v>
      </c>
      <c r="G275" s="148" t="s">
        <v>16934</v>
      </c>
      <c r="H275" s="148" t="s">
        <v>16933</v>
      </c>
      <c r="I275" s="148" t="s">
        <v>16932</v>
      </c>
      <c r="J275" s="147" t="s">
        <v>16931</v>
      </c>
    </row>
    <row r="276" spans="1:10" ht="15.5" x14ac:dyDescent="0.35">
      <c r="A276" s="146"/>
      <c r="B276" s="145"/>
      <c r="C276" s="145"/>
      <c r="D276" s="148" t="s">
        <v>16930</v>
      </c>
      <c r="E276" s="148" t="s">
        <v>16929</v>
      </c>
      <c r="F276" s="148" t="s">
        <v>4853</v>
      </c>
      <c r="G276" s="148" t="s">
        <v>16928</v>
      </c>
      <c r="H276" s="148" t="s">
        <v>16927</v>
      </c>
      <c r="I276" s="148" t="s">
        <v>16926</v>
      </c>
      <c r="J276" s="147" t="s">
        <v>16925</v>
      </c>
    </row>
    <row r="277" spans="1:10" ht="15.5" x14ac:dyDescent="0.35">
      <c r="A277" s="146"/>
      <c r="B277" s="145"/>
      <c r="C277" s="145"/>
      <c r="D277" s="148" t="s">
        <v>16924</v>
      </c>
      <c r="E277" s="148" t="s">
        <v>16923</v>
      </c>
      <c r="F277" s="148" t="s">
        <v>4853</v>
      </c>
      <c r="G277" s="148" t="s">
        <v>16922</v>
      </c>
      <c r="H277" s="148" t="s">
        <v>16921</v>
      </c>
      <c r="I277" s="148" t="s">
        <v>16920</v>
      </c>
      <c r="J277" s="147" t="s">
        <v>16919</v>
      </c>
    </row>
    <row r="278" spans="1:10" ht="108.5" x14ac:dyDescent="0.35">
      <c r="A278" s="146"/>
      <c r="B278" s="145"/>
      <c r="C278" s="145" t="s">
        <v>16918</v>
      </c>
      <c r="D278" s="144" t="s">
        <v>16917</v>
      </c>
      <c r="E278" s="144" t="s">
        <v>16916</v>
      </c>
      <c r="F278" s="144" t="s">
        <v>4853</v>
      </c>
      <c r="G278" s="144" t="s">
        <v>16915</v>
      </c>
      <c r="H278" s="144" t="s">
        <v>16914</v>
      </c>
      <c r="I278" s="144" t="s">
        <v>16728</v>
      </c>
      <c r="J278" s="143" t="s">
        <v>16913</v>
      </c>
    </row>
    <row r="279" spans="1:10" ht="93" x14ac:dyDescent="0.35">
      <c r="A279" s="146"/>
      <c r="B279" s="145"/>
      <c r="C279" s="145"/>
      <c r="D279" s="144" t="s">
        <v>16912</v>
      </c>
      <c r="E279" s="144" t="s">
        <v>16911</v>
      </c>
      <c r="F279" s="144" t="s">
        <v>4853</v>
      </c>
      <c r="G279" s="144" t="s">
        <v>16910</v>
      </c>
      <c r="H279" s="144" t="s">
        <v>16909</v>
      </c>
      <c r="I279" s="144" t="s">
        <v>16908</v>
      </c>
      <c r="J279" s="143" t="s">
        <v>16907</v>
      </c>
    </row>
    <row r="280" spans="1:10" ht="108.5" x14ac:dyDescent="0.35">
      <c r="A280" s="146"/>
      <c r="B280" s="145"/>
      <c r="C280" s="145"/>
      <c r="D280" s="144" t="s">
        <v>16906</v>
      </c>
      <c r="E280" s="144" t="s">
        <v>16905</v>
      </c>
      <c r="F280" s="144" t="s">
        <v>4853</v>
      </c>
      <c r="G280" s="144" t="s">
        <v>16904</v>
      </c>
      <c r="H280" s="144" t="s">
        <v>16903</v>
      </c>
      <c r="I280" s="144" t="s">
        <v>16902</v>
      </c>
      <c r="J280" s="143" t="s">
        <v>16901</v>
      </c>
    </row>
    <row r="281" spans="1:10" ht="124" x14ac:dyDescent="0.35">
      <c r="A281" s="146"/>
      <c r="B281" s="145"/>
      <c r="C281" s="145"/>
      <c r="D281" s="144" t="s">
        <v>16900</v>
      </c>
      <c r="E281" s="144" t="s">
        <v>16899</v>
      </c>
      <c r="F281" s="144" t="s">
        <v>4853</v>
      </c>
      <c r="G281" s="144" t="s">
        <v>16898</v>
      </c>
      <c r="H281" s="144" t="s">
        <v>16897</v>
      </c>
      <c r="I281" s="144" t="s">
        <v>16896</v>
      </c>
      <c r="J281" s="143" t="s">
        <v>16895</v>
      </c>
    </row>
    <row r="282" spans="1:10" ht="124" x14ac:dyDescent="0.35">
      <c r="A282" s="146"/>
      <c r="B282" s="145"/>
      <c r="C282" s="145"/>
      <c r="D282" s="144" t="s">
        <v>16894</v>
      </c>
      <c r="E282" s="144" t="s">
        <v>16893</v>
      </c>
      <c r="F282" s="144" t="s">
        <v>4853</v>
      </c>
      <c r="G282" s="144" t="s">
        <v>16892</v>
      </c>
      <c r="H282" s="144" t="s">
        <v>16891</v>
      </c>
      <c r="I282" s="144" t="s">
        <v>16890</v>
      </c>
      <c r="J282" s="143" t="s">
        <v>16889</v>
      </c>
    </row>
    <row r="283" spans="1:10" ht="108.5" x14ac:dyDescent="0.35">
      <c r="A283" s="146"/>
      <c r="B283" s="145"/>
      <c r="C283" s="145" t="s">
        <v>16888</v>
      </c>
      <c r="D283" s="144" t="s">
        <v>10727</v>
      </c>
      <c r="E283" s="144" t="s">
        <v>16887</v>
      </c>
      <c r="F283" s="144" t="s">
        <v>4853</v>
      </c>
      <c r="G283" s="144" t="s">
        <v>16886</v>
      </c>
      <c r="H283" s="144" t="s">
        <v>16885</v>
      </c>
      <c r="I283" s="144" t="s">
        <v>16884</v>
      </c>
      <c r="J283" s="143" t="s">
        <v>16883</v>
      </c>
    </row>
    <row r="284" spans="1:10" ht="77.5" x14ac:dyDescent="0.35">
      <c r="A284" s="146"/>
      <c r="B284" s="145"/>
      <c r="C284" s="145"/>
      <c r="D284" s="144" t="s">
        <v>1889</v>
      </c>
      <c r="E284" s="144" t="s">
        <v>16882</v>
      </c>
      <c r="F284" s="144" t="s">
        <v>4853</v>
      </c>
      <c r="G284" s="144" t="s">
        <v>16881</v>
      </c>
      <c r="H284" s="144" t="s">
        <v>16880</v>
      </c>
      <c r="I284" s="144" t="s">
        <v>16879</v>
      </c>
      <c r="J284" s="143" t="s">
        <v>16878</v>
      </c>
    </row>
    <row r="285" spans="1:10" ht="93" x14ac:dyDescent="0.35">
      <c r="A285" s="146"/>
      <c r="B285" s="145"/>
      <c r="C285" s="145"/>
      <c r="D285" s="144" t="s">
        <v>16877</v>
      </c>
      <c r="E285" s="144" t="s">
        <v>16876</v>
      </c>
      <c r="F285" s="144" t="s">
        <v>4853</v>
      </c>
      <c r="G285" s="144" t="s">
        <v>16875</v>
      </c>
      <c r="H285" s="144" t="s">
        <v>16874</v>
      </c>
      <c r="I285" s="144" t="s">
        <v>16873</v>
      </c>
      <c r="J285" s="143" t="s">
        <v>16872</v>
      </c>
    </row>
    <row r="286" spans="1:10" ht="124" x14ac:dyDescent="0.35">
      <c r="A286" s="146"/>
      <c r="B286" s="145"/>
      <c r="C286" s="145"/>
      <c r="D286" s="144" t="s">
        <v>16871</v>
      </c>
      <c r="E286" s="144" t="s">
        <v>16870</v>
      </c>
      <c r="F286" s="144" t="s">
        <v>4853</v>
      </c>
      <c r="G286" s="144" t="s">
        <v>16869</v>
      </c>
      <c r="H286" s="144" t="s">
        <v>16868</v>
      </c>
      <c r="I286" s="144" t="s">
        <v>16867</v>
      </c>
      <c r="J286" s="143" t="s">
        <v>16866</v>
      </c>
    </row>
    <row r="287" spans="1:10" ht="108.5" x14ac:dyDescent="0.35">
      <c r="A287" s="146"/>
      <c r="B287" s="145"/>
      <c r="C287" s="145"/>
      <c r="D287" s="144" t="s">
        <v>16865</v>
      </c>
      <c r="E287" s="144" t="s">
        <v>16864</v>
      </c>
      <c r="F287" s="144" t="s">
        <v>4853</v>
      </c>
      <c r="G287" s="144" t="s">
        <v>16863</v>
      </c>
      <c r="H287" s="144" t="s">
        <v>16862</v>
      </c>
      <c r="I287" s="144" t="s">
        <v>16861</v>
      </c>
      <c r="J287" s="143" t="s">
        <v>16860</v>
      </c>
    </row>
    <row r="288" spans="1:10" ht="124" x14ac:dyDescent="0.35">
      <c r="A288" s="146"/>
      <c r="B288" s="145" t="s">
        <v>16859</v>
      </c>
      <c r="C288" s="145" t="s">
        <v>16858</v>
      </c>
      <c r="D288" s="144" t="s">
        <v>16857</v>
      </c>
      <c r="E288" s="144" t="s">
        <v>16856</v>
      </c>
      <c r="F288" s="144" t="s">
        <v>4853</v>
      </c>
      <c r="G288" s="144" t="s">
        <v>16855</v>
      </c>
      <c r="H288" s="144" t="s">
        <v>16854</v>
      </c>
      <c r="I288" s="144" t="s">
        <v>16853</v>
      </c>
      <c r="J288" s="143" t="s">
        <v>16852</v>
      </c>
    </row>
    <row r="289" spans="1:10" ht="93" x14ac:dyDescent="0.35">
      <c r="A289" s="146"/>
      <c r="B289" s="145"/>
      <c r="C289" s="145"/>
      <c r="D289" s="144" t="s">
        <v>16851</v>
      </c>
      <c r="E289" s="144" t="s">
        <v>16850</v>
      </c>
      <c r="F289" s="144" t="s">
        <v>4853</v>
      </c>
      <c r="G289" s="144" t="s">
        <v>9506</v>
      </c>
      <c r="H289" s="144" t="s">
        <v>16849</v>
      </c>
      <c r="I289" s="144" t="s">
        <v>16848</v>
      </c>
      <c r="J289" s="143" t="s">
        <v>16847</v>
      </c>
    </row>
    <row r="290" spans="1:10" ht="62" x14ac:dyDescent="0.35">
      <c r="A290" s="146"/>
      <c r="B290" s="145"/>
      <c r="C290" s="145"/>
      <c r="D290" s="144" t="s">
        <v>16846</v>
      </c>
      <c r="E290" s="144" t="s">
        <v>16845</v>
      </c>
      <c r="F290" s="144" t="s">
        <v>4853</v>
      </c>
      <c r="G290" s="144" t="s">
        <v>14479</v>
      </c>
      <c r="H290" s="144" t="s">
        <v>16844</v>
      </c>
      <c r="I290" s="144" t="s">
        <v>16843</v>
      </c>
      <c r="J290" s="143" t="s">
        <v>16842</v>
      </c>
    </row>
    <row r="291" spans="1:10" ht="93" x14ac:dyDescent="0.35">
      <c r="A291" s="146"/>
      <c r="B291" s="145"/>
      <c r="C291" s="145"/>
      <c r="D291" s="144" t="s">
        <v>16841</v>
      </c>
      <c r="E291" s="144" t="s">
        <v>16840</v>
      </c>
      <c r="F291" s="144" t="s">
        <v>4853</v>
      </c>
      <c r="G291" s="144" t="s">
        <v>16839</v>
      </c>
      <c r="H291" s="144" t="s">
        <v>16838</v>
      </c>
      <c r="I291" s="144" t="s">
        <v>16837</v>
      </c>
      <c r="J291" s="143" t="s">
        <v>16836</v>
      </c>
    </row>
    <row r="292" spans="1:10" ht="108.5" x14ac:dyDescent="0.35">
      <c r="A292" s="146"/>
      <c r="B292" s="145"/>
      <c r="C292" s="145"/>
      <c r="D292" s="144" t="s">
        <v>16835</v>
      </c>
      <c r="E292" s="144" t="s">
        <v>16834</v>
      </c>
      <c r="F292" s="144" t="s">
        <v>4853</v>
      </c>
      <c r="G292" s="144" t="s">
        <v>16833</v>
      </c>
      <c r="H292" s="144" t="s">
        <v>16832</v>
      </c>
      <c r="I292" s="144" t="s">
        <v>16831</v>
      </c>
      <c r="J292" s="143" t="s">
        <v>16830</v>
      </c>
    </row>
    <row r="293" spans="1:10" ht="93" x14ac:dyDescent="0.35">
      <c r="A293" s="146"/>
      <c r="B293" s="145"/>
      <c r="C293" s="145" t="s">
        <v>16829</v>
      </c>
      <c r="D293" s="144" t="s">
        <v>16828</v>
      </c>
      <c r="E293" s="144" t="s">
        <v>16827</v>
      </c>
      <c r="F293" s="144" t="s">
        <v>4853</v>
      </c>
      <c r="G293" s="144" t="s">
        <v>16826</v>
      </c>
      <c r="H293" s="144" t="s">
        <v>16825</v>
      </c>
      <c r="I293" s="144" t="s">
        <v>16824</v>
      </c>
      <c r="J293" s="143" t="s">
        <v>16823</v>
      </c>
    </row>
    <row r="294" spans="1:10" ht="93" x14ac:dyDescent="0.35">
      <c r="A294" s="146"/>
      <c r="B294" s="145"/>
      <c r="C294" s="145"/>
      <c r="D294" s="144" t="s">
        <v>16822</v>
      </c>
      <c r="E294" s="144" t="s">
        <v>16821</v>
      </c>
      <c r="F294" s="144" t="s">
        <v>4853</v>
      </c>
      <c r="G294" s="144" t="s">
        <v>16820</v>
      </c>
      <c r="H294" s="144" t="s">
        <v>16819</v>
      </c>
      <c r="I294" s="144" t="s">
        <v>16818</v>
      </c>
      <c r="J294" s="143" t="s">
        <v>16817</v>
      </c>
    </row>
    <row r="295" spans="1:10" ht="77.5" x14ac:dyDescent="0.35">
      <c r="A295" s="146"/>
      <c r="B295" s="145"/>
      <c r="C295" s="145"/>
      <c r="D295" s="144" t="s">
        <v>16816</v>
      </c>
      <c r="E295" s="144" t="s">
        <v>16815</v>
      </c>
      <c r="F295" s="144" t="s">
        <v>4853</v>
      </c>
      <c r="G295" s="144" t="s">
        <v>16814</v>
      </c>
      <c r="H295" s="144" t="s">
        <v>16813</v>
      </c>
      <c r="I295" s="144" t="s">
        <v>16812</v>
      </c>
      <c r="J295" s="143" t="s">
        <v>16811</v>
      </c>
    </row>
    <row r="296" spans="1:10" ht="77.5" x14ac:dyDescent="0.35">
      <c r="A296" s="146"/>
      <c r="B296" s="145"/>
      <c r="C296" s="145"/>
      <c r="D296" s="144" t="s">
        <v>16810</v>
      </c>
      <c r="E296" s="144" t="s">
        <v>16809</v>
      </c>
      <c r="F296" s="144" t="s">
        <v>4853</v>
      </c>
      <c r="G296" s="144" t="s">
        <v>16808</v>
      </c>
      <c r="H296" s="144" t="s">
        <v>16807</v>
      </c>
      <c r="I296" s="144" t="s">
        <v>16806</v>
      </c>
      <c r="J296" s="143" t="s">
        <v>16805</v>
      </c>
    </row>
    <row r="297" spans="1:10" ht="93" x14ac:dyDescent="0.35">
      <c r="A297" s="146"/>
      <c r="B297" s="145"/>
      <c r="C297" s="145"/>
      <c r="D297" s="144" t="s">
        <v>16804</v>
      </c>
      <c r="E297" s="144" t="s">
        <v>16803</v>
      </c>
      <c r="F297" s="144" t="s">
        <v>4853</v>
      </c>
      <c r="G297" s="144" t="s">
        <v>16802</v>
      </c>
      <c r="H297" s="144" t="s">
        <v>16801</v>
      </c>
      <c r="I297" s="144" t="s">
        <v>16800</v>
      </c>
      <c r="J297" s="143" t="s">
        <v>16799</v>
      </c>
    </row>
    <row r="298" spans="1:10" ht="108.5" x14ac:dyDescent="0.35">
      <c r="A298" s="146"/>
      <c r="B298" s="145"/>
      <c r="C298" s="145" t="s">
        <v>16798</v>
      </c>
      <c r="D298" s="144" t="s">
        <v>16797</v>
      </c>
      <c r="E298" s="144" t="s">
        <v>16796</v>
      </c>
      <c r="F298" s="144" t="s">
        <v>4853</v>
      </c>
      <c r="G298" s="144" t="s">
        <v>16795</v>
      </c>
      <c r="H298" s="144" t="s">
        <v>16794</v>
      </c>
      <c r="I298" s="144" t="s">
        <v>16793</v>
      </c>
      <c r="J298" s="143" t="s">
        <v>16792</v>
      </c>
    </row>
    <row r="299" spans="1:10" ht="93" x14ac:dyDescent="0.35">
      <c r="A299" s="146"/>
      <c r="B299" s="145"/>
      <c r="C299" s="145"/>
      <c r="D299" s="144" t="s">
        <v>16791</v>
      </c>
      <c r="E299" s="144" t="s">
        <v>16790</v>
      </c>
      <c r="F299" s="144" t="s">
        <v>4853</v>
      </c>
      <c r="G299" s="144" t="s">
        <v>16742</v>
      </c>
      <c r="H299" s="144" t="s">
        <v>16789</v>
      </c>
      <c r="I299" s="144" t="s">
        <v>16788</v>
      </c>
      <c r="J299" s="143" t="s">
        <v>16787</v>
      </c>
    </row>
    <row r="300" spans="1:10" ht="93" x14ac:dyDescent="0.35">
      <c r="A300" s="146"/>
      <c r="B300" s="145"/>
      <c r="C300" s="145"/>
      <c r="D300" s="144" t="s">
        <v>16786</v>
      </c>
      <c r="E300" s="144" t="s">
        <v>16785</v>
      </c>
      <c r="F300" s="144" t="s">
        <v>4853</v>
      </c>
      <c r="G300" s="144" t="s">
        <v>16784</v>
      </c>
      <c r="H300" s="144" t="s">
        <v>16783</v>
      </c>
      <c r="I300" s="144" t="s">
        <v>16782</v>
      </c>
      <c r="J300" s="143" t="s">
        <v>16781</v>
      </c>
    </row>
    <row r="301" spans="1:10" ht="108.5" x14ac:dyDescent="0.35">
      <c r="A301" s="146"/>
      <c r="B301" s="145"/>
      <c r="C301" s="145"/>
      <c r="D301" s="144" t="s">
        <v>16780</v>
      </c>
      <c r="E301" s="144" t="s">
        <v>16779</v>
      </c>
      <c r="F301" s="144" t="s">
        <v>4853</v>
      </c>
      <c r="G301" s="144" t="s">
        <v>16778</v>
      </c>
      <c r="H301" s="144" t="s">
        <v>15537</v>
      </c>
      <c r="I301" s="144" t="s">
        <v>16777</v>
      </c>
      <c r="J301" s="143" t="s">
        <v>16776</v>
      </c>
    </row>
    <row r="302" spans="1:10" ht="77.5" x14ac:dyDescent="0.35">
      <c r="A302" s="146"/>
      <c r="B302" s="145"/>
      <c r="C302" s="145"/>
      <c r="D302" s="144" t="s">
        <v>16775</v>
      </c>
      <c r="E302" s="144" t="s">
        <v>16774</v>
      </c>
      <c r="F302" s="144" t="s">
        <v>4853</v>
      </c>
      <c r="G302" s="144" t="s">
        <v>16773</v>
      </c>
      <c r="H302" s="144" t="s">
        <v>16772</v>
      </c>
      <c r="I302" s="144" t="s">
        <v>16771</v>
      </c>
      <c r="J302" s="143" t="s">
        <v>16770</v>
      </c>
    </row>
    <row r="303" spans="1:10" ht="93" x14ac:dyDescent="0.35">
      <c r="A303" s="146"/>
      <c r="B303" s="145"/>
      <c r="C303" s="145" t="s">
        <v>16769</v>
      </c>
      <c r="D303" s="144" t="s">
        <v>16768</v>
      </c>
      <c r="E303" s="144" t="s">
        <v>16767</v>
      </c>
      <c r="F303" s="144" t="s">
        <v>4853</v>
      </c>
      <c r="G303" s="144" t="s">
        <v>16766</v>
      </c>
      <c r="H303" s="144" t="s">
        <v>16765</v>
      </c>
      <c r="I303" s="144" t="s">
        <v>16764</v>
      </c>
      <c r="J303" s="143" t="s">
        <v>16763</v>
      </c>
    </row>
    <row r="304" spans="1:10" ht="93" x14ac:dyDescent="0.35">
      <c r="A304" s="146"/>
      <c r="B304" s="145"/>
      <c r="C304" s="145"/>
      <c r="D304" s="144" t="s">
        <v>16762</v>
      </c>
      <c r="E304" s="144" t="s">
        <v>16761</v>
      </c>
      <c r="F304" s="144" t="s">
        <v>4853</v>
      </c>
      <c r="G304" s="144" t="s">
        <v>16760</v>
      </c>
      <c r="H304" s="144" t="s">
        <v>16759</v>
      </c>
      <c r="I304" s="144" t="s">
        <v>16758</v>
      </c>
      <c r="J304" s="143" t="s">
        <v>16757</v>
      </c>
    </row>
    <row r="305" spans="1:10" ht="77.5" x14ac:dyDescent="0.35">
      <c r="A305" s="146"/>
      <c r="B305" s="145"/>
      <c r="C305" s="145"/>
      <c r="D305" s="144" t="s">
        <v>16756</v>
      </c>
      <c r="E305" s="144" t="s">
        <v>16755</v>
      </c>
      <c r="F305" s="144" t="s">
        <v>4853</v>
      </c>
      <c r="G305" s="144" t="s">
        <v>16754</v>
      </c>
      <c r="H305" s="144" t="s">
        <v>16753</v>
      </c>
      <c r="I305" s="144" t="s">
        <v>16752</v>
      </c>
      <c r="J305" s="143" t="s">
        <v>16751</v>
      </c>
    </row>
    <row r="306" spans="1:10" ht="93" x14ac:dyDescent="0.35">
      <c r="A306" s="146"/>
      <c r="B306" s="145"/>
      <c r="C306" s="145"/>
      <c r="D306" s="144" t="s">
        <v>16750</v>
      </c>
      <c r="E306" s="144" t="s">
        <v>16749</v>
      </c>
      <c r="F306" s="144" t="s">
        <v>4853</v>
      </c>
      <c r="G306" s="144" t="s">
        <v>16748</v>
      </c>
      <c r="H306" s="144" t="s">
        <v>16747</v>
      </c>
      <c r="I306" s="144" t="s">
        <v>16746</v>
      </c>
      <c r="J306" s="143" t="s">
        <v>16745</v>
      </c>
    </row>
    <row r="307" spans="1:10" ht="93" x14ac:dyDescent="0.35">
      <c r="A307" s="146"/>
      <c r="B307" s="145"/>
      <c r="C307" s="145"/>
      <c r="D307" s="144" t="s">
        <v>16744</v>
      </c>
      <c r="E307" s="144" t="s">
        <v>16743</v>
      </c>
      <c r="F307" s="144" t="s">
        <v>4853</v>
      </c>
      <c r="G307" s="144" t="s">
        <v>16742</v>
      </c>
      <c r="H307" s="144" t="s">
        <v>16741</v>
      </c>
      <c r="I307" s="144" t="s">
        <v>16740</v>
      </c>
      <c r="J307" s="143" t="s">
        <v>16739</v>
      </c>
    </row>
    <row r="308" spans="1:10" ht="108.5" x14ac:dyDescent="0.35">
      <c r="A308" s="146"/>
      <c r="B308" s="145"/>
      <c r="C308" s="145" t="s">
        <v>16738</v>
      </c>
      <c r="D308" s="144" t="s">
        <v>16737</v>
      </c>
      <c r="E308" s="144" t="s">
        <v>16736</v>
      </c>
      <c r="F308" s="144" t="s">
        <v>4853</v>
      </c>
      <c r="G308" s="144" t="s">
        <v>16735</v>
      </c>
      <c r="H308" s="144" t="s">
        <v>16734</v>
      </c>
      <c r="I308" s="144" t="s">
        <v>16733</v>
      </c>
      <c r="J308" s="143" t="s">
        <v>16732</v>
      </c>
    </row>
    <row r="309" spans="1:10" ht="62" x14ac:dyDescent="0.35">
      <c r="A309" s="146"/>
      <c r="B309" s="145"/>
      <c r="C309" s="145"/>
      <c r="D309" s="144" t="s">
        <v>16731</v>
      </c>
      <c r="E309" s="144" t="s">
        <v>16730</v>
      </c>
      <c r="F309" s="144" t="s">
        <v>4853</v>
      </c>
      <c r="G309" s="144" t="s">
        <v>16729</v>
      </c>
      <c r="H309" s="144" t="s">
        <v>16728</v>
      </c>
      <c r="I309" s="144" t="s">
        <v>16727</v>
      </c>
      <c r="J309" s="143" t="s">
        <v>16726</v>
      </c>
    </row>
    <row r="310" spans="1:10" ht="108.5" x14ac:dyDescent="0.35">
      <c r="A310" s="146"/>
      <c r="B310" s="145"/>
      <c r="C310" s="145"/>
      <c r="D310" s="144" t="s">
        <v>16725</v>
      </c>
      <c r="E310" s="144" t="s">
        <v>16724</v>
      </c>
      <c r="F310" s="144" t="s">
        <v>4853</v>
      </c>
      <c r="G310" s="144" t="s">
        <v>16723</v>
      </c>
      <c r="H310" s="144" t="s">
        <v>16722</v>
      </c>
      <c r="I310" s="144" t="s">
        <v>16721</v>
      </c>
      <c r="J310" s="143" t="s">
        <v>16720</v>
      </c>
    </row>
    <row r="311" spans="1:10" ht="77.5" x14ac:dyDescent="0.35">
      <c r="A311" s="146"/>
      <c r="B311" s="145"/>
      <c r="C311" s="145"/>
      <c r="D311" s="144" t="s">
        <v>14135</v>
      </c>
      <c r="E311" s="144" t="s">
        <v>16719</v>
      </c>
      <c r="F311" s="144" t="s">
        <v>4853</v>
      </c>
      <c r="G311" s="144" t="s">
        <v>16718</v>
      </c>
      <c r="H311" s="144" t="s">
        <v>16717</v>
      </c>
      <c r="I311" s="144" t="s">
        <v>16716</v>
      </c>
      <c r="J311" s="143" t="s">
        <v>16715</v>
      </c>
    </row>
    <row r="312" spans="1:10" ht="109" thickBot="1" x14ac:dyDescent="0.4">
      <c r="A312" s="142"/>
      <c r="B312" s="141"/>
      <c r="C312" s="141"/>
      <c r="D312" s="140" t="s">
        <v>16714</v>
      </c>
      <c r="E312" s="140" t="s">
        <v>16713</v>
      </c>
      <c r="F312" s="140" t="s">
        <v>4853</v>
      </c>
      <c r="G312" s="140" t="s">
        <v>16712</v>
      </c>
      <c r="H312" s="140" t="s">
        <v>16711</v>
      </c>
      <c r="I312" s="140" t="s">
        <v>16710</v>
      </c>
      <c r="J312" s="139" t="s">
        <v>16709</v>
      </c>
    </row>
  </sheetData>
  <mergeCells count="71">
    <mergeCell ref="C268:C272"/>
    <mergeCell ref="C273:C277"/>
    <mergeCell ref="C278:C282"/>
    <mergeCell ref="C283:C287"/>
    <mergeCell ref="C238:C242"/>
    <mergeCell ref="C243:C247"/>
    <mergeCell ref="B288:B312"/>
    <mergeCell ref="C136:C140"/>
    <mergeCell ref="C141:C145"/>
    <mergeCell ref="C146:C150"/>
    <mergeCell ref="C288:C292"/>
    <mergeCell ref="C293:C297"/>
    <mergeCell ref="C298:C302"/>
    <mergeCell ref="C303:C307"/>
    <mergeCell ref="C308:C312"/>
    <mergeCell ref="C263:C267"/>
    <mergeCell ref="C208:C212"/>
    <mergeCell ref="C248:C252"/>
    <mergeCell ref="C253:C257"/>
    <mergeCell ref="C258:C262"/>
    <mergeCell ref="C213:C217"/>
    <mergeCell ref="C218:C222"/>
    <mergeCell ref="C223:C227"/>
    <mergeCell ref="C228:C232"/>
    <mergeCell ref="C233:C237"/>
    <mergeCell ref="C178:C182"/>
    <mergeCell ref="C183:C187"/>
    <mergeCell ref="C188:C192"/>
    <mergeCell ref="C193:C197"/>
    <mergeCell ref="C198:C202"/>
    <mergeCell ref="C203:C207"/>
    <mergeCell ref="C127:C131"/>
    <mergeCell ref="C153:C157"/>
    <mergeCell ref="C158:C162"/>
    <mergeCell ref="C163:C167"/>
    <mergeCell ref="C168:C172"/>
    <mergeCell ref="C173:C177"/>
    <mergeCell ref="C97:C101"/>
    <mergeCell ref="C102:C106"/>
    <mergeCell ref="C107:C111"/>
    <mergeCell ref="C112:C116"/>
    <mergeCell ref="C117:C121"/>
    <mergeCell ref="C122:C126"/>
    <mergeCell ref="C67:C71"/>
    <mergeCell ref="C72:C76"/>
    <mergeCell ref="C77:C81"/>
    <mergeCell ref="C82:C86"/>
    <mergeCell ref="C87:C91"/>
    <mergeCell ref="C92:C96"/>
    <mergeCell ref="C52:C56"/>
    <mergeCell ref="C57:C61"/>
    <mergeCell ref="C62:C66"/>
    <mergeCell ref="C27:C31"/>
    <mergeCell ref="C32:C36"/>
    <mergeCell ref="C37:C41"/>
    <mergeCell ref="C42:C46"/>
    <mergeCell ref="C47:C51"/>
    <mergeCell ref="C2:C6"/>
    <mergeCell ref="B2:B41"/>
    <mergeCell ref="C17:C21"/>
    <mergeCell ref="C22:C26"/>
    <mergeCell ref="C7:C11"/>
    <mergeCell ref="C12:C16"/>
    <mergeCell ref="B173:B197"/>
    <mergeCell ref="B198:B242"/>
    <mergeCell ref="B243:B287"/>
    <mergeCell ref="B42:B61"/>
    <mergeCell ref="B62:B101"/>
    <mergeCell ref="B102:B121"/>
    <mergeCell ref="B122:B135"/>
    <mergeCell ref="B136:B17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2C2C7-D95A-496A-9636-3DC97C4958F4}">
  <dimension ref="A1:I71"/>
  <sheetViews>
    <sheetView tabSelected="1" topLeftCell="F1" workbookViewId="0">
      <selection sqref="A1:L71"/>
    </sheetView>
  </sheetViews>
  <sheetFormatPr baseColWidth="10" defaultRowHeight="14.5" x14ac:dyDescent="0.35"/>
  <cols>
    <col min="1" max="1" width="40.81640625" customWidth="1"/>
    <col min="2" max="2" width="45.453125" customWidth="1"/>
    <col min="3" max="3" width="63.81640625" customWidth="1"/>
    <col min="4" max="4" width="41.6328125" customWidth="1"/>
    <col min="5" max="5" width="54.26953125" customWidth="1"/>
    <col min="6" max="6" width="46.6328125" customWidth="1"/>
    <col min="7" max="7" width="53.81640625" customWidth="1"/>
    <col min="8" max="8" width="40.26953125" customWidth="1"/>
  </cols>
  <sheetData>
    <row r="1" spans="1:9" x14ac:dyDescent="0.35">
      <c r="A1" s="4" t="s">
        <v>9268</v>
      </c>
      <c r="B1" s="4" t="s">
        <v>16479</v>
      </c>
      <c r="C1" s="4" t="s">
        <v>16480</v>
      </c>
      <c r="D1" s="4" t="s">
        <v>9271</v>
      </c>
      <c r="E1" s="4" t="s">
        <v>4842</v>
      </c>
      <c r="F1" s="4" t="s">
        <v>16481</v>
      </c>
      <c r="G1" s="4" t="s">
        <v>4840</v>
      </c>
      <c r="H1" s="4" t="s">
        <v>9272</v>
      </c>
      <c r="I1" s="4" t="s">
        <v>4837</v>
      </c>
    </row>
    <row r="2" spans="1:9" x14ac:dyDescent="0.35">
      <c r="A2" s="61" t="s">
        <v>16482</v>
      </c>
      <c r="B2" s="61" t="s">
        <v>16483</v>
      </c>
      <c r="C2" s="134" t="s">
        <v>16484</v>
      </c>
      <c r="D2" s="134" t="s">
        <v>16485</v>
      </c>
      <c r="E2" s="134" t="s">
        <v>4880</v>
      </c>
      <c r="F2" s="5" t="s">
        <v>16486</v>
      </c>
      <c r="G2" s="5" t="s">
        <v>16487</v>
      </c>
      <c r="H2" s="4"/>
    </row>
    <row r="3" spans="1:9" x14ac:dyDescent="0.35">
      <c r="A3" s="61"/>
      <c r="B3" s="61"/>
      <c r="C3" s="134" t="s">
        <v>16488</v>
      </c>
      <c r="D3" s="134" t="s">
        <v>16489</v>
      </c>
      <c r="E3" s="134" t="s">
        <v>4880</v>
      </c>
      <c r="F3" t="s">
        <v>16490</v>
      </c>
      <c r="G3" s="5" t="s">
        <v>16491</v>
      </c>
      <c r="H3" s="4"/>
    </row>
    <row r="4" spans="1:9" x14ac:dyDescent="0.35">
      <c r="A4" s="61"/>
      <c r="B4" s="61"/>
      <c r="C4" s="134" t="s">
        <v>16492</v>
      </c>
      <c r="D4" s="134" t="s">
        <v>16493</v>
      </c>
      <c r="E4" s="134" t="s">
        <v>4880</v>
      </c>
      <c r="F4" t="s">
        <v>16494</v>
      </c>
      <c r="G4" s="5" t="s">
        <v>16495</v>
      </c>
      <c r="H4" s="4"/>
    </row>
    <row r="5" spans="1:9" x14ac:dyDescent="0.35">
      <c r="A5" s="61"/>
      <c r="B5" s="61"/>
      <c r="C5" s="134" t="s">
        <v>16496</v>
      </c>
      <c r="D5" s="134" t="s">
        <v>16497</v>
      </c>
      <c r="E5" s="134" t="s">
        <v>4880</v>
      </c>
      <c r="F5" t="s">
        <v>16498</v>
      </c>
      <c r="G5" s="5" t="s">
        <v>16499</v>
      </c>
      <c r="H5" s="4"/>
    </row>
    <row r="6" spans="1:9" x14ac:dyDescent="0.35">
      <c r="A6" s="61"/>
      <c r="B6" s="61"/>
      <c r="C6" s="134" t="s">
        <v>16500</v>
      </c>
      <c r="D6" s="134" t="s">
        <v>16501</v>
      </c>
      <c r="E6" s="134" t="s">
        <v>4880</v>
      </c>
      <c r="F6" t="s">
        <v>16502</v>
      </c>
      <c r="G6" s="4"/>
      <c r="H6" s="4"/>
    </row>
    <row r="7" spans="1:9" x14ac:dyDescent="0.35">
      <c r="A7" s="61"/>
      <c r="B7" s="61" t="s">
        <v>16503</v>
      </c>
      <c r="C7" s="134" t="s">
        <v>16504</v>
      </c>
      <c r="D7" s="134" t="s">
        <v>16505</v>
      </c>
      <c r="E7" s="134" t="s">
        <v>4880</v>
      </c>
      <c r="F7" t="s">
        <v>16506</v>
      </c>
      <c r="G7" s="135"/>
      <c r="H7" s="4"/>
    </row>
    <row r="8" spans="1:9" x14ac:dyDescent="0.35">
      <c r="A8" s="61"/>
      <c r="B8" s="61"/>
      <c r="C8" s="134" t="s">
        <v>16507</v>
      </c>
      <c r="D8" s="134" t="s">
        <v>16508</v>
      </c>
      <c r="E8" s="134" t="s">
        <v>4880</v>
      </c>
      <c r="F8" t="s">
        <v>16509</v>
      </c>
      <c r="G8" s="135"/>
      <c r="H8" s="4"/>
    </row>
    <row r="9" spans="1:9" x14ac:dyDescent="0.35">
      <c r="A9" s="61"/>
      <c r="B9" s="61"/>
      <c r="C9" s="134" t="s">
        <v>16510</v>
      </c>
      <c r="D9" s="134" t="s">
        <v>16511</v>
      </c>
      <c r="E9" s="134" t="s">
        <v>4880</v>
      </c>
      <c r="F9" t="s">
        <v>16512</v>
      </c>
      <c r="G9" s="135"/>
      <c r="H9" s="4"/>
    </row>
    <row r="10" spans="1:9" x14ac:dyDescent="0.35">
      <c r="A10" s="61"/>
      <c r="B10" s="61"/>
      <c r="C10" s="134" t="s">
        <v>16513</v>
      </c>
      <c r="D10" s="134" t="s">
        <v>16514</v>
      </c>
      <c r="E10" s="134" t="s">
        <v>4880</v>
      </c>
      <c r="F10" t="s">
        <v>16515</v>
      </c>
      <c r="G10" s="135"/>
      <c r="H10" s="4"/>
    </row>
    <row r="11" spans="1:9" x14ac:dyDescent="0.35">
      <c r="A11" s="61"/>
      <c r="B11" s="61"/>
      <c r="C11" s="134" t="s">
        <v>16516</v>
      </c>
      <c r="D11" s="134" t="s">
        <v>16517</v>
      </c>
      <c r="E11" s="134" t="s">
        <v>4880</v>
      </c>
      <c r="F11" t="s">
        <v>16518</v>
      </c>
      <c r="G11" s="135"/>
      <c r="H11" s="4"/>
    </row>
    <row r="12" spans="1:9" ht="72.5" x14ac:dyDescent="0.35">
      <c r="A12" s="61"/>
      <c r="B12" s="61" t="s">
        <v>16519</v>
      </c>
      <c r="C12" s="2" t="s">
        <v>16520</v>
      </c>
      <c r="D12" s="2" t="s">
        <v>16521</v>
      </c>
      <c r="E12" s="134" t="s">
        <v>4880</v>
      </c>
      <c r="F12" t="s">
        <v>16522</v>
      </c>
      <c r="G12" s="4"/>
      <c r="H12" s="4"/>
    </row>
    <row r="13" spans="1:9" ht="72.5" x14ac:dyDescent="0.35">
      <c r="A13" s="61"/>
      <c r="B13" s="61"/>
      <c r="C13" s="2" t="s">
        <v>16523</v>
      </c>
      <c r="D13" s="2" t="s">
        <v>16524</v>
      </c>
      <c r="E13" s="134" t="s">
        <v>4880</v>
      </c>
      <c r="F13" t="s">
        <v>16525</v>
      </c>
      <c r="G13" s="4"/>
      <c r="H13" s="4"/>
    </row>
    <row r="14" spans="1:9" ht="87" x14ac:dyDescent="0.35">
      <c r="A14" s="61"/>
      <c r="B14" s="61"/>
      <c r="C14" s="2" t="s">
        <v>16526</v>
      </c>
      <c r="D14" s="2" t="s">
        <v>16527</v>
      </c>
      <c r="E14" s="134" t="s">
        <v>4880</v>
      </c>
      <c r="F14" t="s">
        <v>16528</v>
      </c>
      <c r="G14" s="4"/>
      <c r="H14" s="4"/>
    </row>
    <row r="15" spans="1:9" ht="101.5" x14ac:dyDescent="0.35">
      <c r="A15" s="61"/>
      <c r="B15" s="61"/>
      <c r="C15" s="2" t="s">
        <v>16529</v>
      </c>
      <c r="D15" s="2" t="s">
        <v>16530</v>
      </c>
      <c r="E15" s="134" t="s">
        <v>4880</v>
      </c>
      <c r="F15" t="s">
        <v>16531</v>
      </c>
      <c r="G15" s="4"/>
      <c r="H15" s="4"/>
    </row>
    <row r="16" spans="1:9" x14ac:dyDescent="0.35">
      <c r="A16" s="61"/>
      <c r="B16" s="61"/>
      <c r="C16" s="5" t="s">
        <v>16532</v>
      </c>
      <c r="D16" s="5" t="s">
        <v>16533</v>
      </c>
      <c r="E16" s="134" t="s">
        <v>4880</v>
      </c>
      <c r="F16" t="s">
        <v>16534</v>
      </c>
      <c r="G16" s="4"/>
      <c r="H16" s="4"/>
    </row>
    <row r="17" spans="1:8" x14ac:dyDescent="0.35">
      <c r="A17" s="61"/>
      <c r="B17" s="61" t="s">
        <v>16535</v>
      </c>
      <c r="C17" s="134" t="s">
        <v>16536</v>
      </c>
      <c r="D17" s="134" t="s">
        <v>16537</v>
      </c>
      <c r="E17" s="134" t="s">
        <v>4880</v>
      </c>
      <c r="F17" t="s">
        <v>16538</v>
      </c>
      <c r="G17" s="4"/>
      <c r="H17" s="4"/>
    </row>
    <row r="18" spans="1:8" x14ac:dyDescent="0.35">
      <c r="A18" s="61"/>
      <c r="B18" s="61"/>
      <c r="C18" s="134" t="s">
        <v>16539</v>
      </c>
      <c r="D18" s="134" t="s">
        <v>16540</v>
      </c>
      <c r="E18" s="134" t="s">
        <v>4880</v>
      </c>
      <c r="F18" t="s">
        <v>16541</v>
      </c>
      <c r="G18" s="4"/>
      <c r="H18" s="4"/>
    </row>
    <row r="19" spans="1:8" x14ac:dyDescent="0.35">
      <c r="A19" s="61"/>
      <c r="B19" s="61"/>
      <c r="C19" s="134" t="s">
        <v>16542</v>
      </c>
      <c r="D19" s="134" t="s">
        <v>16543</v>
      </c>
      <c r="E19" s="134" t="s">
        <v>4880</v>
      </c>
      <c r="F19" t="s">
        <v>16544</v>
      </c>
      <c r="G19" s="4"/>
      <c r="H19" s="4"/>
    </row>
    <row r="20" spans="1:8" x14ac:dyDescent="0.35">
      <c r="A20" s="61"/>
      <c r="B20" s="61"/>
      <c r="C20" s="134" t="s">
        <v>16545</v>
      </c>
      <c r="D20" s="134" t="s">
        <v>16546</v>
      </c>
      <c r="E20" s="134" t="s">
        <v>4880</v>
      </c>
      <c r="F20" t="s">
        <v>16547</v>
      </c>
      <c r="G20" s="4"/>
      <c r="H20" s="4"/>
    </row>
    <row r="21" spans="1:8" x14ac:dyDescent="0.35">
      <c r="A21" s="61"/>
      <c r="B21" s="61"/>
      <c r="C21" s="134" t="s">
        <v>16548</v>
      </c>
      <c r="D21" s="134" t="s">
        <v>16549</v>
      </c>
      <c r="E21" s="134" t="s">
        <v>16550</v>
      </c>
      <c r="F21" t="s">
        <v>16551</v>
      </c>
      <c r="G21" s="4"/>
      <c r="H21" s="4"/>
    </row>
    <row r="22" spans="1:8" x14ac:dyDescent="0.35">
      <c r="A22" s="61"/>
      <c r="B22" s="61" t="s">
        <v>16552</v>
      </c>
      <c r="C22" s="134" t="s">
        <v>16553</v>
      </c>
      <c r="D22" s="134" t="s">
        <v>16554</v>
      </c>
      <c r="E22" s="134" t="s">
        <v>16550</v>
      </c>
      <c r="F22" t="s">
        <v>16555</v>
      </c>
      <c r="G22" s="4"/>
      <c r="H22" s="4"/>
    </row>
    <row r="23" spans="1:8" x14ac:dyDescent="0.35">
      <c r="A23" s="61"/>
      <c r="B23" s="61"/>
      <c r="C23" s="134" t="s">
        <v>16556</v>
      </c>
      <c r="D23" s="134" t="s">
        <v>16557</v>
      </c>
      <c r="E23" s="134" t="s">
        <v>16550</v>
      </c>
      <c r="F23" t="s">
        <v>16558</v>
      </c>
      <c r="G23" s="4"/>
      <c r="H23" s="4"/>
    </row>
    <row r="24" spans="1:8" x14ac:dyDescent="0.35">
      <c r="A24" s="61"/>
      <c r="B24" s="61"/>
      <c r="C24" s="134" t="s">
        <v>16559</v>
      </c>
      <c r="D24" s="134" t="s">
        <v>16560</v>
      </c>
      <c r="E24" s="134" t="s">
        <v>4880</v>
      </c>
      <c r="F24" t="s">
        <v>16561</v>
      </c>
      <c r="G24" s="4"/>
      <c r="H24" s="4"/>
    </row>
    <row r="25" spans="1:8" x14ac:dyDescent="0.35">
      <c r="A25" s="61"/>
      <c r="B25" s="61"/>
      <c r="C25" s="134" t="s">
        <v>16562</v>
      </c>
      <c r="D25" s="134" t="s">
        <v>16563</v>
      </c>
      <c r="E25" s="134" t="s">
        <v>4880</v>
      </c>
      <c r="F25" t="s">
        <v>16564</v>
      </c>
      <c r="G25" s="4"/>
      <c r="H25" s="4"/>
    </row>
    <row r="26" spans="1:8" x14ac:dyDescent="0.35">
      <c r="A26" s="61"/>
      <c r="B26" s="61"/>
      <c r="C26" s="134" t="s">
        <v>16565</v>
      </c>
      <c r="D26" s="134" t="s">
        <v>16566</v>
      </c>
      <c r="E26" s="134" t="s">
        <v>4880</v>
      </c>
      <c r="F26" t="s">
        <v>16567</v>
      </c>
      <c r="G26" s="4"/>
      <c r="H26" s="4"/>
    </row>
    <row r="27" spans="1:8" x14ac:dyDescent="0.35">
      <c r="A27" s="61" t="s">
        <v>16568</v>
      </c>
      <c r="B27" s="61" t="s">
        <v>16569</v>
      </c>
      <c r="C27" s="134" t="s">
        <v>16570</v>
      </c>
      <c r="D27" s="134" t="s">
        <v>16571</v>
      </c>
      <c r="E27" s="134" t="s">
        <v>4880</v>
      </c>
      <c r="F27" t="s">
        <v>16572</v>
      </c>
    </row>
    <row r="28" spans="1:8" x14ac:dyDescent="0.35">
      <c r="A28" s="61"/>
      <c r="B28" s="61"/>
      <c r="C28" s="134" t="s">
        <v>16573</v>
      </c>
      <c r="D28" s="134" t="s">
        <v>16574</v>
      </c>
      <c r="E28" s="134" t="s">
        <v>4880</v>
      </c>
      <c r="F28" t="s">
        <v>16575</v>
      </c>
    </row>
    <row r="29" spans="1:8" x14ac:dyDescent="0.35">
      <c r="A29" s="61"/>
      <c r="B29" s="61"/>
      <c r="C29" s="134" t="s">
        <v>16576</v>
      </c>
      <c r="D29" s="134" t="s">
        <v>16577</v>
      </c>
      <c r="E29" s="134" t="s">
        <v>4880</v>
      </c>
      <c r="F29" t="s">
        <v>16578</v>
      </c>
    </row>
    <row r="30" spans="1:8" x14ac:dyDescent="0.35">
      <c r="A30" s="61"/>
      <c r="B30" s="61"/>
      <c r="C30" s="134" t="s">
        <v>16579</v>
      </c>
      <c r="D30" s="134" t="s">
        <v>16580</v>
      </c>
      <c r="E30" s="134" t="s">
        <v>4880</v>
      </c>
      <c r="F30" t="s">
        <v>16581</v>
      </c>
    </row>
    <row r="31" spans="1:8" x14ac:dyDescent="0.35">
      <c r="A31" s="61"/>
      <c r="B31" s="61"/>
      <c r="C31" s="134" t="s">
        <v>16582</v>
      </c>
      <c r="D31" s="5" t="s">
        <v>16583</v>
      </c>
      <c r="E31" s="134" t="s">
        <v>4880</v>
      </c>
      <c r="F31" t="s">
        <v>16498</v>
      </c>
    </row>
    <row r="32" spans="1:8" x14ac:dyDescent="0.35">
      <c r="A32" s="61"/>
      <c r="B32" s="61" t="s">
        <v>16584</v>
      </c>
      <c r="C32" s="134" t="s">
        <v>16585</v>
      </c>
      <c r="D32" s="134" t="s">
        <v>16586</v>
      </c>
      <c r="E32" s="134" t="s">
        <v>4880</v>
      </c>
      <c r="F32" t="s">
        <v>16587</v>
      </c>
    </row>
    <row r="33" spans="1:6" x14ac:dyDescent="0.35">
      <c r="A33" s="61"/>
      <c r="B33" s="61"/>
      <c r="C33" s="134" t="s">
        <v>16588</v>
      </c>
      <c r="D33" s="134" t="s">
        <v>16589</v>
      </c>
      <c r="E33" s="134" t="s">
        <v>4880</v>
      </c>
      <c r="F33" t="s">
        <v>16590</v>
      </c>
    </row>
    <row r="34" spans="1:6" x14ac:dyDescent="0.35">
      <c r="A34" s="61"/>
      <c r="B34" s="61"/>
      <c r="C34" s="134" t="s">
        <v>16591</v>
      </c>
      <c r="D34" s="134" t="s">
        <v>16592</v>
      </c>
      <c r="E34" s="134" t="s">
        <v>4880</v>
      </c>
      <c r="F34" t="s">
        <v>16593</v>
      </c>
    </row>
    <row r="35" spans="1:6" x14ac:dyDescent="0.35">
      <c r="A35" s="61"/>
      <c r="B35" s="61"/>
      <c r="C35" s="134" t="s">
        <v>16559</v>
      </c>
      <c r="D35" s="134" t="s">
        <v>16594</v>
      </c>
      <c r="E35" s="134" t="s">
        <v>4880</v>
      </c>
      <c r="F35" t="s">
        <v>16595</v>
      </c>
    </row>
    <row r="36" spans="1:6" x14ac:dyDescent="0.35">
      <c r="A36" s="61"/>
      <c r="B36" s="61"/>
      <c r="C36" s="5" t="s">
        <v>16596</v>
      </c>
      <c r="D36" s="5" t="s">
        <v>16597</v>
      </c>
      <c r="E36" s="134" t="s">
        <v>4880</v>
      </c>
      <c r="F36" t="s">
        <v>16498</v>
      </c>
    </row>
    <row r="37" spans="1:6" x14ac:dyDescent="0.35">
      <c r="A37" s="61"/>
      <c r="B37" s="61" t="s">
        <v>16598</v>
      </c>
      <c r="C37" s="134" t="s">
        <v>16520</v>
      </c>
      <c r="D37" s="134" t="s">
        <v>16599</v>
      </c>
      <c r="E37" s="134" t="s">
        <v>4880</v>
      </c>
      <c r="F37" t="s">
        <v>16600</v>
      </c>
    </row>
    <row r="38" spans="1:6" x14ac:dyDescent="0.35">
      <c r="A38" s="61"/>
      <c r="B38" s="61"/>
      <c r="C38" s="134" t="s">
        <v>16601</v>
      </c>
      <c r="D38" s="134" t="s">
        <v>16602</v>
      </c>
      <c r="E38" s="134" t="s">
        <v>16603</v>
      </c>
      <c r="F38" t="s">
        <v>16604</v>
      </c>
    </row>
    <row r="39" spans="1:6" x14ac:dyDescent="0.35">
      <c r="A39" s="61"/>
      <c r="B39" s="61"/>
      <c r="C39" s="134" t="s">
        <v>16605</v>
      </c>
      <c r="D39" s="134" t="s">
        <v>16606</v>
      </c>
      <c r="E39" s="134" t="s">
        <v>4880</v>
      </c>
      <c r="F39" t="s">
        <v>16607</v>
      </c>
    </row>
    <row r="40" spans="1:6" x14ac:dyDescent="0.35">
      <c r="A40" s="61"/>
      <c r="B40" s="61"/>
      <c r="C40" s="134" t="s">
        <v>16608</v>
      </c>
      <c r="D40" s="134" t="s">
        <v>16609</v>
      </c>
      <c r="E40" s="134" t="s">
        <v>16603</v>
      </c>
      <c r="F40" t="s">
        <v>16610</v>
      </c>
    </row>
    <row r="41" spans="1:6" x14ac:dyDescent="0.35">
      <c r="A41" s="61"/>
      <c r="B41" s="61"/>
      <c r="C41" s="5" t="s">
        <v>16611</v>
      </c>
      <c r="D41" s="5" t="s">
        <v>16612</v>
      </c>
      <c r="E41" s="5" t="s">
        <v>4880</v>
      </c>
      <c r="F41" t="s">
        <v>16613</v>
      </c>
    </row>
    <row r="42" spans="1:6" x14ac:dyDescent="0.35">
      <c r="A42" s="61"/>
      <c r="B42" s="61" t="s">
        <v>16614</v>
      </c>
      <c r="C42" s="134" t="s">
        <v>16615</v>
      </c>
      <c r="D42" s="134" t="s">
        <v>16616</v>
      </c>
      <c r="E42" s="134" t="s">
        <v>16603</v>
      </c>
      <c r="F42" t="s">
        <v>16617</v>
      </c>
    </row>
    <row r="43" spans="1:6" x14ac:dyDescent="0.35">
      <c r="A43" s="61"/>
      <c r="B43" s="61"/>
      <c r="C43" s="134" t="s">
        <v>16618</v>
      </c>
      <c r="D43" s="134" t="s">
        <v>16619</v>
      </c>
      <c r="E43" s="134" t="s">
        <v>16550</v>
      </c>
      <c r="F43" t="s">
        <v>16620</v>
      </c>
    </row>
    <row r="44" spans="1:6" x14ac:dyDescent="0.35">
      <c r="A44" s="61"/>
      <c r="B44" s="61"/>
      <c r="C44" s="134" t="s">
        <v>16621</v>
      </c>
      <c r="D44" s="134" t="s">
        <v>16622</v>
      </c>
      <c r="E44" s="134" t="s">
        <v>4880</v>
      </c>
      <c r="F44" t="s">
        <v>16623</v>
      </c>
    </row>
    <row r="45" spans="1:6" x14ac:dyDescent="0.35">
      <c r="A45" s="61"/>
      <c r="B45" s="61"/>
      <c r="C45" s="134" t="s">
        <v>16624</v>
      </c>
      <c r="D45" s="134" t="s">
        <v>16625</v>
      </c>
      <c r="E45" s="134" t="s">
        <v>4880</v>
      </c>
      <c r="F45" t="s">
        <v>16626</v>
      </c>
    </row>
    <row r="46" spans="1:6" x14ac:dyDescent="0.35">
      <c r="A46" s="61"/>
      <c r="B46" s="61"/>
      <c r="C46" s="5" t="s">
        <v>16627</v>
      </c>
      <c r="D46" s="5" t="s">
        <v>16628</v>
      </c>
      <c r="E46" s="134" t="s">
        <v>4880</v>
      </c>
      <c r="F46" t="s">
        <v>16629</v>
      </c>
    </row>
    <row r="47" spans="1:6" x14ac:dyDescent="0.35">
      <c r="A47" s="61" t="s">
        <v>16630</v>
      </c>
      <c r="B47" s="61" t="s">
        <v>16631</v>
      </c>
      <c r="C47" s="134" t="s">
        <v>16632</v>
      </c>
      <c r="D47" s="136" t="s">
        <v>16633</v>
      </c>
      <c r="E47" s="134" t="s">
        <v>4880</v>
      </c>
      <c r="F47" s="5" t="s">
        <v>16634</v>
      </c>
    </row>
    <row r="48" spans="1:6" x14ac:dyDescent="0.35">
      <c r="A48" s="61"/>
      <c r="B48" s="61"/>
      <c r="C48" s="134" t="s">
        <v>16635</v>
      </c>
      <c r="D48" s="136" t="s">
        <v>16636</v>
      </c>
      <c r="E48" s="134" t="s">
        <v>4880</v>
      </c>
      <c r="F48" t="s">
        <v>16637</v>
      </c>
    </row>
    <row r="49" spans="1:6" x14ac:dyDescent="0.35">
      <c r="A49" s="61"/>
      <c r="B49" s="61"/>
      <c r="C49" s="134" t="s">
        <v>16638</v>
      </c>
      <c r="D49" s="136" t="s">
        <v>16639</v>
      </c>
      <c r="E49" s="134" t="s">
        <v>4880</v>
      </c>
      <c r="F49" t="s">
        <v>16640</v>
      </c>
    </row>
    <row r="50" spans="1:6" x14ac:dyDescent="0.35">
      <c r="A50" s="61"/>
      <c r="B50" s="61"/>
      <c r="C50" s="134" t="s">
        <v>16641</v>
      </c>
      <c r="D50" s="136" t="s">
        <v>16642</v>
      </c>
      <c r="E50" s="134" t="s">
        <v>4880</v>
      </c>
      <c r="F50" t="s">
        <v>16643</v>
      </c>
    </row>
    <row r="51" spans="1:6" x14ac:dyDescent="0.35">
      <c r="A51" s="61"/>
      <c r="B51" s="61"/>
      <c r="C51" s="5" t="s">
        <v>16644</v>
      </c>
      <c r="D51" s="137" t="s">
        <v>16645</v>
      </c>
      <c r="E51" s="134" t="s">
        <v>4880</v>
      </c>
      <c r="F51" t="s">
        <v>16646</v>
      </c>
    </row>
    <row r="52" spans="1:6" x14ac:dyDescent="0.35">
      <c r="A52" s="61"/>
      <c r="B52" s="61" t="s">
        <v>16647</v>
      </c>
      <c r="C52" s="134" t="s">
        <v>16648</v>
      </c>
      <c r="D52" s="134" t="s">
        <v>16649</v>
      </c>
      <c r="E52" s="134" t="s">
        <v>4880</v>
      </c>
      <c r="F52" s="5" t="s">
        <v>16650</v>
      </c>
    </row>
    <row r="53" spans="1:6" x14ac:dyDescent="0.35">
      <c r="A53" s="61"/>
      <c r="B53" s="61"/>
      <c r="C53" s="134" t="s">
        <v>16651</v>
      </c>
      <c r="D53" s="134" t="s">
        <v>16652</v>
      </c>
      <c r="E53" s="134" t="s">
        <v>4880</v>
      </c>
      <c r="F53" t="s">
        <v>16653</v>
      </c>
    </row>
    <row r="54" spans="1:6" x14ac:dyDescent="0.35">
      <c r="A54" s="61"/>
      <c r="B54" s="61"/>
      <c r="C54" s="134" t="s">
        <v>16654</v>
      </c>
      <c r="D54" s="134" t="s">
        <v>16655</v>
      </c>
      <c r="E54" s="134" t="s">
        <v>4880</v>
      </c>
      <c r="F54" t="s">
        <v>16656</v>
      </c>
    </row>
    <row r="55" spans="1:6" x14ac:dyDescent="0.35">
      <c r="A55" s="61"/>
      <c r="B55" s="61"/>
      <c r="C55" s="134" t="s">
        <v>16657</v>
      </c>
      <c r="D55" s="134" t="s">
        <v>16658</v>
      </c>
      <c r="E55" s="134" t="s">
        <v>4880</v>
      </c>
      <c r="F55" t="s">
        <v>16659</v>
      </c>
    </row>
    <row r="56" spans="1:6" x14ac:dyDescent="0.35">
      <c r="A56" s="61"/>
      <c r="B56" s="61"/>
      <c r="C56" s="5" t="s">
        <v>16660</v>
      </c>
      <c r="D56" s="5" t="s">
        <v>16661</v>
      </c>
      <c r="E56" s="134" t="s">
        <v>4880</v>
      </c>
      <c r="F56" t="s">
        <v>16662</v>
      </c>
    </row>
    <row r="57" spans="1:6" x14ac:dyDescent="0.35">
      <c r="A57" s="61"/>
      <c r="B57" s="61" t="s">
        <v>16663</v>
      </c>
      <c r="C57" s="134" t="s">
        <v>16664</v>
      </c>
      <c r="D57" s="134" t="s">
        <v>16665</v>
      </c>
      <c r="E57" s="134" t="s">
        <v>4880</v>
      </c>
      <c r="F57" s="5" t="s">
        <v>16666</v>
      </c>
    </row>
    <row r="58" spans="1:6" x14ac:dyDescent="0.35">
      <c r="A58" s="61"/>
      <c r="B58" s="61"/>
      <c r="C58" s="134" t="s">
        <v>16667</v>
      </c>
      <c r="D58" s="134" t="s">
        <v>16668</v>
      </c>
      <c r="E58" s="134" t="s">
        <v>4880</v>
      </c>
      <c r="F58" t="s">
        <v>16669</v>
      </c>
    </row>
    <row r="59" spans="1:6" x14ac:dyDescent="0.35">
      <c r="A59" s="61"/>
      <c r="B59" s="61"/>
      <c r="C59" s="134" t="s">
        <v>16670</v>
      </c>
      <c r="D59" s="134" t="s">
        <v>16671</v>
      </c>
      <c r="E59" s="134" t="s">
        <v>4880</v>
      </c>
      <c r="F59" t="s">
        <v>16672</v>
      </c>
    </row>
    <row r="60" spans="1:6" x14ac:dyDescent="0.35">
      <c r="A60" s="61"/>
      <c r="B60" s="61"/>
      <c r="C60" s="134" t="s">
        <v>16673</v>
      </c>
      <c r="D60" s="134" t="s">
        <v>16674</v>
      </c>
      <c r="E60" s="134" t="s">
        <v>4880</v>
      </c>
      <c r="F60" t="s">
        <v>16675</v>
      </c>
    </row>
    <row r="61" spans="1:6" x14ac:dyDescent="0.35">
      <c r="A61" s="61"/>
      <c r="B61" s="61"/>
      <c r="C61" s="5" t="s">
        <v>16676</v>
      </c>
      <c r="D61" s="134" t="s">
        <v>16677</v>
      </c>
      <c r="E61" s="134" t="s">
        <v>4880</v>
      </c>
      <c r="F61" t="s">
        <v>16678</v>
      </c>
    </row>
    <row r="62" spans="1:6" x14ac:dyDescent="0.35">
      <c r="A62" s="61"/>
      <c r="B62" s="61" t="s">
        <v>16679</v>
      </c>
      <c r="C62" s="134" t="s">
        <v>16680</v>
      </c>
      <c r="D62" s="134" t="s">
        <v>16681</v>
      </c>
      <c r="E62" s="134" t="s">
        <v>4880</v>
      </c>
      <c r="F62" s="5" t="s">
        <v>16512</v>
      </c>
    </row>
    <row r="63" spans="1:6" x14ac:dyDescent="0.35">
      <c r="A63" s="61"/>
      <c r="B63" s="61"/>
      <c r="C63" s="134" t="s">
        <v>16682</v>
      </c>
      <c r="D63" s="134" t="s">
        <v>16683</v>
      </c>
      <c r="E63" s="134" t="s">
        <v>4880</v>
      </c>
      <c r="F63" t="s">
        <v>16684</v>
      </c>
    </row>
    <row r="64" spans="1:6" x14ac:dyDescent="0.35">
      <c r="A64" s="61"/>
      <c r="B64" s="61"/>
      <c r="C64" s="134" t="s">
        <v>16685</v>
      </c>
      <c r="D64" s="134" t="s">
        <v>16686</v>
      </c>
      <c r="E64" s="134" t="s">
        <v>4880</v>
      </c>
      <c r="F64" t="s">
        <v>16687</v>
      </c>
    </row>
    <row r="65" spans="1:6" x14ac:dyDescent="0.35">
      <c r="A65" s="61"/>
      <c r="B65" s="61"/>
      <c r="C65" s="134" t="s">
        <v>16688</v>
      </c>
      <c r="D65" s="134" t="s">
        <v>16689</v>
      </c>
      <c r="E65" s="134" t="s">
        <v>4880</v>
      </c>
      <c r="F65" t="s">
        <v>16690</v>
      </c>
    </row>
    <row r="66" spans="1:6" x14ac:dyDescent="0.35">
      <c r="A66" s="61"/>
      <c r="B66" s="61"/>
      <c r="C66" s="5" t="s">
        <v>16691</v>
      </c>
      <c r="D66" s="5" t="s">
        <v>16692</v>
      </c>
      <c r="E66" s="5" t="s">
        <v>16550</v>
      </c>
      <c r="F66" t="s">
        <v>16693</v>
      </c>
    </row>
    <row r="67" spans="1:6" x14ac:dyDescent="0.35">
      <c r="A67" s="61"/>
      <c r="B67" s="61" t="s">
        <v>16694</v>
      </c>
      <c r="C67" s="134" t="s">
        <v>16695</v>
      </c>
      <c r="D67" s="134" t="s">
        <v>16696</v>
      </c>
      <c r="E67" s="134" t="s">
        <v>16550</v>
      </c>
      <c r="F67" s="134" t="s">
        <v>16697</v>
      </c>
    </row>
    <row r="68" spans="1:6" x14ac:dyDescent="0.35">
      <c r="A68" s="61"/>
      <c r="B68" s="61"/>
      <c r="C68" s="134" t="s">
        <v>16698</v>
      </c>
      <c r="D68" s="134" t="s">
        <v>16699</v>
      </c>
      <c r="E68" s="134" t="s">
        <v>16550</v>
      </c>
      <c r="F68" s="138" t="s">
        <v>16700</v>
      </c>
    </row>
    <row r="69" spans="1:6" x14ac:dyDescent="0.35">
      <c r="A69" s="61"/>
      <c r="B69" s="61"/>
      <c r="C69" s="134" t="s">
        <v>16701</v>
      </c>
      <c r="D69" s="134" t="s">
        <v>16702</v>
      </c>
      <c r="E69" s="134" t="s">
        <v>4880</v>
      </c>
      <c r="F69" s="138" t="s">
        <v>16703</v>
      </c>
    </row>
    <row r="70" spans="1:6" x14ac:dyDescent="0.35">
      <c r="A70" s="61"/>
      <c r="B70" s="61"/>
      <c r="C70" s="134" t="s">
        <v>7550</v>
      </c>
      <c r="D70" s="134" t="s">
        <v>16704</v>
      </c>
      <c r="E70" s="134" t="s">
        <v>4880</v>
      </c>
      <c r="F70" s="138" t="s">
        <v>16705</v>
      </c>
    </row>
    <row r="71" spans="1:6" x14ac:dyDescent="0.35">
      <c r="A71" s="61"/>
      <c r="B71" s="61"/>
      <c r="C71" s="5" t="s">
        <v>16706</v>
      </c>
      <c r="D71" s="5" t="s">
        <v>16707</v>
      </c>
      <c r="E71" s="5" t="s">
        <v>4880</v>
      </c>
      <c r="F71" s="138" t="s">
        <v>16708</v>
      </c>
    </row>
  </sheetData>
  <mergeCells count="17">
    <mergeCell ref="B42:B46"/>
    <mergeCell ref="B12:B16"/>
    <mergeCell ref="B17:B21"/>
    <mergeCell ref="B22:B26"/>
    <mergeCell ref="A2:A26"/>
    <mergeCell ref="A27:A46"/>
    <mergeCell ref="B2:B6"/>
    <mergeCell ref="B7:B11"/>
    <mergeCell ref="B27:B31"/>
    <mergeCell ref="B32:B36"/>
    <mergeCell ref="B37:B41"/>
    <mergeCell ref="B52:B56"/>
    <mergeCell ref="B67:B71"/>
    <mergeCell ref="B62:B66"/>
    <mergeCell ref="B57:B61"/>
    <mergeCell ref="A47:A71"/>
    <mergeCell ref="B47:B5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89D7D-C631-4FEA-ADCD-80E60E2CEB93}">
  <dimension ref="B2:Q17"/>
  <sheetViews>
    <sheetView topLeftCell="A28" workbookViewId="0">
      <selection activeCell="F16" sqref="F16"/>
    </sheetView>
  </sheetViews>
  <sheetFormatPr baseColWidth="10" defaultRowHeight="14.5" x14ac:dyDescent="0.35"/>
  <sheetData>
    <row r="2" spans="2:16" ht="18.5" x14ac:dyDescent="0.45">
      <c r="B2" s="114" t="s">
        <v>16478</v>
      </c>
      <c r="C2" s="114"/>
      <c r="D2" s="114"/>
      <c r="E2" s="114"/>
      <c r="F2" s="114"/>
      <c r="G2" s="114"/>
      <c r="H2" s="114"/>
      <c r="J2" s="114" t="s">
        <v>16477</v>
      </c>
      <c r="K2" s="114"/>
      <c r="L2" s="114"/>
      <c r="M2" s="114"/>
      <c r="N2" s="114"/>
      <c r="O2" s="114"/>
      <c r="P2" s="114"/>
    </row>
    <row r="4" spans="2:16" ht="15" thickBot="1" x14ac:dyDescent="0.4"/>
    <row r="5" spans="2:16" ht="15" thickTop="1" x14ac:dyDescent="0.35">
      <c r="B5" s="133" t="s">
        <v>16476</v>
      </c>
      <c r="C5" s="132" t="s">
        <v>4847</v>
      </c>
      <c r="D5" s="132" t="s">
        <v>16475</v>
      </c>
      <c r="E5" s="132" t="s">
        <v>16474</v>
      </c>
      <c r="F5" s="132" t="s">
        <v>16473</v>
      </c>
      <c r="G5" s="132" t="s">
        <v>16472</v>
      </c>
      <c r="H5" s="131" t="s">
        <v>16471</v>
      </c>
      <c r="J5" s="130"/>
      <c r="K5" s="129"/>
      <c r="L5" s="129" t="s">
        <v>16470</v>
      </c>
      <c r="M5" s="129" t="s">
        <v>16469</v>
      </c>
      <c r="N5" s="129" t="s">
        <v>16468</v>
      </c>
      <c r="O5" s="129" t="s">
        <v>16467</v>
      </c>
      <c r="P5" s="128"/>
    </row>
    <row r="6" spans="2:16" x14ac:dyDescent="0.35">
      <c r="B6" s="127">
        <v>1</v>
      </c>
      <c r="C6" s="91" t="s">
        <v>16466</v>
      </c>
      <c r="D6" s="91">
        <f>COUNTIF([1]COSO!F1:F480,"OUI")</f>
        <v>211</v>
      </c>
      <c r="E6" s="91">
        <f>COUNTIF([1]COSO!F1:F480,"NON")</f>
        <v>103</v>
      </c>
      <c r="F6" s="91">
        <f>COUNTIF([1]COSO!F1:F480,"PAS")</f>
        <v>165</v>
      </c>
      <c r="G6" s="91">
        <f>SUM(D6:F6)</f>
        <v>479</v>
      </c>
      <c r="H6" s="126">
        <f>D6/G6</f>
        <v>0.44050104384133609</v>
      </c>
      <c r="J6" s="125"/>
      <c r="K6" s="91" t="s">
        <v>16465</v>
      </c>
      <c r="L6" s="91"/>
      <c r="M6" s="91"/>
      <c r="N6" s="91"/>
      <c r="O6" s="91"/>
      <c r="P6" s="123"/>
    </row>
    <row r="7" spans="2:16" x14ac:dyDescent="0.35">
      <c r="B7" s="127">
        <v>2</v>
      </c>
      <c r="C7" s="91" t="s">
        <v>16464</v>
      </c>
      <c r="D7" s="91">
        <f>COUNTIF('[1]4.1_Audit_des_applications_en_s'!F1:F250,"OUI")</f>
        <v>138</v>
      </c>
      <c r="E7" s="91">
        <f>COUNTIF('[1]4.1_Audit_des_applications_en_s'!F1:F250,"NON")</f>
        <v>111</v>
      </c>
      <c r="F7" s="91">
        <f>COUNTIF('[1]4.1_Audit_des_applications_en_s'!F1:F250,"PAS")</f>
        <v>0</v>
      </c>
      <c r="G7" s="91">
        <f>SUM(D7:F7)</f>
        <v>249</v>
      </c>
      <c r="H7" s="126">
        <f>D7/G7</f>
        <v>0.55421686746987953</v>
      </c>
      <c r="J7" s="125"/>
      <c r="K7" s="91"/>
      <c r="L7" s="91"/>
      <c r="M7" s="91"/>
      <c r="N7" s="91"/>
      <c r="O7" s="91"/>
      <c r="P7" s="123"/>
    </row>
    <row r="8" spans="2:16" x14ac:dyDescent="0.35">
      <c r="B8" s="127">
        <v>3</v>
      </c>
      <c r="C8" s="91" t="s">
        <v>16463</v>
      </c>
      <c r="D8" s="91">
        <f>COUNTIF('[1]4.2_Audit_fonction_informatiq'!F1:F206,"OUI")</f>
        <v>166</v>
      </c>
      <c r="E8" s="91">
        <f>COUNTIF('[1]4.2_Audit_fonction_informatiq'!F1:F206,"NON")</f>
        <v>33</v>
      </c>
      <c r="F8" s="91">
        <f>COUNTIF('[1]4.2_Audit_fonction_informatiq'!F1:F206,"PAS")</f>
        <v>6</v>
      </c>
      <c r="G8" s="91">
        <f t="shared" ref="G8:G12" si="0">SUM(D8:F8)</f>
        <v>205</v>
      </c>
      <c r="H8" s="126">
        <f t="shared" ref="H8:H13" si="1">D8/G8</f>
        <v>0.80975609756097566</v>
      </c>
      <c r="J8" s="125"/>
      <c r="K8" s="91" t="s">
        <v>16462</v>
      </c>
      <c r="L8" s="91"/>
      <c r="M8" s="91"/>
      <c r="N8" s="91"/>
      <c r="O8" s="91"/>
      <c r="P8" s="123"/>
    </row>
    <row r="9" spans="2:16" x14ac:dyDescent="0.35">
      <c r="B9" s="127">
        <v>4</v>
      </c>
      <c r="C9" s="91" t="s">
        <v>16461</v>
      </c>
      <c r="D9" s="91">
        <f>COUNTIF('[1]4.3_Audit_des_projets_informati'!F1:F650,"OUI")</f>
        <v>494</v>
      </c>
      <c r="E9" s="91">
        <f>COUNTIF('[1]4.3_Audit_des_projets_informati'!F1:F650,"NON")</f>
        <v>109</v>
      </c>
      <c r="F9" s="91">
        <f>COUNTIF('[1]4.3_Audit_des_projets_informati'!F1:F650,"PAS")</f>
        <v>36</v>
      </c>
      <c r="G9" s="91">
        <f t="shared" si="0"/>
        <v>639</v>
      </c>
      <c r="H9" s="126">
        <f t="shared" si="1"/>
        <v>0.77308294209702655</v>
      </c>
      <c r="J9" s="125"/>
      <c r="K9" s="91"/>
      <c r="L9" s="124">
        <v>1</v>
      </c>
      <c r="M9" s="91"/>
      <c r="N9" s="91"/>
      <c r="O9" s="91"/>
      <c r="P9" s="123"/>
    </row>
    <row r="10" spans="2:16" x14ac:dyDescent="0.35">
      <c r="B10" s="127">
        <v>5</v>
      </c>
      <c r="C10" s="91" t="s">
        <v>16460</v>
      </c>
      <c r="D10" s="91">
        <f>COUNTIF('[1]4.4_Audit_du_support_user '!F1:F170,"OUI")</f>
        <v>137</v>
      </c>
      <c r="E10" s="91">
        <f>COUNTIF('[1]4.4_Audit_du_support_user '!F1:F170,"NON")</f>
        <v>29</v>
      </c>
      <c r="F10" s="91">
        <f>COUNTIF('[1]4.4_Audit_du_support_user '!F1:F170,"PAS")</f>
        <v>3</v>
      </c>
      <c r="G10" s="91">
        <f t="shared" si="0"/>
        <v>169</v>
      </c>
      <c r="H10" s="126">
        <f t="shared" si="1"/>
        <v>0.81065088757396453</v>
      </c>
      <c r="J10" s="125"/>
      <c r="K10" s="91"/>
      <c r="L10" s="124">
        <v>2</v>
      </c>
      <c r="M10" s="91"/>
      <c r="N10" s="91"/>
      <c r="O10" s="91"/>
      <c r="P10" s="123"/>
    </row>
    <row r="11" spans="2:16" x14ac:dyDescent="0.35">
      <c r="B11" s="127">
        <v>6</v>
      </c>
      <c r="C11" s="91" t="s">
        <v>16459</v>
      </c>
      <c r="D11" s="91">
        <f>COUNTIF('[1]4.5_Audit_securite_informatique'!F1:F311,"OUI")</f>
        <v>264</v>
      </c>
      <c r="E11" s="91">
        <f>COUNTIF('[1]4.5_Audit_securite_informatique'!F1:F311,"NON")</f>
        <v>17</v>
      </c>
      <c r="F11" s="91">
        <f>COUNTIF('[1]4.5_Audit_securite_informatique'!F1:F311,"PAS")</f>
        <v>8</v>
      </c>
      <c r="G11" s="91">
        <f t="shared" si="0"/>
        <v>289</v>
      </c>
      <c r="H11" s="126">
        <f t="shared" si="1"/>
        <v>0.91349480968858132</v>
      </c>
      <c r="J11" s="125"/>
      <c r="K11" s="91"/>
      <c r="L11" s="124">
        <v>3</v>
      </c>
      <c r="M11" s="91"/>
      <c r="N11" s="91"/>
      <c r="O11" s="91"/>
      <c r="P11" s="123"/>
    </row>
    <row r="12" spans="2:16" x14ac:dyDescent="0.35">
      <c r="B12" s="127">
        <v>7</v>
      </c>
      <c r="C12" s="91" t="s">
        <v>16458</v>
      </c>
      <c r="D12" s="91">
        <f>COUNTIF('4.6'!E1:E70,"OUI")</f>
        <v>59</v>
      </c>
      <c r="E12" s="91">
        <f>COUNTIF('4.6'!E1:E70,"NON")</f>
        <v>7</v>
      </c>
      <c r="F12" s="91">
        <f>COUNTIF('4.6'!E1:E70,"PAS")</f>
        <v>3</v>
      </c>
      <c r="G12" s="91">
        <f t="shared" si="0"/>
        <v>69</v>
      </c>
      <c r="H12" s="126">
        <f t="shared" si="1"/>
        <v>0.85507246376811596</v>
      </c>
      <c r="J12" s="125"/>
      <c r="K12" s="91"/>
      <c r="L12" s="124">
        <v>4</v>
      </c>
      <c r="M12" s="91"/>
      <c r="N12" s="91"/>
      <c r="O12" s="91"/>
      <c r="P12" s="123"/>
    </row>
    <row r="13" spans="2:16" ht="15" thickBot="1" x14ac:dyDescent="0.4">
      <c r="B13" s="122" t="s">
        <v>16457</v>
      </c>
      <c r="C13" s="121"/>
      <c r="D13" s="120">
        <f>SUM(D5:D12)</f>
        <v>1469</v>
      </c>
      <c r="E13" s="120">
        <f t="shared" ref="E13:G13" si="2">SUM(E5:E12)</f>
        <v>409</v>
      </c>
      <c r="F13" s="120">
        <f t="shared" si="2"/>
        <v>221</v>
      </c>
      <c r="G13" s="120">
        <f t="shared" si="2"/>
        <v>2099</v>
      </c>
      <c r="H13" s="119">
        <f t="shared" si="1"/>
        <v>0.69985707479752268</v>
      </c>
      <c r="J13" s="118"/>
      <c r="K13" s="116" t="s">
        <v>16456</v>
      </c>
      <c r="L13" s="117"/>
      <c r="M13" s="116"/>
      <c r="N13" s="116"/>
      <c r="O13" s="116"/>
      <c r="P13" s="115"/>
    </row>
    <row r="14" spans="2:16" ht="15" thickTop="1" x14ac:dyDescent="0.35"/>
    <row r="17" spans="2:17" ht="18.5" x14ac:dyDescent="0.45">
      <c r="B17" s="114" t="s">
        <v>16455</v>
      </c>
      <c r="C17" s="113"/>
      <c r="D17" s="113"/>
      <c r="E17" s="113"/>
      <c r="F17" s="113"/>
      <c r="G17" s="113"/>
      <c r="H17" s="113"/>
      <c r="I17" s="113"/>
      <c r="J17" s="113"/>
      <c r="K17" s="113"/>
      <c r="L17" s="113"/>
      <c r="M17" s="113"/>
      <c r="N17" s="113"/>
      <c r="O17" s="113"/>
      <c r="P17" s="113"/>
      <c r="Q17" s="113"/>
    </row>
  </sheetData>
  <mergeCells count="4">
    <mergeCell ref="B2:H2"/>
    <mergeCell ref="J2:P2"/>
    <mergeCell ref="B13:C13"/>
    <mergeCell ref="B17:Q17"/>
  </mergeCells>
  <conditionalFormatting sqref="H6:H13">
    <cfRule type="iconSet" priority="1">
      <iconSet>
        <cfvo type="percent" val="0"/>
        <cfvo type="percent" val="33"/>
        <cfvo type="percent" val="67"/>
      </iconSet>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8E859-92D1-4219-B42D-A403EE652EFA}">
  <dimension ref="A2:K1312"/>
  <sheetViews>
    <sheetView topLeftCell="J1" zoomScale="49" workbookViewId="0">
      <selection activeCell="D1" sqref="D1"/>
    </sheetView>
  </sheetViews>
  <sheetFormatPr baseColWidth="10" defaultRowHeight="14.5" x14ac:dyDescent="0.35"/>
  <cols>
    <col min="1" max="1" width="33.7265625" customWidth="1"/>
    <col min="2" max="2" width="95.36328125" customWidth="1"/>
    <col min="3" max="3" width="168.08984375" customWidth="1"/>
    <col min="4" max="4" width="118.08984375" customWidth="1"/>
    <col min="5" max="5" width="114.81640625" customWidth="1"/>
    <col min="6" max="6" width="105.54296875" customWidth="1"/>
    <col min="7" max="7" width="109.26953125" customWidth="1"/>
    <col min="8" max="8" width="84" customWidth="1"/>
    <col min="9" max="9" width="78.453125" customWidth="1"/>
    <col min="10" max="10" width="102.1796875" customWidth="1"/>
  </cols>
  <sheetData>
    <row r="2" spans="1:11" x14ac:dyDescent="0.35">
      <c r="A2" s="58" t="s">
        <v>4847</v>
      </c>
      <c r="B2" s="58" t="s">
        <v>4846</v>
      </c>
      <c r="C2" s="58" t="s">
        <v>4845</v>
      </c>
      <c r="D2" s="58" t="s">
        <v>4844</v>
      </c>
      <c r="E2" s="60" t="s">
        <v>4843</v>
      </c>
      <c r="F2" s="58" t="s">
        <v>4842</v>
      </c>
      <c r="G2" s="58" t="s">
        <v>4841</v>
      </c>
      <c r="H2" s="58" t="s">
        <v>4840</v>
      </c>
      <c r="I2" s="59" t="s">
        <v>4839</v>
      </c>
      <c r="J2" s="58" t="s">
        <v>4838</v>
      </c>
      <c r="K2" s="58" t="s">
        <v>4837</v>
      </c>
    </row>
    <row r="3" spans="1:11" x14ac:dyDescent="0.35">
      <c r="A3" s="57" t="s">
        <v>4836</v>
      </c>
      <c r="B3" s="35" t="s">
        <v>4835</v>
      </c>
      <c r="C3" s="32" t="s">
        <v>4834</v>
      </c>
      <c r="D3" s="32" t="s">
        <v>4833</v>
      </c>
      <c r="E3" s="33" t="s">
        <v>4832</v>
      </c>
      <c r="F3" s="32" t="s">
        <v>65</v>
      </c>
      <c r="G3" s="56" t="s">
        <v>4822</v>
      </c>
      <c r="H3" s="37" t="s">
        <v>4831</v>
      </c>
      <c r="I3" s="55" t="s">
        <v>58</v>
      </c>
      <c r="J3" s="37" t="s">
        <v>4830</v>
      </c>
      <c r="K3" s="29" t="s">
        <v>4829</v>
      </c>
    </row>
    <row r="4" spans="1:11" x14ac:dyDescent="0.35">
      <c r="A4" s="34"/>
      <c r="B4" s="10"/>
      <c r="C4" s="10"/>
      <c r="D4" s="9"/>
      <c r="E4" s="9"/>
      <c r="F4" s="9"/>
      <c r="G4" s="39" t="s">
        <v>4828</v>
      </c>
      <c r="H4" s="28" t="s">
        <v>4827</v>
      </c>
      <c r="I4" s="54" t="s">
        <v>58</v>
      </c>
      <c r="J4" s="28" t="s">
        <v>4826</v>
      </c>
      <c r="K4" s="29" t="s">
        <v>4825</v>
      </c>
    </row>
    <row r="5" spans="1:11" x14ac:dyDescent="0.35">
      <c r="A5" s="34"/>
      <c r="B5" s="10"/>
      <c r="C5" s="10"/>
      <c r="D5" s="32" t="s">
        <v>4824</v>
      </c>
      <c r="E5" s="33" t="s">
        <v>4823</v>
      </c>
      <c r="F5" s="32" t="s">
        <v>65</v>
      </c>
      <c r="G5" s="39" t="s">
        <v>4822</v>
      </c>
      <c r="H5" s="28" t="s">
        <v>4821</v>
      </c>
      <c r="I5" s="54" t="s">
        <v>58</v>
      </c>
      <c r="J5" s="28" t="s">
        <v>4820</v>
      </c>
      <c r="K5" s="29" t="s">
        <v>4819</v>
      </c>
    </row>
    <row r="6" spans="1:11" x14ac:dyDescent="0.35">
      <c r="A6" s="34"/>
      <c r="B6" s="10"/>
      <c r="C6" s="10"/>
      <c r="D6" s="9"/>
      <c r="E6" s="9"/>
      <c r="F6" s="9"/>
      <c r="G6" s="39" t="s">
        <v>4818</v>
      </c>
      <c r="H6" s="28" t="s">
        <v>4817</v>
      </c>
      <c r="I6" s="46" t="s">
        <v>250</v>
      </c>
      <c r="J6" s="28" t="s">
        <v>4816</v>
      </c>
      <c r="K6" s="29" t="s">
        <v>4815</v>
      </c>
    </row>
    <row r="7" spans="1:11" x14ac:dyDescent="0.35">
      <c r="A7" s="34"/>
      <c r="B7" s="10"/>
      <c r="C7" s="10"/>
      <c r="D7" s="32" t="s">
        <v>4814</v>
      </c>
      <c r="E7" s="33" t="s">
        <v>4813</v>
      </c>
      <c r="F7" s="32" t="s">
        <v>244</v>
      </c>
      <c r="G7" s="39" t="s">
        <v>4812</v>
      </c>
      <c r="H7" s="28" t="s">
        <v>4811</v>
      </c>
      <c r="I7" s="45" t="s">
        <v>120</v>
      </c>
      <c r="J7" s="28" t="s">
        <v>4810</v>
      </c>
      <c r="K7" s="29" t="s">
        <v>4809</v>
      </c>
    </row>
    <row r="8" spans="1:11" x14ac:dyDescent="0.35">
      <c r="A8" s="34"/>
      <c r="B8" s="10"/>
      <c r="C8" s="10"/>
      <c r="D8" s="9"/>
      <c r="E8" s="9"/>
      <c r="F8" s="9"/>
      <c r="G8" s="39" t="s">
        <v>4808</v>
      </c>
      <c r="H8" s="28" t="s">
        <v>4807</v>
      </c>
      <c r="I8" s="49" t="s">
        <v>58</v>
      </c>
      <c r="J8" s="28" t="s">
        <v>4806</v>
      </c>
      <c r="K8" s="29" t="s">
        <v>4805</v>
      </c>
    </row>
    <row r="9" spans="1:11" x14ac:dyDescent="0.35">
      <c r="A9" s="34"/>
      <c r="B9" s="10"/>
      <c r="C9" s="10"/>
      <c r="D9" s="32" t="s">
        <v>4804</v>
      </c>
      <c r="E9" s="33" t="s">
        <v>4803</v>
      </c>
      <c r="F9" s="32" t="s">
        <v>65</v>
      </c>
      <c r="G9" s="39" t="s">
        <v>4802</v>
      </c>
      <c r="H9" s="28" t="s">
        <v>4801</v>
      </c>
      <c r="I9" s="49" t="s">
        <v>58</v>
      </c>
      <c r="J9" s="28" t="s">
        <v>4800</v>
      </c>
      <c r="K9" s="29" t="s">
        <v>4799</v>
      </c>
    </row>
    <row r="10" spans="1:11" x14ac:dyDescent="0.35">
      <c r="A10" s="34"/>
      <c r="B10" s="10"/>
      <c r="C10" s="10"/>
      <c r="D10" s="9"/>
      <c r="E10" s="9"/>
      <c r="F10" s="9"/>
      <c r="G10" s="39" t="s">
        <v>4798</v>
      </c>
      <c r="H10" s="28" t="s">
        <v>4797</v>
      </c>
      <c r="I10" s="49" t="s">
        <v>58</v>
      </c>
      <c r="J10" s="28" t="s">
        <v>4796</v>
      </c>
      <c r="K10" s="29" t="s">
        <v>4795</v>
      </c>
    </row>
    <row r="11" spans="1:11" x14ac:dyDescent="0.35">
      <c r="A11" s="34"/>
      <c r="B11" s="10"/>
      <c r="C11" s="10"/>
      <c r="D11" s="32" t="s">
        <v>4794</v>
      </c>
      <c r="E11" s="33" t="s">
        <v>4793</v>
      </c>
      <c r="F11" s="32" t="s">
        <v>244</v>
      </c>
      <c r="G11" s="39" t="s">
        <v>4792</v>
      </c>
      <c r="H11" s="28" t="s">
        <v>4791</v>
      </c>
      <c r="I11" s="49" t="s">
        <v>58</v>
      </c>
      <c r="J11" s="28" t="s">
        <v>4790</v>
      </c>
      <c r="K11" s="29" t="s">
        <v>4789</v>
      </c>
    </row>
    <row r="12" spans="1:11" x14ac:dyDescent="0.35">
      <c r="A12" s="34"/>
      <c r="B12" s="10"/>
      <c r="C12" s="9"/>
      <c r="D12" s="9"/>
      <c r="E12" s="9"/>
      <c r="F12" s="9"/>
      <c r="G12" s="39" t="s">
        <v>4788</v>
      </c>
      <c r="H12" s="28" t="s">
        <v>4787</v>
      </c>
      <c r="I12" s="49" t="s">
        <v>58</v>
      </c>
      <c r="J12" s="28" t="s">
        <v>4786</v>
      </c>
      <c r="K12" s="29" t="s">
        <v>4785</v>
      </c>
    </row>
    <row r="13" spans="1:11" x14ac:dyDescent="0.35">
      <c r="A13" s="34"/>
      <c r="B13" s="10"/>
      <c r="C13" s="32" t="s">
        <v>4784</v>
      </c>
      <c r="D13" s="32" t="s">
        <v>4783</v>
      </c>
      <c r="E13" s="33" t="s">
        <v>4782</v>
      </c>
      <c r="F13" s="32" t="s">
        <v>65</v>
      </c>
      <c r="G13" s="39" t="s">
        <v>4781</v>
      </c>
      <c r="H13" s="28" t="s">
        <v>4780</v>
      </c>
      <c r="I13" s="49" t="s">
        <v>58</v>
      </c>
      <c r="J13" s="28" t="s">
        <v>4779</v>
      </c>
      <c r="K13" s="29" t="s">
        <v>4778</v>
      </c>
    </row>
    <row r="14" spans="1:11" x14ac:dyDescent="0.35">
      <c r="A14" s="34"/>
      <c r="B14" s="10"/>
      <c r="C14" s="10"/>
      <c r="D14" s="9"/>
      <c r="E14" s="9"/>
      <c r="F14" s="9"/>
      <c r="G14" s="39" t="s">
        <v>4749</v>
      </c>
      <c r="H14" s="28" t="s">
        <v>4777</v>
      </c>
      <c r="I14" s="49" t="s">
        <v>58</v>
      </c>
      <c r="J14" s="28" t="s">
        <v>4776</v>
      </c>
      <c r="K14" s="29" t="s">
        <v>4775</v>
      </c>
    </row>
    <row r="15" spans="1:11" x14ac:dyDescent="0.35">
      <c r="A15" s="34"/>
      <c r="B15" s="10"/>
      <c r="C15" s="10"/>
      <c r="D15" s="32" t="s">
        <v>4774</v>
      </c>
      <c r="E15" s="33" t="s">
        <v>4773</v>
      </c>
      <c r="F15" s="35" t="s">
        <v>65</v>
      </c>
      <c r="G15" s="28" t="s">
        <v>4772</v>
      </c>
      <c r="H15" s="28" t="s">
        <v>4771</v>
      </c>
      <c r="I15" s="49" t="s">
        <v>58</v>
      </c>
      <c r="J15" s="28" t="s">
        <v>4770</v>
      </c>
      <c r="K15" s="29" t="s">
        <v>4769</v>
      </c>
    </row>
    <row r="16" spans="1:11" x14ac:dyDescent="0.35">
      <c r="A16" s="34"/>
      <c r="B16" s="10"/>
      <c r="C16" s="10"/>
      <c r="D16" s="9"/>
      <c r="E16" s="9"/>
      <c r="F16" s="9"/>
      <c r="G16" s="28" t="s">
        <v>4663</v>
      </c>
      <c r="H16" s="28" t="s">
        <v>4768</v>
      </c>
      <c r="I16" s="49" t="s">
        <v>58</v>
      </c>
      <c r="J16" s="28" t="s">
        <v>4767</v>
      </c>
      <c r="K16" s="29" t="s">
        <v>4766</v>
      </c>
    </row>
    <row r="17" spans="1:11" x14ac:dyDescent="0.35">
      <c r="A17" s="34"/>
      <c r="B17" s="10"/>
      <c r="C17" s="10"/>
      <c r="D17" s="32" t="s">
        <v>4765</v>
      </c>
      <c r="E17" s="33" t="s">
        <v>4764</v>
      </c>
      <c r="F17" s="32" t="s">
        <v>65</v>
      </c>
      <c r="G17" s="28" t="s">
        <v>4763</v>
      </c>
      <c r="H17" s="28" t="s">
        <v>4762</v>
      </c>
      <c r="I17" s="49" t="s">
        <v>58</v>
      </c>
      <c r="J17" s="28" t="s">
        <v>4761</v>
      </c>
      <c r="K17" s="29" t="s">
        <v>4760</v>
      </c>
    </row>
    <row r="18" spans="1:11" x14ac:dyDescent="0.35">
      <c r="A18" s="34"/>
      <c r="B18" s="10"/>
      <c r="C18" s="10"/>
      <c r="D18" s="9"/>
      <c r="E18" s="9"/>
      <c r="F18" s="9"/>
      <c r="G18" s="28" t="s">
        <v>4759</v>
      </c>
      <c r="H18" s="28" t="s">
        <v>4758</v>
      </c>
      <c r="I18" s="46" t="s">
        <v>250</v>
      </c>
      <c r="J18" s="28" t="s">
        <v>4757</v>
      </c>
      <c r="K18" s="29" t="s">
        <v>4756</v>
      </c>
    </row>
    <row r="19" spans="1:11" x14ac:dyDescent="0.35">
      <c r="A19" s="34"/>
      <c r="B19" s="10"/>
      <c r="C19" s="10"/>
      <c r="D19" s="32" t="s">
        <v>4755</v>
      </c>
      <c r="E19" s="33" t="s">
        <v>4754</v>
      </c>
      <c r="F19" s="35" t="s">
        <v>65</v>
      </c>
      <c r="G19" s="39" t="s">
        <v>4753</v>
      </c>
      <c r="H19" s="28" t="s">
        <v>4752</v>
      </c>
      <c r="I19" s="45" t="s">
        <v>120</v>
      </c>
      <c r="J19" s="28" t="s">
        <v>4751</v>
      </c>
      <c r="K19" s="29" t="s">
        <v>4750</v>
      </c>
    </row>
    <row r="20" spans="1:11" x14ac:dyDescent="0.35">
      <c r="A20" s="34"/>
      <c r="B20" s="10"/>
      <c r="C20" s="10"/>
      <c r="D20" s="9"/>
      <c r="E20" s="9"/>
      <c r="F20" s="9"/>
      <c r="G20" s="39" t="s">
        <v>4749</v>
      </c>
      <c r="H20" s="28" t="s">
        <v>4748</v>
      </c>
      <c r="I20" s="45" t="s">
        <v>120</v>
      </c>
      <c r="J20" s="28" t="s">
        <v>4747</v>
      </c>
      <c r="K20" s="29" t="s">
        <v>4746</v>
      </c>
    </row>
    <row r="21" spans="1:11" x14ac:dyDescent="0.35">
      <c r="A21" s="34"/>
      <c r="B21" s="10"/>
      <c r="C21" s="10"/>
      <c r="D21" s="32" t="s">
        <v>4745</v>
      </c>
      <c r="E21" s="33" t="s">
        <v>4744</v>
      </c>
      <c r="F21" s="32" t="s">
        <v>65</v>
      </c>
      <c r="G21" s="39" t="s">
        <v>4743</v>
      </c>
      <c r="H21" s="28" t="s">
        <v>4742</v>
      </c>
      <c r="I21" s="45" t="s">
        <v>120</v>
      </c>
      <c r="J21" s="28" t="s">
        <v>4741</v>
      </c>
      <c r="K21" s="29" t="s">
        <v>4740</v>
      </c>
    </row>
    <row r="22" spans="1:11" x14ac:dyDescent="0.35">
      <c r="A22" s="34"/>
      <c r="B22" s="10"/>
      <c r="C22" s="9"/>
      <c r="D22" s="9"/>
      <c r="E22" s="9"/>
      <c r="F22" s="9"/>
      <c r="G22" s="39" t="s">
        <v>4739</v>
      </c>
      <c r="H22" s="28" t="s">
        <v>4738</v>
      </c>
      <c r="I22" s="49" t="s">
        <v>58</v>
      </c>
      <c r="J22" s="28" t="s">
        <v>4737</v>
      </c>
      <c r="K22" s="29" t="s">
        <v>4736</v>
      </c>
    </row>
    <row r="23" spans="1:11" x14ac:dyDescent="0.35">
      <c r="A23" s="34"/>
      <c r="B23" s="10"/>
      <c r="C23" s="32" t="s">
        <v>4735</v>
      </c>
      <c r="D23" s="32" t="s">
        <v>4734</v>
      </c>
      <c r="E23" s="33" t="s">
        <v>4733</v>
      </c>
      <c r="F23" s="32" t="s">
        <v>244</v>
      </c>
      <c r="G23" s="39" t="s">
        <v>4732</v>
      </c>
      <c r="H23" s="28" t="s">
        <v>4731</v>
      </c>
      <c r="I23" s="49" t="s">
        <v>58</v>
      </c>
      <c r="J23" s="28" t="s">
        <v>4730</v>
      </c>
      <c r="K23" s="29" t="s">
        <v>4729</v>
      </c>
    </row>
    <row r="24" spans="1:11" x14ac:dyDescent="0.35">
      <c r="A24" s="34"/>
      <c r="B24" s="10"/>
      <c r="C24" s="10"/>
      <c r="D24" s="9"/>
      <c r="E24" s="9"/>
      <c r="F24" s="9"/>
      <c r="G24" s="39" t="s">
        <v>4728</v>
      </c>
      <c r="H24" s="28" t="s">
        <v>4727</v>
      </c>
      <c r="I24" s="49" t="s">
        <v>58</v>
      </c>
      <c r="J24" s="28" t="s">
        <v>4726</v>
      </c>
      <c r="K24" s="29" t="s">
        <v>4725</v>
      </c>
    </row>
    <row r="25" spans="1:11" x14ac:dyDescent="0.35">
      <c r="A25" s="34"/>
      <c r="B25" s="10"/>
      <c r="C25" s="10"/>
      <c r="D25" s="32" t="s">
        <v>4724</v>
      </c>
      <c r="E25" s="33" t="s">
        <v>4723</v>
      </c>
      <c r="F25" s="32" t="s">
        <v>244</v>
      </c>
      <c r="G25" s="39" t="s">
        <v>4722</v>
      </c>
      <c r="H25" s="28" t="s">
        <v>4721</v>
      </c>
      <c r="I25" s="49" t="s">
        <v>58</v>
      </c>
      <c r="J25" s="28" t="s">
        <v>4717</v>
      </c>
      <c r="K25" s="29" t="s">
        <v>4720</v>
      </c>
    </row>
    <row r="26" spans="1:11" x14ac:dyDescent="0.35">
      <c r="A26" s="34"/>
      <c r="B26" s="10"/>
      <c r="C26" s="10"/>
      <c r="D26" s="9"/>
      <c r="E26" s="9"/>
      <c r="F26" s="9"/>
      <c r="G26" s="39" t="s">
        <v>4719</v>
      </c>
      <c r="H26" s="28" t="s">
        <v>4718</v>
      </c>
      <c r="I26" s="49" t="s">
        <v>58</v>
      </c>
      <c r="J26" s="28" t="s">
        <v>4717</v>
      </c>
      <c r="K26" s="29" t="s">
        <v>4716</v>
      </c>
    </row>
    <row r="27" spans="1:11" x14ac:dyDescent="0.35">
      <c r="A27" s="34"/>
      <c r="B27" s="10"/>
      <c r="C27" s="10"/>
      <c r="D27" s="32" t="s">
        <v>4715</v>
      </c>
      <c r="E27" s="33" t="s">
        <v>4714</v>
      </c>
      <c r="F27" s="32" t="s">
        <v>65</v>
      </c>
      <c r="G27" s="39" t="s">
        <v>4713</v>
      </c>
      <c r="H27" s="28" t="s">
        <v>4712</v>
      </c>
      <c r="I27" s="49" t="s">
        <v>58</v>
      </c>
      <c r="J27" s="28" t="s">
        <v>4711</v>
      </c>
      <c r="K27" s="29" t="s">
        <v>4710</v>
      </c>
    </row>
    <row r="28" spans="1:11" x14ac:dyDescent="0.35">
      <c r="A28" s="34"/>
      <c r="B28" s="10"/>
      <c r="C28" s="10"/>
      <c r="D28" s="9"/>
      <c r="E28" s="9"/>
      <c r="F28" s="9"/>
      <c r="G28" s="39" t="s">
        <v>4709</v>
      </c>
      <c r="H28" s="28" t="s">
        <v>4708</v>
      </c>
      <c r="I28" s="49" t="s">
        <v>58</v>
      </c>
      <c r="J28" s="28" t="s">
        <v>4707</v>
      </c>
      <c r="K28" s="29" t="s">
        <v>4706</v>
      </c>
    </row>
    <row r="29" spans="1:11" x14ac:dyDescent="0.35">
      <c r="A29" s="34"/>
      <c r="B29" s="10"/>
      <c r="C29" s="10"/>
      <c r="D29" s="32" t="s">
        <v>4705</v>
      </c>
      <c r="E29" s="33" t="s">
        <v>4704</v>
      </c>
      <c r="F29" s="32" t="s">
        <v>65</v>
      </c>
      <c r="G29" s="39" t="s">
        <v>4703</v>
      </c>
      <c r="H29" s="28" t="s">
        <v>4702</v>
      </c>
      <c r="I29" s="49" t="s">
        <v>58</v>
      </c>
      <c r="J29" s="28" t="s">
        <v>4701</v>
      </c>
      <c r="K29" s="29" t="s">
        <v>4700</v>
      </c>
    </row>
    <row r="30" spans="1:11" x14ac:dyDescent="0.35">
      <c r="A30" s="34"/>
      <c r="B30" s="10"/>
      <c r="C30" s="10"/>
      <c r="D30" s="9"/>
      <c r="E30" s="9"/>
      <c r="F30" s="9"/>
      <c r="G30" s="39" t="s">
        <v>3462</v>
      </c>
      <c r="H30" s="28" t="s">
        <v>4699</v>
      </c>
      <c r="I30" s="49" t="s">
        <v>58</v>
      </c>
      <c r="J30" s="28" t="s">
        <v>4698</v>
      </c>
      <c r="K30" s="29" t="s">
        <v>4697</v>
      </c>
    </row>
    <row r="31" spans="1:11" x14ac:dyDescent="0.35">
      <c r="A31" s="34"/>
      <c r="B31" s="10"/>
      <c r="C31" s="10"/>
      <c r="D31" s="32" t="s">
        <v>4696</v>
      </c>
      <c r="E31" s="33" t="s">
        <v>4695</v>
      </c>
      <c r="F31" s="32" t="s">
        <v>65</v>
      </c>
      <c r="G31" s="39" t="s">
        <v>4694</v>
      </c>
      <c r="H31" s="28" t="s">
        <v>4693</v>
      </c>
      <c r="I31" s="49" t="s">
        <v>58</v>
      </c>
      <c r="J31" s="28" t="s">
        <v>4692</v>
      </c>
      <c r="K31" s="29" t="s">
        <v>4691</v>
      </c>
    </row>
    <row r="32" spans="1:11" x14ac:dyDescent="0.35">
      <c r="A32" s="34"/>
      <c r="B32" s="10"/>
      <c r="C32" s="9"/>
      <c r="D32" s="9"/>
      <c r="E32" s="9"/>
      <c r="F32" s="9"/>
      <c r="G32" s="39" t="s">
        <v>4690</v>
      </c>
      <c r="H32" s="28" t="s">
        <v>4689</v>
      </c>
      <c r="I32" s="49" t="s">
        <v>58</v>
      </c>
      <c r="J32" s="28" t="s">
        <v>4688</v>
      </c>
      <c r="K32" s="29" t="s">
        <v>4687</v>
      </c>
    </row>
    <row r="33" spans="1:11" x14ac:dyDescent="0.35">
      <c r="A33" s="34"/>
      <c r="B33" s="10"/>
      <c r="C33" s="32" t="s">
        <v>4686</v>
      </c>
      <c r="D33" s="32" t="s">
        <v>4685</v>
      </c>
      <c r="E33" s="33" t="s">
        <v>4684</v>
      </c>
      <c r="F33" s="32" t="s">
        <v>65</v>
      </c>
      <c r="G33" s="39" t="s">
        <v>4683</v>
      </c>
      <c r="H33" s="28" t="s">
        <v>4682</v>
      </c>
      <c r="I33" s="49" t="s">
        <v>58</v>
      </c>
      <c r="J33" s="28" t="s">
        <v>4681</v>
      </c>
      <c r="K33" s="29" t="s">
        <v>4680</v>
      </c>
    </row>
    <row r="34" spans="1:11" x14ac:dyDescent="0.35">
      <c r="A34" s="34"/>
      <c r="B34" s="10"/>
      <c r="C34" s="10"/>
      <c r="D34" s="9"/>
      <c r="E34" s="9"/>
      <c r="F34" s="9"/>
      <c r="G34" s="39" t="s">
        <v>4679</v>
      </c>
      <c r="H34" s="28" t="s">
        <v>4678</v>
      </c>
      <c r="I34" s="49" t="s">
        <v>58</v>
      </c>
      <c r="J34" s="28" t="s">
        <v>4677</v>
      </c>
      <c r="K34" s="29" t="s">
        <v>4676</v>
      </c>
    </row>
    <row r="35" spans="1:11" x14ac:dyDescent="0.35">
      <c r="A35" s="34"/>
      <c r="B35" s="10"/>
      <c r="C35" s="10"/>
      <c r="D35" s="32" t="s">
        <v>4675</v>
      </c>
      <c r="E35" s="33" t="s">
        <v>4674</v>
      </c>
      <c r="F35" s="32" t="s">
        <v>65</v>
      </c>
      <c r="G35" s="39" t="s">
        <v>4673</v>
      </c>
      <c r="H35" s="28" t="s">
        <v>4672</v>
      </c>
      <c r="I35" s="49" t="s">
        <v>58</v>
      </c>
      <c r="J35" s="28" t="s">
        <v>4671</v>
      </c>
      <c r="K35" s="29" t="s">
        <v>4670</v>
      </c>
    </row>
    <row r="36" spans="1:11" x14ac:dyDescent="0.35">
      <c r="A36" s="34"/>
      <c r="B36" s="10"/>
      <c r="C36" s="10"/>
      <c r="D36" s="9"/>
      <c r="E36" s="9"/>
      <c r="F36" s="9"/>
      <c r="G36" s="39" t="s">
        <v>4669</v>
      </c>
      <c r="H36" s="28" t="s">
        <v>4668</v>
      </c>
      <c r="I36" s="49" t="s">
        <v>58</v>
      </c>
      <c r="J36" s="28" t="s">
        <v>4667</v>
      </c>
      <c r="K36" s="29" t="s">
        <v>4666</v>
      </c>
    </row>
    <row r="37" spans="1:11" x14ac:dyDescent="0.35">
      <c r="A37" s="34"/>
      <c r="B37" s="10"/>
      <c r="C37" s="10"/>
      <c r="D37" s="32" t="s">
        <v>4665</v>
      </c>
      <c r="E37" s="33" t="s">
        <v>4664</v>
      </c>
      <c r="F37" s="32" t="s">
        <v>65</v>
      </c>
      <c r="G37" s="39" t="s">
        <v>4663</v>
      </c>
      <c r="H37" s="28" t="s">
        <v>4662</v>
      </c>
      <c r="I37" s="49" t="s">
        <v>58</v>
      </c>
      <c r="J37" s="28" t="s">
        <v>4661</v>
      </c>
      <c r="K37" s="29" t="s">
        <v>4660</v>
      </c>
    </row>
    <row r="38" spans="1:11" x14ac:dyDescent="0.35">
      <c r="A38" s="34"/>
      <c r="B38" s="10"/>
      <c r="C38" s="10"/>
      <c r="D38" s="9"/>
      <c r="E38" s="9"/>
      <c r="F38" s="9"/>
      <c r="G38" s="39" t="s">
        <v>4659</v>
      </c>
      <c r="H38" s="28" t="s">
        <v>4658</v>
      </c>
      <c r="I38" s="49" t="s">
        <v>58</v>
      </c>
      <c r="J38" s="28" t="s">
        <v>4657</v>
      </c>
      <c r="K38" s="29" t="s">
        <v>4656</v>
      </c>
    </row>
    <row r="39" spans="1:11" x14ac:dyDescent="0.35">
      <c r="A39" s="34"/>
      <c r="B39" s="10"/>
      <c r="C39" s="10"/>
      <c r="D39" s="32" t="s">
        <v>4655</v>
      </c>
      <c r="E39" s="33" t="s">
        <v>4654</v>
      </c>
      <c r="F39" s="32" t="s">
        <v>2545</v>
      </c>
      <c r="G39" s="39" t="s">
        <v>4653</v>
      </c>
      <c r="H39" s="28" t="s">
        <v>4652</v>
      </c>
      <c r="I39" s="45" t="s">
        <v>120</v>
      </c>
      <c r="J39" s="28" t="s">
        <v>4651</v>
      </c>
      <c r="K39" s="29" t="s">
        <v>4650</v>
      </c>
    </row>
    <row r="40" spans="1:11" x14ac:dyDescent="0.35">
      <c r="A40" s="34"/>
      <c r="B40" s="10"/>
      <c r="C40" s="10"/>
      <c r="D40" s="9"/>
      <c r="E40" s="9"/>
      <c r="F40" s="9"/>
      <c r="G40" s="39" t="s">
        <v>4649</v>
      </c>
      <c r="H40" s="28" t="s">
        <v>4648</v>
      </c>
      <c r="I40" s="45" t="s">
        <v>120</v>
      </c>
      <c r="J40" s="28" t="s">
        <v>4647</v>
      </c>
      <c r="K40" s="29" t="s">
        <v>4646</v>
      </c>
    </row>
    <row r="41" spans="1:11" x14ac:dyDescent="0.35">
      <c r="A41" s="34"/>
      <c r="B41" s="10"/>
      <c r="C41" s="10"/>
      <c r="D41" s="32" t="s">
        <v>4645</v>
      </c>
      <c r="E41" s="33" t="s">
        <v>4644</v>
      </c>
      <c r="F41" s="32" t="s">
        <v>65</v>
      </c>
      <c r="G41" s="39" t="s">
        <v>4643</v>
      </c>
      <c r="H41" s="28" t="s">
        <v>4642</v>
      </c>
      <c r="I41" s="45" t="s">
        <v>120</v>
      </c>
      <c r="J41" s="28" t="s">
        <v>4641</v>
      </c>
      <c r="K41" s="29" t="s">
        <v>4640</v>
      </c>
    </row>
    <row r="42" spans="1:11" x14ac:dyDescent="0.35">
      <c r="A42" s="34"/>
      <c r="B42" s="10"/>
      <c r="C42" s="9"/>
      <c r="D42" s="9"/>
      <c r="E42" s="9"/>
      <c r="F42" s="9"/>
      <c r="G42" s="39" t="s">
        <v>4639</v>
      </c>
      <c r="H42" s="28" t="s">
        <v>4638</v>
      </c>
      <c r="I42" s="45" t="s">
        <v>120</v>
      </c>
      <c r="J42" s="28" t="s">
        <v>4637</v>
      </c>
      <c r="K42" s="29" t="s">
        <v>4636</v>
      </c>
    </row>
    <row r="43" spans="1:11" x14ac:dyDescent="0.35">
      <c r="A43" s="34"/>
      <c r="B43" s="10"/>
      <c r="C43" s="51" t="s">
        <v>4635</v>
      </c>
      <c r="D43" s="32" t="s">
        <v>4634</v>
      </c>
      <c r="E43" s="33" t="s">
        <v>4633</v>
      </c>
      <c r="F43" s="32" t="s">
        <v>65</v>
      </c>
      <c r="G43" s="39" t="s">
        <v>4632</v>
      </c>
      <c r="H43" s="28" t="s">
        <v>4631</v>
      </c>
      <c r="I43" s="45" t="s">
        <v>120</v>
      </c>
      <c r="J43" s="28" t="s">
        <v>4630</v>
      </c>
      <c r="K43" s="29" t="s">
        <v>4629</v>
      </c>
    </row>
    <row r="44" spans="1:11" x14ac:dyDescent="0.35">
      <c r="A44" s="34"/>
      <c r="B44" s="10"/>
      <c r="C44" s="10"/>
      <c r="D44" s="9"/>
      <c r="E44" s="9"/>
      <c r="F44" s="9"/>
      <c r="G44" s="39" t="s">
        <v>4628</v>
      </c>
      <c r="H44" s="28" t="s">
        <v>4627</v>
      </c>
      <c r="I44" s="45" t="s">
        <v>120</v>
      </c>
      <c r="J44" s="28" t="s">
        <v>4626</v>
      </c>
      <c r="K44" s="29" t="s">
        <v>4625</v>
      </c>
    </row>
    <row r="45" spans="1:11" x14ac:dyDescent="0.35">
      <c r="A45" s="34"/>
      <c r="B45" s="10"/>
      <c r="C45" s="10"/>
      <c r="D45" s="32" t="s">
        <v>4624</v>
      </c>
      <c r="E45" s="33" t="s">
        <v>4623</v>
      </c>
      <c r="F45" s="32" t="s">
        <v>244</v>
      </c>
      <c r="G45" s="39" t="s">
        <v>4622</v>
      </c>
      <c r="H45" s="28" t="s">
        <v>4621</v>
      </c>
      <c r="I45" s="46" t="s">
        <v>250</v>
      </c>
      <c r="J45" s="28" t="s">
        <v>4620</v>
      </c>
      <c r="K45" s="29" t="s">
        <v>4619</v>
      </c>
    </row>
    <row r="46" spans="1:11" x14ac:dyDescent="0.35">
      <c r="A46" s="34"/>
      <c r="B46" s="10"/>
      <c r="C46" s="10"/>
      <c r="D46" s="9"/>
      <c r="E46" s="9"/>
      <c r="F46" s="9"/>
      <c r="G46" s="39" t="s">
        <v>4618</v>
      </c>
      <c r="H46" s="28" t="s">
        <v>4617</v>
      </c>
      <c r="I46" s="46" t="s">
        <v>250</v>
      </c>
      <c r="J46" s="28" t="s">
        <v>4616</v>
      </c>
      <c r="K46" s="29" t="s">
        <v>4615</v>
      </c>
    </row>
    <row r="47" spans="1:11" x14ac:dyDescent="0.35">
      <c r="A47" s="34"/>
      <c r="B47" s="10"/>
      <c r="C47" s="10"/>
      <c r="D47" s="32" t="s">
        <v>4614</v>
      </c>
      <c r="E47" s="33" t="s">
        <v>4613</v>
      </c>
      <c r="F47" s="32" t="s">
        <v>65</v>
      </c>
      <c r="G47" s="39" t="s">
        <v>4612</v>
      </c>
      <c r="H47" s="28" t="s">
        <v>4611</v>
      </c>
      <c r="I47" s="46" t="s">
        <v>250</v>
      </c>
      <c r="J47" s="28" t="s">
        <v>4610</v>
      </c>
      <c r="K47" s="29" t="s">
        <v>4609</v>
      </c>
    </row>
    <row r="48" spans="1:11" x14ac:dyDescent="0.35">
      <c r="A48" s="34"/>
      <c r="B48" s="10"/>
      <c r="C48" s="10"/>
      <c r="D48" s="9"/>
      <c r="E48" s="9"/>
      <c r="F48" s="9"/>
      <c r="G48" s="39" t="s">
        <v>4608</v>
      </c>
      <c r="H48" s="28" t="s">
        <v>4607</v>
      </c>
      <c r="I48" s="46" t="s">
        <v>250</v>
      </c>
      <c r="J48" s="28" t="s">
        <v>4606</v>
      </c>
      <c r="K48" s="29" t="s">
        <v>4605</v>
      </c>
    </row>
    <row r="49" spans="1:11" x14ac:dyDescent="0.35">
      <c r="A49" s="34"/>
      <c r="B49" s="10"/>
      <c r="C49" s="10"/>
      <c r="D49" s="32" t="s">
        <v>4604</v>
      </c>
      <c r="E49" s="33" t="s">
        <v>4603</v>
      </c>
      <c r="F49" s="32" t="s">
        <v>65</v>
      </c>
      <c r="G49" s="39" t="s">
        <v>4602</v>
      </c>
      <c r="H49" s="28" t="s">
        <v>4601</v>
      </c>
      <c r="I49" s="49" t="s">
        <v>58</v>
      </c>
      <c r="J49" s="28" t="s">
        <v>4600</v>
      </c>
      <c r="K49" s="29" t="s">
        <v>4599</v>
      </c>
    </row>
    <row r="50" spans="1:11" x14ac:dyDescent="0.35">
      <c r="A50" s="34"/>
      <c r="B50" s="10"/>
      <c r="C50" s="10"/>
      <c r="D50" s="9"/>
      <c r="E50" s="9"/>
      <c r="F50" s="9"/>
      <c r="G50" s="39" t="s">
        <v>4598</v>
      </c>
      <c r="H50" s="28" t="s">
        <v>4597</v>
      </c>
      <c r="I50" s="49" t="s">
        <v>58</v>
      </c>
      <c r="J50" s="28" t="s">
        <v>4596</v>
      </c>
      <c r="K50" s="29" t="s">
        <v>4595</v>
      </c>
    </row>
    <row r="51" spans="1:11" x14ac:dyDescent="0.35">
      <c r="A51" s="34"/>
      <c r="B51" s="9"/>
      <c r="C51" s="10"/>
      <c r="D51" s="32" t="s">
        <v>4594</v>
      </c>
      <c r="E51" s="33" t="s">
        <v>4593</v>
      </c>
      <c r="F51" s="32" t="s">
        <v>65</v>
      </c>
      <c r="G51" s="39" t="s">
        <v>4592</v>
      </c>
      <c r="H51" s="28" t="s">
        <v>4591</v>
      </c>
      <c r="I51" s="49" t="s">
        <v>58</v>
      </c>
      <c r="J51" s="28" t="s">
        <v>4590</v>
      </c>
      <c r="K51" s="29" t="s">
        <v>4589</v>
      </c>
    </row>
    <row r="52" spans="1:11" x14ac:dyDescent="0.35">
      <c r="A52" s="34"/>
      <c r="B52" s="53"/>
      <c r="C52" s="9"/>
      <c r="D52" s="9"/>
      <c r="E52" s="9"/>
      <c r="F52" s="9"/>
      <c r="G52" s="39" t="s">
        <v>4588</v>
      </c>
      <c r="H52" s="28" t="s">
        <v>4587</v>
      </c>
      <c r="I52" s="49" t="s">
        <v>58</v>
      </c>
      <c r="J52" s="28" t="s">
        <v>4586</v>
      </c>
      <c r="K52" s="29" t="s">
        <v>4585</v>
      </c>
    </row>
    <row r="53" spans="1:11" x14ac:dyDescent="0.35">
      <c r="A53" s="34"/>
      <c r="B53" s="32" t="s">
        <v>4584</v>
      </c>
      <c r="C53" s="52" t="s">
        <v>4583</v>
      </c>
      <c r="D53" s="32" t="s">
        <v>4582</v>
      </c>
      <c r="E53" s="33" t="s">
        <v>4581</v>
      </c>
      <c r="F53" s="32" t="s">
        <v>244</v>
      </c>
      <c r="G53" s="39" t="s">
        <v>4580</v>
      </c>
      <c r="H53" s="28" t="s">
        <v>4579</v>
      </c>
      <c r="I53" s="49" t="s">
        <v>58</v>
      </c>
      <c r="J53" s="28" t="s">
        <v>4578</v>
      </c>
      <c r="K53" s="29" t="s">
        <v>4577</v>
      </c>
    </row>
    <row r="54" spans="1:11" x14ac:dyDescent="0.35">
      <c r="A54" s="34"/>
      <c r="B54" s="10"/>
      <c r="C54" s="10"/>
      <c r="D54" s="9"/>
      <c r="E54" s="9"/>
      <c r="F54" s="9"/>
      <c r="G54" s="39" t="s">
        <v>4576</v>
      </c>
      <c r="H54" s="28" t="s">
        <v>4575</v>
      </c>
      <c r="I54" s="49" t="s">
        <v>58</v>
      </c>
      <c r="J54" s="28" t="s">
        <v>4574</v>
      </c>
      <c r="K54" s="29" t="s">
        <v>4573</v>
      </c>
    </row>
    <row r="55" spans="1:11" x14ac:dyDescent="0.35">
      <c r="A55" s="34"/>
      <c r="B55" s="10"/>
      <c r="C55" s="10"/>
      <c r="D55" s="32" t="s">
        <v>4572</v>
      </c>
      <c r="E55" s="33" t="s">
        <v>4571</v>
      </c>
      <c r="F55" s="32" t="s">
        <v>244</v>
      </c>
      <c r="G55" s="39" t="s">
        <v>4570</v>
      </c>
      <c r="H55" s="28" t="s">
        <v>4569</v>
      </c>
      <c r="I55" s="49" t="s">
        <v>58</v>
      </c>
      <c r="J55" s="28" t="s">
        <v>4568</v>
      </c>
      <c r="K55" s="29" t="s">
        <v>4567</v>
      </c>
    </row>
    <row r="56" spans="1:11" x14ac:dyDescent="0.35">
      <c r="A56" s="34"/>
      <c r="B56" s="10"/>
      <c r="C56" s="10"/>
      <c r="D56" s="9"/>
      <c r="E56" s="9"/>
      <c r="F56" s="9"/>
      <c r="G56" s="39" t="s">
        <v>4566</v>
      </c>
      <c r="H56" s="28" t="s">
        <v>4565</v>
      </c>
      <c r="I56" s="49" t="s">
        <v>58</v>
      </c>
      <c r="J56" s="28" t="s">
        <v>4564</v>
      </c>
      <c r="K56" s="29" t="s">
        <v>4563</v>
      </c>
    </row>
    <row r="57" spans="1:11" x14ac:dyDescent="0.35">
      <c r="A57" s="34"/>
      <c r="B57" s="10"/>
      <c r="C57" s="10"/>
      <c r="D57" s="32" t="s">
        <v>4562</v>
      </c>
      <c r="E57" s="33" t="s">
        <v>4561</v>
      </c>
      <c r="F57" s="32" t="s">
        <v>244</v>
      </c>
      <c r="G57" s="39" t="s">
        <v>4560</v>
      </c>
      <c r="H57" s="28" t="s">
        <v>4559</v>
      </c>
      <c r="I57" s="49" t="s">
        <v>58</v>
      </c>
      <c r="J57" s="28" t="s">
        <v>4558</v>
      </c>
      <c r="K57" s="29" t="s">
        <v>4557</v>
      </c>
    </row>
    <row r="58" spans="1:11" x14ac:dyDescent="0.35">
      <c r="A58" s="34"/>
      <c r="B58" s="10"/>
      <c r="C58" s="10"/>
      <c r="D58" s="9"/>
      <c r="E58" s="9"/>
      <c r="F58" s="9"/>
      <c r="G58" s="39" t="s">
        <v>4556</v>
      </c>
      <c r="H58" s="28" t="s">
        <v>4555</v>
      </c>
      <c r="I58" s="49" t="s">
        <v>58</v>
      </c>
      <c r="J58" s="28" t="s">
        <v>4554</v>
      </c>
      <c r="K58" s="29" t="s">
        <v>4553</v>
      </c>
    </row>
    <row r="59" spans="1:11" x14ac:dyDescent="0.35">
      <c r="A59" s="34"/>
      <c r="B59" s="10"/>
      <c r="C59" s="10"/>
      <c r="D59" s="32" t="s">
        <v>4552</v>
      </c>
      <c r="E59" s="33" t="s">
        <v>4551</v>
      </c>
      <c r="F59" s="32" t="s">
        <v>65</v>
      </c>
      <c r="G59" s="39" t="s">
        <v>4550</v>
      </c>
      <c r="H59" s="28" t="s">
        <v>4549</v>
      </c>
      <c r="I59" s="49" t="s">
        <v>58</v>
      </c>
      <c r="J59" s="28" t="s">
        <v>4548</v>
      </c>
      <c r="K59" s="29" t="s">
        <v>4547</v>
      </c>
    </row>
    <row r="60" spans="1:11" x14ac:dyDescent="0.35">
      <c r="A60" s="34"/>
      <c r="B60" s="10"/>
      <c r="C60" s="10"/>
      <c r="D60" s="9"/>
      <c r="E60" s="9"/>
      <c r="F60" s="9"/>
      <c r="G60" s="39" t="s">
        <v>4546</v>
      </c>
      <c r="H60" s="28" t="s">
        <v>4545</v>
      </c>
      <c r="I60" s="49" t="s">
        <v>58</v>
      </c>
      <c r="J60" s="28" t="s">
        <v>4544</v>
      </c>
      <c r="K60" s="29" t="s">
        <v>4543</v>
      </c>
    </row>
    <row r="61" spans="1:11" x14ac:dyDescent="0.35">
      <c r="A61" s="34"/>
      <c r="B61" s="10"/>
      <c r="C61" s="9"/>
      <c r="D61" s="32" t="s">
        <v>4542</v>
      </c>
      <c r="E61" s="33" t="s">
        <v>4541</v>
      </c>
      <c r="F61" s="32" t="s">
        <v>244</v>
      </c>
      <c r="G61" s="39" t="s">
        <v>4540</v>
      </c>
      <c r="H61" s="28" t="s">
        <v>4539</v>
      </c>
      <c r="I61" s="49" t="s">
        <v>58</v>
      </c>
      <c r="J61" s="28" t="s">
        <v>4538</v>
      </c>
      <c r="K61" s="29" t="s">
        <v>4537</v>
      </c>
    </row>
    <row r="62" spans="1:11" x14ac:dyDescent="0.35">
      <c r="A62" s="34"/>
      <c r="B62" s="10"/>
      <c r="C62" s="50"/>
      <c r="D62" s="9"/>
      <c r="E62" s="9"/>
      <c r="F62" s="9"/>
      <c r="G62" s="39" t="s">
        <v>4536</v>
      </c>
      <c r="H62" s="28" t="s">
        <v>4535</v>
      </c>
      <c r="I62" s="49" t="s">
        <v>58</v>
      </c>
      <c r="J62" s="28" t="s">
        <v>4534</v>
      </c>
      <c r="K62" s="29" t="s">
        <v>4533</v>
      </c>
    </row>
    <row r="63" spans="1:11" x14ac:dyDescent="0.35">
      <c r="A63" s="34"/>
      <c r="B63" s="10"/>
      <c r="C63" s="51" t="s">
        <v>4532</v>
      </c>
      <c r="D63" s="32" t="s">
        <v>4531</v>
      </c>
      <c r="E63" s="33" t="s">
        <v>4530</v>
      </c>
      <c r="F63" s="32" t="s">
        <v>65</v>
      </c>
      <c r="G63" s="39" t="s">
        <v>4529</v>
      </c>
      <c r="H63" s="28" t="s">
        <v>4528</v>
      </c>
      <c r="I63" s="49" t="s">
        <v>58</v>
      </c>
      <c r="J63" s="28" t="s">
        <v>4527</v>
      </c>
      <c r="K63" s="29" t="s">
        <v>4526</v>
      </c>
    </row>
    <row r="64" spans="1:11" x14ac:dyDescent="0.35">
      <c r="A64" s="34"/>
      <c r="B64" s="10"/>
      <c r="C64" s="10"/>
      <c r="D64" s="9"/>
      <c r="E64" s="9"/>
      <c r="F64" s="9"/>
      <c r="G64" s="39" t="s">
        <v>4525</v>
      </c>
      <c r="H64" s="28" t="s">
        <v>4524</v>
      </c>
      <c r="I64" s="49" t="s">
        <v>58</v>
      </c>
      <c r="J64" s="28" t="s">
        <v>4523</v>
      </c>
      <c r="K64" s="29" t="s">
        <v>4522</v>
      </c>
    </row>
    <row r="65" spans="1:11" x14ac:dyDescent="0.35">
      <c r="A65" s="34"/>
      <c r="B65" s="10"/>
      <c r="C65" s="10"/>
      <c r="D65" s="32" t="s">
        <v>4521</v>
      </c>
      <c r="E65" s="33" t="s">
        <v>4520</v>
      </c>
      <c r="F65" s="32" t="s">
        <v>244</v>
      </c>
      <c r="G65" s="39" t="s">
        <v>3151</v>
      </c>
      <c r="H65" s="28" t="s">
        <v>4519</v>
      </c>
      <c r="I65" s="49" t="s">
        <v>58</v>
      </c>
      <c r="J65" s="28" t="s">
        <v>4518</v>
      </c>
      <c r="K65" s="29" t="s">
        <v>4517</v>
      </c>
    </row>
    <row r="66" spans="1:11" x14ac:dyDescent="0.35">
      <c r="A66" s="34"/>
      <c r="B66" s="10"/>
      <c r="C66" s="10"/>
      <c r="D66" s="9"/>
      <c r="E66" s="9"/>
      <c r="F66" s="9"/>
      <c r="G66" s="39" t="s">
        <v>4516</v>
      </c>
      <c r="H66" s="28" t="s">
        <v>4515</v>
      </c>
      <c r="I66" s="49" t="s">
        <v>58</v>
      </c>
      <c r="J66" s="28" t="s">
        <v>4514</v>
      </c>
      <c r="K66" s="29" t="s">
        <v>4513</v>
      </c>
    </row>
    <row r="67" spans="1:11" x14ac:dyDescent="0.35">
      <c r="A67" s="34"/>
      <c r="B67" s="10"/>
      <c r="C67" s="10"/>
      <c r="D67" s="32" t="s">
        <v>4512</v>
      </c>
      <c r="E67" s="33" t="s">
        <v>4511</v>
      </c>
      <c r="F67" s="32" t="s">
        <v>65</v>
      </c>
      <c r="G67" s="39" t="s">
        <v>4510</v>
      </c>
      <c r="H67" s="28" t="s">
        <v>4509</v>
      </c>
      <c r="I67" s="49" t="s">
        <v>58</v>
      </c>
      <c r="J67" s="28" t="s">
        <v>4508</v>
      </c>
      <c r="K67" s="29" t="s">
        <v>4507</v>
      </c>
    </row>
    <row r="68" spans="1:11" x14ac:dyDescent="0.35">
      <c r="A68" s="34"/>
      <c r="B68" s="10"/>
      <c r="C68" s="10"/>
      <c r="D68" s="9"/>
      <c r="E68" s="9"/>
      <c r="F68" s="9"/>
      <c r="G68" s="39" t="s">
        <v>4506</v>
      </c>
      <c r="H68" s="28" t="s">
        <v>4505</v>
      </c>
      <c r="I68" s="49" t="s">
        <v>58</v>
      </c>
      <c r="J68" s="28" t="s">
        <v>4504</v>
      </c>
      <c r="K68" s="29" t="s">
        <v>4503</v>
      </c>
    </row>
    <row r="69" spans="1:11" x14ac:dyDescent="0.35">
      <c r="A69" s="34"/>
      <c r="B69" s="10"/>
      <c r="C69" s="10"/>
      <c r="D69" s="32" t="s">
        <v>4502</v>
      </c>
      <c r="E69" s="33" t="s">
        <v>4501</v>
      </c>
      <c r="F69" s="32" t="s">
        <v>65</v>
      </c>
      <c r="G69" s="39" t="s">
        <v>4500</v>
      </c>
      <c r="H69" s="28" t="s">
        <v>4499</v>
      </c>
      <c r="I69" s="49" t="s">
        <v>58</v>
      </c>
      <c r="J69" s="28" t="s">
        <v>4498</v>
      </c>
      <c r="K69" s="29" t="s">
        <v>4497</v>
      </c>
    </row>
    <row r="70" spans="1:11" x14ac:dyDescent="0.35">
      <c r="A70" s="34"/>
      <c r="B70" s="10"/>
      <c r="C70" s="10"/>
      <c r="D70" s="9"/>
      <c r="E70" s="9"/>
      <c r="F70" s="9"/>
      <c r="G70" s="39" t="s">
        <v>4496</v>
      </c>
      <c r="H70" s="28" t="s">
        <v>4495</v>
      </c>
      <c r="I70" s="49" t="s">
        <v>58</v>
      </c>
      <c r="J70" s="28" t="s">
        <v>4494</v>
      </c>
      <c r="K70" s="29" t="s">
        <v>4493</v>
      </c>
    </row>
    <row r="71" spans="1:11" x14ac:dyDescent="0.35">
      <c r="A71" s="34"/>
      <c r="B71" s="10"/>
      <c r="C71" s="9"/>
      <c r="D71" s="32" t="s">
        <v>4492</v>
      </c>
      <c r="E71" s="33" t="s">
        <v>4491</v>
      </c>
      <c r="F71" s="32" t="s">
        <v>65</v>
      </c>
      <c r="G71" s="39" t="s">
        <v>4490</v>
      </c>
      <c r="H71" s="28" t="s">
        <v>4489</v>
      </c>
      <c r="I71" s="49" t="s">
        <v>58</v>
      </c>
      <c r="J71" s="28" t="s">
        <v>4488</v>
      </c>
      <c r="K71" s="37" t="s">
        <v>4487</v>
      </c>
    </row>
    <row r="72" spans="1:11" x14ac:dyDescent="0.35">
      <c r="A72" s="34"/>
      <c r="B72" s="10"/>
      <c r="C72" s="50"/>
      <c r="D72" s="9"/>
      <c r="E72" s="9"/>
      <c r="F72" s="9"/>
      <c r="G72" s="39" t="s">
        <v>4486</v>
      </c>
      <c r="H72" s="28" t="s">
        <v>4485</v>
      </c>
      <c r="I72" s="49" t="s">
        <v>58</v>
      </c>
      <c r="J72" s="28" t="s">
        <v>4484</v>
      </c>
      <c r="K72" s="29" t="s">
        <v>4483</v>
      </c>
    </row>
    <row r="73" spans="1:11" x14ac:dyDescent="0.35">
      <c r="A73" s="34"/>
      <c r="B73" s="10"/>
      <c r="C73" s="35" t="s">
        <v>4482</v>
      </c>
      <c r="D73" s="32" t="s">
        <v>4481</v>
      </c>
      <c r="E73" s="33" t="s">
        <v>4480</v>
      </c>
      <c r="F73" s="32" t="s">
        <v>65</v>
      </c>
      <c r="G73" s="39" t="s">
        <v>4479</v>
      </c>
      <c r="H73" s="28" t="s">
        <v>4478</v>
      </c>
      <c r="I73" s="49" t="s">
        <v>58</v>
      </c>
      <c r="J73" s="28" t="s">
        <v>4477</v>
      </c>
      <c r="K73" s="29" t="s">
        <v>4476</v>
      </c>
    </row>
    <row r="74" spans="1:11" x14ac:dyDescent="0.35">
      <c r="A74" s="34"/>
      <c r="B74" s="10"/>
      <c r="C74" s="10"/>
      <c r="D74" s="9"/>
      <c r="E74" s="9"/>
      <c r="F74" s="9"/>
      <c r="G74" s="39" t="s">
        <v>4475</v>
      </c>
      <c r="H74" s="28" t="s">
        <v>4474</v>
      </c>
      <c r="I74" s="49" t="s">
        <v>58</v>
      </c>
      <c r="J74" s="28" t="s">
        <v>4473</v>
      </c>
      <c r="K74" s="29" t="s">
        <v>4472</v>
      </c>
    </row>
    <row r="75" spans="1:11" x14ac:dyDescent="0.35">
      <c r="A75" s="34"/>
      <c r="B75" s="10"/>
      <c r="C75" s="10"/>
      <c r="D75" s="32" t="s">
        <v>4471</v>
      </c>
      <c r="E75" s="33" t="s">
        <v>4470</v>
      </c>
      <c r="F75" s="32" t="s">
        <v>65</v>
      </c>
      <c r="G75" s="39" t="s">
        <v>4469</v>
      </c>
      <c r="H75" s="28" t="s">
        <v>4468</v>
      </c>
      <c r="I75" s="49" t="s">
        <v>58</v>
      </c>
      <c r="J75" s="28" t="s">
        <v>4467</v>
      </c>
      <c r="K75" s="29" t="s">
        <v>4466</v>
      </c>
    </row>
    <row r="76" spans="1:11" x14ac:dyDescent="0.35">
      <c r="A76" s="34"/>
      <c r="B76" s="10"/>
      <c r="C76" s="10"/>
      <c r="D76" s="9"/>
      <c r="E76" s="9"/>
      <c r="F76" s="9"/>
      <c r="G76" s="39" t="s">
        <v>4465</v>
      </c>
      <c r="H76" s="28" t="s">
        <v>4464</v>
      </c>
      <c r="I76" s="49" t="s">
        <v>58</v>
      </c>
      <c r="J76" s="28" t="s">
        <v>4463</v>
      </c>
      <c r="K76" s="29" t="s">
        <v>4462</v>
      </c>
    </row>
    <row r="77" spans="1:11" x14ac:dyDescent="0.35">
      <c r="A77" s="34"/>
      <c r="B77" s="10"/>
      <c r="C77" s="10"/>
      <c r="D77" s="32" t="s">
        <v>4461</v>
      </c>
      <c r="E77" s="33" t="s">
        <v>4460</v>
      </c>
      <c r="F77" s="32" t="s">
        <v>65</v>
      </c>
      <c r="G77" s="39" t="s">
        <v>4459</v>
      </c>
      <c r="H77" s="28" t="s">
        <v>4458</v>
      </c>
      <c r="I77" s="49" t="s">
        <v>58</v>
      </c>
      <c r="J77" s="28" t="s">
        <v>4457</v>
      </c>
      <c r="K77" s="29" t="s">
        <v>4456</v>
      </c>
    </row>
    <row r="78" spans="1:11" x14ac:dyDescent="0.35">
      <c r="A78" s="34"/>
      <c r="B78" s="10"/>
      <c r="C78" s="10"/>
      <c r="D78" s="9"/>
      <c r="E78" s="9"/>
      <c r="F78" s="9"/>
      <c r="G78" s="39" t="s">
        <v>2998</v>
      </c>
      <c r="H78" s="28" t="s">
        <v>4455</v>
      </c>
      <c r="I78" s="49" t="s">
        <v>58</v>
      </c>
      <c r="J78" s="28" t="s">
        <v>4454</v>
      </c>
      <c r="K78" s="29" t="s">
        <v>4453</v>
      </c>
    </row>
    <row r="79" spans="1:11" x14ac:dyDescent="0.35">
      <c r="A79" s="34"/>
      <c r="B79" s="10"/>
      <c r="C79" s="10"/>
      <c r="D79" s="32" t="s">
        <v>4452</v>
      </c>
      <c r="E79" s="33" t="s">
        <v>4451</v>
      </c>
      <c r="F79" s="32" t="s">
        <v>65</v>
      </c>
      <c r="G79" s="39" t="s">
        <v>4450</v>
      </c>
      <c r="H79" s="28" t="s">
        <v>4449</v>
      </c>
      <c r="I79" s="49" t="s">
        <v>58</v>
      </c>
      <c r="J79" s="28" t="s">
        <v>4448</v>
      </c>
      <c r="K79" s="29" t="s">
        <v>4447</v>
      </c>
    </row>
    <row r="80" spans="1:11" x14ac:dyDescent="0.35">
      <c r="A80" s="34"/>
      <c r="B80" s="10"/>
      <c r="C80" s="10"/>
      <c r="D80" s="9"/>
      <c r="E80" s="9"/>
      <c r="F80" s="9"/>
      <c r="G80" s="39" t="s">
        <v>4446</v>
      </c>
      <c r="H80" s="28" t="s">
        <v>4445</v>
      </c>
      <c r="I80" s="45" t="s">
        <v>120</v>
      </c>
      <c r="J80" s="28" t="s">
        <v>4444</v>
      </c>
      <c r="K80" s="29" t="s">
        <v>4443</v>
      </c>
    </row>
    <row r="81" spans="1:11" x14ac:dyDescent="0.35">
      <c r="A81" s="34"/>
      <c r="B81" s="10"/>
      <c r="C81" s="10"/>
      <c r="D81" s="32" t="s">
        <v>4442</v>
      </c>
      <c r="E81" s="33" t="s">
        <v>4441</v>
      </c>
      <c r="F81" s="32" t="s">
        <v>65</v>
      </c>
      <c r="G81" s="39" t="s">
        <v>4440</v>
      </c>
      <c r="H81" s="28" t="s">
        <v>4439</v>
      </c>
      <c r="I81" s="45" t="s">
        <v>120</v>
      </c>
      <c r="J81" s="28" t="s">
        <v>4438</v>
      </c>
      <c r="K81" s="29" t="s">
        <v>4437</v>
      </c>
    </row>
    <row r="82" spans="1:11" x14ac:dyDescent="0.35">
      <c r="A82" s="34"/>
      <c r="B82" s="10"/>
      <c r="C82" s="9"/>
      <c r="D82" s="9"/>
      <c r="E82" s="9"/>
      <c r="F82" s="9"/>
      <c r="G82" s="39" t="s">
        <v>4436</v>
      </c>
      <c r="H82" s="28" t="s">
        <v>4435</v>
      </c>
      <c r="I82" s="45" t="s">
        <v>120</v>
      </c>
      <c r="J82" s="28" t="s">
        <v>4434</v>
      </c>
      <c r="K82" s="29" t="s">
        <v>4433</v>
      </c>
    </row>
    <row r="83" spans="1:11" x14ac:dyDescent="0.35">
      <c r="A83" s="34"/>
      <c r="B83" s="10"/>
      <c r="C83" s="32" t="s">
        <v>4432</v>
      </c>
      <c r="D83" s="32" t="s">
        <v>4431</v>
      </c>
      <c r="E83" s="33" t="s">
        <v>4430</v>
      </c>
      <c r="F83" s="32" t="s">
        <v>65</v>
      </c>
      <c r="G83" s="39" t="s">
        <v>4429</v>
      </c>
      <c r="H83" s="28" t="s">
        <v>4428</v>
      </c>
      <c r="I83" s="45" t="s">
        <v>120</v>
      </c>
      <c r="J83" s="28" t="s">
        <v>4427</v>
      </c>
      <c r="K83" s="29" t="s">
        <v>4426</v>
      </c>
    </row>
    <row r="84" spans="1:11" x14ac:dyDescent="0.35">
      <c r="A84" s="34"/>
      <c r="B84" s="10"/>
      <c r="C84" s="10"/>
      <c r="D84" s="9"/>
      <c r="E84" s="9"/>
      <c r="F84" s="9"/>
      <c r="G84" s="39" t="s">
        <v>4425</v>
      </c>
      <c r="H84" s="28" t="s">
        <v>4424</v>
      </c>
      <c r="I84" s="45" t="s">
        <v>120</v>
      </c>
      <c r="J84" s="28" t="s">
        <v>4423</v>
      </c>
      <c r="K84" s="29" t="s">
        <v>4422</v>
      </c>
    </row>
    <row r="85" spans="1:11" x14ac:dyDescent="0.35">
      <c r="A85" s="34"/>
      <c r="B85" s="10"/>
      <c r="C85" s="10"/>
      <c r="D85" s="32" t="s">
        <v>4421</v>
      </c>
      <c r="E85" s="33" t="s">
        <v>4420</v>
      </c>
      <c r="F85" s="32" t="s">
        <v>244</v>
      </c>
      <c r="G85" s="39" t="s">
        <v>4419</v>
      </c>
      <c r="H85" s="28" t="s">
        <v>4418</v>
      </c>
      <c r="I85" s="45" t="s">
        <v>120</v>
      </c>
      <c r="J85" s="28" t="s">
        <v>4417</v>
      </c>
      <c r="K85" s="29" t="s">
        <v>4416</v>
      </c>
    </row>
    <row r="86" spans="1:11" x14ac:dyDescent="0.35">
      <c r="A86" s="34"/>
      <c r="B86" s="10"/>
      <c r="C86" s="10"/>
      <c r="D86" s="9"/>
      <c r="E86" s="9"/>
      <c r="F86" s="9"/>
      <c r="G86" s="39" t="s">
        <v>4415</v>
      </c>
      <c r="H86" s="28" t="s">
        <v>4414</v>
      </c>
      <c r="I86" s="45" t="s">
        <v>120</v>
      </c>
      <c r="J86" s="28" t="s">
        <v>4413</v>
      </c>
      <c r="K86" s="29" t="s">
        <v>4412</v>
      </c>
    </row>
    <row r="87" spans="1:11" x14ac:dyDescent="0.35">
      <c r="A87" s="34"/>
      <c r="B87" s="10"/>
      <c r="C87" s="10"/>
      <c r="D87" s="32" t="s">
        <v>4411</v>
      </c>
      <c r="E87" s="33" t="s">
        <v>4410</v>
      </c>
      <c r="F87" s="32" t="s">
        <v>65</v>
      </c>
      <c r="G87" s="39" t="s">
        <v>4409</v>
      </c>
      <c r="H87" s="28" t="s">
        <v>4408</v>
      </c>
      <c r="I87" s="45" t="s">
        <v>120</v>
      </c>
      <c r="J87" s="28" t="s">
        <v>4407</v>
      </c>
      <c r="K87" s="29" t="s">
        <v>4406</v>
      </c>
    </row>
    <row r="88" spans="1:11" x14ac:dyDescent="0.35">
      <c r="A88" s="34"/>
      <c r="B88" s="10"/>
      <c r="C88" s="10"/>
      <c r="D88" s="9"/>
      <c r="E88" s="9"/>
      <c r="F88" s="9"/>
      <c r="G88" s="39" t="s">
        <v>4405</v>
      </c>
      <c r="H88" s="28" t="s">
        <v>4404</v>
      </c>
      <c r="I88" s="45" t="s">
        <v>120</v>
      </c>
      <c r="J88" s="28" t="s">
        <v>4403</v>
      </c>
      <c r="K88" s="29" t="s">
        <v>4402</v>
      </c>
    </row>
    <row r="89" spans="1:11" x14ac:dyDescent="0.35">
      <c r="A89" s="34"/>
      <c r="B89" s="10"/>
      <c r="C89" s="10"/>
      <c r="D89" s="32" t="s">
        <v>4401</v>
      </c>
      <c r="E89" s="33" t="s">
        <v>4400</v>
      </c>
      <c r="F89" s="32" t="s">
        <v>65</v>
      </c>
      <c r="G89" s="39" t="s">
        <v>4399</v>
      </c>
      <c r="H89" s="28" t="s">
        <v>4398</v>
      </c>
      <c r="I89" s="45" t="s">
        <v>120</v>
      </c>
      <c r="J89" s="28" t="s">
        <v>4397</v>
      </c>
      <c r="K89" s="29" t="s">
        <v>4396</v>
      </c>
    </row>
    <row r="90" spans="1:11" x14ac:dyDescent="0.35">
      <c r="A90" s="34"/>
      <c r="B90" s="10"/>
      <c r="C90" s="10"/>
      <c r="D90" s="9"/>
      <c r="E90" s="9"/>
      <c r="F90" s="9"/>
      <c r="G90" s="39" t="s">
        <v>4395</v>
      </c>
      <c r="H90" s="28" t="s">
        <v>4394</v>
      </c>
      <c r="I90" s="45" t="s">
        <v>120</v>
      </c>
      <c r="J90" s="28" t="s">
        <v>4393</v>
      </c>
      <c r="K90" s="29" t="s">
        <v>4392</v>
      </c>
    </row>
    <row r="91" spans="1:11" x14ac:dyDescent="0.35">
      <c r="A91" s="34"/>
      <c r="B91" s="10"/>
      <c r="C91" s="10"/>
      <c r="D91" s="32" t="s">
        <v>4391</v>
      </c>
      <c r="E91" s="33" t="s">
        <v>4390</v>
      </c>
      <c r="F91" s="32" t="s">
        <v>65</v>
      </c>
      <c r="G91" s="39" t="s">
        <v>4389</v>
      </c>
      <c r="H91" s="28" t="s">
        <v>4388</v>
      </c>
      <c r="I91" s="45" t="s">
        <v>120</v>
      </c>
      <c r="J91" s="28" t="s">
        <v>4387</v>
      </c>
      <c r="K91" s="29" t="s">
        <v>4386</v>
      </c>
    </row>
    <row r="92" spans="1:11" x14ac:dyDescent="0.35">
      <c r="A92" s="34"/>
      <c r="B92" s="10"/>
      <c r="C92" s="9"/>
      <c r="D92" s="9"/>
      <c r="E92" s="9"/>
      <c r="F92" s="9"/>
      <c r="G92" s="39" t="s">
        <v>4385</v>
      </c>
      <c r="H92" s="28" t="s">
        <v>4384</v>
      </c>
      <c r="I92" s="45" t="s">
        <v>120</v>
      </c>
      <c r="J92" s="28" t="s">
        <v>4383</v>
      </c>
      <c r="K92" s="29" t="s">
        <v>4382</v>
      </c>
    </row>
    <row r="93" spans="1:11" x14ac:dyDescent="0.35">
      <c r="A93" s="34"/>
      <c r="B93" s="10"/>
      <c r="C93" s="32" t="s">
        <v>4381</v>
      </c>
      <c r="D93" s="32" t="s">
        <v>4380</v>
      </c>
      <c r="E93" s="33" t="s">
        <v>4379</v>
      </c>
      <c r="F93" s="32" t="s">
        <v>65</v>
      </c>
      <c r="G93" s="39" t="s">
        <v>4378</v>
      </c>
      <c r="H93" s="28" t="s">
        <v>4377</v>
      </c>
      <c r="I93" s="45" t="s">
        <v>120</v>
      </c>
      <c r="J93" s="28" t="s">
        <v>4376</v>
      </c>
      <c r="K93" s="29" t="s">
        <v>4375</v>
      </c>
    </row>
    <row r="94" spans="1:11" x14ac:dyDescent="0.35">
      <c r="A94" s="34"/>
      <c r="B94" s="10"/>
      <c r="C94" s="10"/>
      <c r="D94" s="9"/>
      <c r="E94" s="9"/>
      <c r="F94" s="9"/>
      <c r="G94" s="39" t="s">
        <v>4374</v>
      </c>
      <c r="H94" s="28" t="s">
        <v>4373</v>
      </c>
      <c r="I94" s="45" t="s">
        <v>120</v>
      </c>
      <c r="J94" s="28" t="s">
        <v>4372</v>
      </c>
      <c r="K94" s="29" t="s">
        <v>4371</v>
      </c>
    </row>
    <row r="95" spans="1:11" x14ac:dyDescent="0.35">
      <c r="A95" s="34"/>
      <c r="B95" s="10"/>
      <c r="C95" s="10"/>
      <c r="D95" s="32" t="s">
        <v>4370</v>
      </c>
      <c r="E95" s="33" t="s">
        <v>4369</v>
      </c>
      <c r="F95" s="32" t="s">
        <v>65</v>
      </c>
      <c r="G95" s="39" t="s">
        <v>4368</v>
      </c>
      <c r="H95" s="28" t="s">
        <v>4367</v>
      </c>
      <c r="I95" s="45" t="s">
        <v>120</v>
      </c>
      <c r="J95" s="28" t="s">
        <v>4366</v>
      </c>
      <c r="K95" s="29" t="s">
        <v>4365</v>
      </c>
    </row>
    <row r="96" spans="1:11" x14ac:dyDescent="0.35">
      <c r="A96" s="34"/>
      <c r="B96" s="10"/>
      <c r="C96" s="10"/>
      <c r="D96" s="9"/>
      <c r="E96" s="9"/>
      <c r="F96" s="9"/>
      <c r="G96" s="39" t="s">
        <v>4364</v>
      </c>
      <c r="H96" s="28" t="s">
        <v>4363</v>
      </c>
      <c r="I96" s="45" t="s">
        <v>120</v>
      </c>
      <c r="J96" s="28" t="s">
        <v>4362</v>
      </c>
      <c r="K96" s="29" t="s">
        <v>4361</v>
      </c>
    </row>
    <row r="97" spans="1:11" x14ac:dyDescent="0.35">
      <c r="A97" s="34"/>
      <c r="B97" s="10"/>
      <c r="C97" s="10"/>
      <c r="D97" s="32" t="s">
        <v>4360</v>
      </c>
      <c r="E97" s="33" t="s">
        <v>4359</v>
      </c>
      <c r="F97" s="32" t="s">
        <v>65</v>
      </c>
      <c r="G97" s="39" t="s">
        <v>4358</v>
      </c>
      <c r="H97" s="28" t="s">
        <v>4357</v>
      </c>
      <c r="I97" s="45" t="s">
        <v>120</v>
      </c>
      <c r="J97" s="28" t="s">
        <v>4356</v>
      </c>
      <c r="K97" s="37" t="s">
        <v>4355</v>
      </c>
    </row>
    <row r="98" spans="1:11" x14ac:dyDescent="0.35">
      <c r="A98" s="34"/>
      <c r="B98" s="10"/>
      <c r="C98" s="10"/>
      <c r="D98" s="9"/>
      <c r="E98" s="9"/>
      <c r="F98" s="9"/>
      <c r="G98" s="39" t="s">
        <v>4354</v>
      </c>
      <c r="H98" s="28" t="s">
        <v>4353</v>
      </c>
      <c r="I98" s="45" t="s">
        <v>120</v>
      </c>
      <c r="J98" s="28" t="s">
        <v>4352</v>
      </c>
      <c r="K98" s="28" t="s">
        <v>4351</v>
      </c>
    </row>
    <row r="99" spans="1:11" x14ac:dyDescent="0.35">
      <c r="A99" s="34"/>
      <c r="B99" s="10"/>
      <c r="C99" s="10"/>
      <c r="D99" s="32" t="s">
        <v>4350</v>
      </c>
      <c r="E99" s="33" t="s">
        <v>4349</v>
      </c>
      <c r="F99" s="32" t="s">
        <v>2545</v>
      </c>
      <c r="G99" s="39" t="s">
        <v>4348</v>
      </c>
      <c r="H99" s="28" t="s">
        <v>4347</v>
      </c>
      <c r="I99" s="45" t="s">
        <v>120</v>
      </c>
      <c r="J99" s="28" t="s">
        <v>4346</v>
      </c>
      <c r="K99" s="28" t="s">
        <v>4345</v>
      </c>
    </row>
    <row r="100" spans="1:11" x14ac:dyDescent="0.35">
      <c r="A100" s="34"/>
      <c r="B100" s="10"/>
      <c r="C100" s="10"/>
      <c r="D100" s="9"/>
      <c r="E100" s="9"/>
      <c r="F100" s="9"/>
      <c r="G100" s="39" t="s">
        <v>4344</v>
      </c>
      <c r="H100" s="28" t="s">
        <v>4343</v>
      </c>
      <c r="I100" s="45" t="s">
        <v>120</v>
      </c>
      <c r="J100" s="28" t="s">
        <v>4342</v>
      </c>
      <c r="K100" s="28" t="s">
        <v>4341</v>
      </c>
    </row>
    <row r="101" spans="1:11" x14ac:dyDescent="0.35">
      <c r="A101" s="34"/>
      <c r="B101" s="10"/>
      <c r="C101" s="10"/>
      <c r="D101" s="32" t="s">
        <v>4340</v>
      </c>
      <c r="E101" s="33" t="s">
        <v>4339</v>
      </c>
      <c r="F101" s="32" t="s">
        <v>244</v>
      </c>
      <c r="G101" s="39" t="s">
        <v>4338</v>
      </c>
      <c r="H101" s="28" t="s">
        <v>4337</v>
      </c>
      <c r="I101" s="45" t="s">
        <v>120</v>
      </c>
      <c r="J101" s="28" t="s">
        <v>4336</v>
      </c>
      <c r="K101" s="28" t="s">
        <v>4335</v>
      </c>
    </row>
    <row r="102" spans="1:11" x14ac:dyDescent="0.35">
      <c r="A102" s="34"/>
      <c r="B102" s="10"/>
      <c r="C102" s="9"/>
      <c r="D102" s="9"/>
      <c r="E102" s="9"/>
      <c r="F102" s="9"/>
      <c r="G102" s="39" t="s">
        <v>4334</v>
      </c>
      <c r="H102" s="28" t="s">
        <v>4333</v>
      </c>
      <c r="I102" s="45" t="s">
        <v>120</v>
      </c>
      <c r="J102" s="28" t="s">
        <v>4332</v>
      </c>
      <c r="K102" s="28" t="s">
        <v>4331</v>
      </c>
    </row>
    <row r="103" spans="1:11" x14ac:dyDescent="0.35">
      <c r="A103" s="34"/>
      <c r="B103" s="10"/>
      <c r="C103" s="32" t="s">
        <v>4330</v>
      </c>
      <c r="D103" s="32" t="s">
        <v>4329</v>
      </c>
      <c r="E103" s="33" t="s">
        <v>4328</v>
      </c>
      <c r="F103" s="32" t="s">
        <v>65</v>
      </c>
      <c r="G103" s="39" t="s">
        <v>4327</v>
      </c>
      <c r="H103" s="28" t="s">
        <v>4326</v>
      </c>
      <c r="I103" s="47" t="s">
        <v>58</v>
      </c>
      <c r="J103" s="28" t="s">
        <v>4325</v>
      </c>
      <c r="K103" s="28" t="s">
        <v>4324</v>
      </c>
    </row>
    <row r="104" spans="1:11" x14ac:dyDescent="0.35">
      <c r="A104" s="34"/>
      <c r="B104" s="10"/>
      <c r="C104" s="10"/>
      <c r="D104" s="9"/>
      <c r="E104" s="9"/>
      <c r="F104" s="9"/>
      <c r="G104" s="39" t="s">
        <v>4323</v>
      </c>
      <c r="H104" s="28" t="s">
        <v>4322</v>
      </c>
      <c r="I104" s="47" t="s">
        <v>58</v>
      </c>
      <c r="J104" s="28" t="s">
        <v>4321</v>
      </c>
      <c r="K104" s="28" t="s">
        <v>4320</v>
      </c>
    </row>
    <row r="105" spans="1:11" x14ac:dyDescent="0.35">
      <c r="A105" s="34"/>
      <c r="B105" s="10"/>
      <c r="C105" s="10"/>
      <c r="D105" s="32" t="s">
        <v>4319</v>
      </c>
      <c r="E105" s="33" t="s">
        <v>4318</v>
      </c>
      <c r="F105" s="32" t="s">
        <v>65</v>
      </c>
      <c r="G105" s="39" t="s">
        <v>4317</v>
      </c>
      <c r="H105" s="28" t="s">
        <v>4316</v>
      </c>
      <c r="I105" s="47" t="s">
        <v>58</v>
      </c>
      <c r="J105" s="28" t="s">
        <v>4315</v>
      </c>
      <c r="K105" s="28" t="s">
        <v>4314</v>
      </c>
    </row>
    <row r="106" spans="1:11" x14ac:dyDescent="0.35">
      <c r="A106" s="34"/>
      <c r="B106" s="10"/>
      <c r="C106" s="10"/>
      <c r="D106" s="9"/>
      <c r="E106" s="9"/>
      <c r="F106" s="9"/>
      <c r="G106" s="39" t="s">
        <v>4313</v>
      </c>
      <c r="H106" s="28" t="s">
        <v>4312</v>
      </c>
      <c r="I106" s="47" t="s">
        <v>58</v>
      </c>
      <c r="J106" s="28" t="s">
        <v>4311</v>
      </c>
      <c r="K106" s="28" t="s">
        <v>4310</v>
      </c>
    </row>
    <row r="107" spans="1:11" x14ac:dyDescent="0.35">
      <c r="A107" s="34"/>
      <c r="B107" s="10"/>
      <c r="C107" s="10"/>
      <c r="D107" s="32" t="s">
        <v>4309</v>
      </c>
      <c r="E107" s="33" t="s">
        <v>4308</v>
      </c>
      <c r="F107" s="32" t="s">
        <v>244</v>
      </c>
      <c r="G107" s="39" t="s">
        <v>4307</v>
      </c>
      <c r="H107" s="28" t="s">
        <v>4306</v>
      </c>
      <c r="I107" s="47" t="s">
        <v>58</v>
      </c>
      <c r="J107" s="28" t="s">
        <v>4305</v>
      </c>
      <c r="K107" s="28" t="s">
        <v>4304</v>
      </c>
    </row>
    <row r="108" spans="1:11" x14ac:dyDescent="0.35">
      <c r="A108" s="34"/>
      <c r="B108" s="10"/>
      <c r="C108" s="10"/>
      <c r="D108" s="9"/>
      <c r="E108" s="9"/>
      <c r="F108" s="9"/>
      <c r="G108" s="39" t="s">
        <v>4303</v>
      </c>
      <c r="H108" s="28" t="s">
        <v>4302</v>
      </c>
      <c r="I108" s="47" t="s">
        <v>58</v>
      </c>
      <c r="J108" s="28" t="s">
        <v>4301</v>
      </c>
      <c r="K108" s="28" t="s">
        <v>4300</v>
      </c>
    </row>
    <row r="109" spans="1:11" x14ac:dyDescent="0.35">
      <c r="A109" s="34"/>
      <c r="B109" s="10"/>
      <c r="C109" s="10"/>
      <c r="D109" s="32" t="s">
        <v>4299</v>
      </c>
      <c r="E109" s="33" t="s">
        <v>4298</v>
      </c>
      <c r="F109" s="32" t="s">
        <v>65</v>
      </c>
      <c r="G109" s="39" t="s">
        <v>4297</v>
      </c>
      <c r="H109" s="28" t="s">
        <v>4296</v>
      </c>
      <c r="I109" s="47" t="s">
        <v>58</v>
      </c>
      <c r="J109" s="28" t="s">
        <v>4295</v>
      </c>
      <c r="K109" s="28" t="s">
        <v>4294</v>
      </c>
    </row>
    <row r="110" spans="1:11" x14ac:dyDescent="0.35">
      <c r="A110" s="34"/>
      <c r="B110" s="10"/>
      <c r="C110" s="10"/>
      <c r="D110" s="9"/>
      <c r="E110" s="9"/>
      <c r="F110" s="9"/>
      <c r="G110" s="39" t="s">
        <v>4293</v>
      </c>
      <c r="H110" s="28" t="s">
        <v>4292</v>
      </c>
      <c r="I110" s="47" t="s">
        <v>58</v>
      </c>
      <c r="J110" s="28" t="s">
        <v>4291</v>
      </c>
      <c r="K110" s="28" t="s">
        <v>4290</v>
      </c>
    </row>
    <row r="111" spans="1:11" x14ac:dyDescent="0.35">
      <c r="A111" s="34"/>
      <c r="B111" s="9"/>
      <c r="C111" s="10"/>
      <c r="D111" s="32" t="s">
        <v>4289</v>
      </c>
      <c r="E111" s="33" t="s">
        <v>4288</v>
      </c>
      <c r="F111" s="32" t="s">
        <v>65</v>
      </c>
      <c r="G111" s="39" t="s">
        <v>4287</v>
      </c>
      <c r="H111" s="28" t="s">
        <v>4286</v>
      </c>
      <c r="I111" s="47" t="s">
        <v>58</v>
      </c>
      <c r="J111" s="28" t="s">
        <v>4285</v>
      </c>
      <c r="K111" s="28" t="s">
        <v>4284</v>
      </c>
    </row>
    <row r="112" spans="1:11" x14ac:dyDescent="0.35">
      <c r="A112" s="34"/>
      <c r="B112" s="48"/>
      <c r="C112" s="9"/>
      <c r="D112" s="9"/>
      <c r="E112" s="9"/>
      <c r="F112" s="9"/>
      <c r="G112" s="39" t="s">
        <v>4283</v>
      </c>
      <c r="H112" s="28" t="s">
        <v>4282</v>
      </c>
      <c r="I112" s="47" t="s">
        <v>58</v>
      </c>
      <c r="J112" s="28" t="s">
        <v>4281</v>
      </c>
      <c r="K112" s="28" t="s">
        <v>4280</v>
      </c>
    </row>
    <row r="113" spans="1:11" x14ac:dyDescent="0.35">
      <c r="A113" s="34"/>
      <c r="B113" s="35" t="s">
        <v>4279</v>
      </c>
      <c r="C113" s="32" t="s">
        <v>4278</v>
      </c>
      <c r="D113" s="32" t="s">
        <v>4277</v>
      </c>
      <c r="E113" s="33" t="s">
        <v>4276</v>
      </c>
      <c r="F113" s="32" t="s">
        <v>65</v>
      </c>
      <c r="G113" s="39" t="s">
        <v>4275</v>
      </c>
      <c r="H113" s="28" t="s">
        <v>4274</v>
      </c>
      <c r="I113" s="47" t="s">
        <v>58</v>
      </c>
      <c r="J113" s="28" t="s">
        <v>4273</v>
      </c>
      <c r="K113" s="28" t="s">
        <v>4272</v>
      </c>
    </row>
    <row r="114" spans="1:11" x14ac:dyDescent="0.35">
      <c r="A114" s="34"/>
      <c r="B114" s="10"/>
      <c r="C114" s="10"/>
      <c r="D114" s="9"/>
      <c r="E114" s="9"/>
      <c r="F114" s="9"/>
      <c r="G114" s="39" t="s">
        <v>4271</v>
      </c>
      <c r="H114" s="28" t="s">
        <v>4270</v>
      </c>
      <c r="I114" s="47" t="s">
        <v>58</v>
      </c>
      <c r="J114" s="28" t="s">
        <v>4269</v>
      </c>
      <c r="K114" s="28" t="s">
        <v>4268</v>
      </c>
    </row>
    <row r="115" spans="1:11" x14ac:dyDescent="0.35">
      <c r="A115" s="34"/>
      <c r="B115" s="10"/>
      <c r="C115" s="10"/>
      <c r="D115" s="32" t="s">
        <v>4267</v>
      </c>
      <c r="E115" s="33" t="s">
        <v>4266</v>
      </c>
      <c r="F115" s="32" t="s">
        <v>65</v>
      </c>
      <c r="G115" s="39" t="s">
        <v>4265</v>
      </c>
      <c r="H115" s="28" t="s">
        <v>4264</v>
      </c>
      <c r="I115" s="46" t="s">
        <v>250</v>
      </c>
      <c r="J115" s="28" t="s">
        <v>4263</v>
      </c>
      <c r="K115" s="28" t="s">
        <v>4262</v>
      </c>
    </row>
    <row r="116" spans="1:11" x14ac:dyDescent="0.35">
      <c r="A116" s="34"/>
      <c r="B116" s="10"/>
      <c r="C116" s="10"/>
      <c r="D116" s="9"/>
      <c r="E116" s="9"/>
      <c r="F116" s="9"/>
      <c r="G116" s="39" t="s">
        <v>4261</v>
      </c>
      <c r="H116" s="28" t="s">
        <v>4260</v>
      </c>
      <c r="I116" s="46" t="s">
        <v>250</v>
      </c>
      <c r="J116" s="28" t="s">
        <v>4259</v>
      </c>
      <c r="K116" s="28" t="s">
        <v>4258</v>
      </c>
    </row>
    <row r="117" spans="1:11" x14ac:dyDescent="0.35">
      <c r="A117" s="34"/>
      <c r="B117" s="10"/>
      <c r="C117" s="10"/>
      <c r="D117" s="32" t="s">
        <v>4257</v>
      </c>
      <c r="E117" s="33" t="s">
        <v>4256</v>
      </c>
      <c r="F117" s="32" t="s">
        <v>65</v>
      </c>
      <c r="G117" s="39" t="s">
        <v>4255</v>
      </c>
      <c r="H117" s="28" t="s">
        <v>4254</v>
      </c>
      <c r="I117" s="46" t="s">
        <v>250</v>
      </c>
      <c r="J117" s="28" t="s">
        <v>4253</v>
      </c>
      <c r="K117" s="28" t="s">
        <v>4252</v>
      </c>
    </row>
    <row r="118" spans="1:11" x14ac:dyDescent="0.35">
      <c r="A118" s="34"/>
      <c r="B118" s="10"/>
      <c r="C118" s="10"/>
      <c r="D118" s="9"/>
      <c r="E118" s="9"/>
      <c r="F118" s="9"/>
      <c r="G118" s="39" t="s">
        <v>4251</v>
      </c>
      <c r="H118" s="28" t="s">
        <v>4250</v>
      </c>
      <c r="I118" s="47" t="s">
        <v>58</v>
      </c>
      <c r="J118" s="28" t="s">
        <v>4249</v>
      </c>
      <c r="K118" s="28" t="s">
        <v>4248</v>
      </c>
    </row>
    <row r="119" spans="1:11" x14ac:dyDescent="0.35">
      <c r="A119" s="34"/>
      <c r="B119" s="10"/>
      <c r="C119" s="10"/>
      <c r="D119" s="32" t="s">
        <v>4247</v>
      </c>
      <c r="E119" s="33" t="s">
        <v>4246</v>
      </c>
      <c r="F119" s="32" t="s">
        <v>65</v>
      </c>
      <c r="G119" s="39" t="s">
        <v>4245</v>
      </c>
      <c r="H119" s="28" t="s">
        <v>4244</v>
      </c>
      <c r="I119" s="47" t="s">
        <v>58</v>
      </c>
      <c r="J119" s="28" t="s">
        <v>4243</v>
      </c>
      <c r="K119" s="28" t="s">
        <v>4242</v>
      </c>
    </row>
    <row r="120" spans="1:11" x14ac:dyDescent="0.35">
      <c r="A120" s="34"/>
      <c r="B120" s="10"/>
      <c r="C120" s="10"/>
      <c r="D120" s="9"/>
      <c r="E120" s="9"/>
      <c r="F120" s="9"/>
      <c r="G120" s="39" t="s">
        <v>4241</v>
      </c>
      <c r="H120" s="28" t="s">
        <v>4240</v>
      </c>
      <c r="I120" s="47" t="s">
        <v>58</v>
      </c>
      <c r="J120" s="28" t="s">
        <v>4239</v>
      </c>
      <c r="K120" s="28" t="s">
        <v>4238</v>
      </c>
    </row>
    <row r="121" spans="1:11" x14ac:dyDescent="0.35">
      <c r="A121" s="34"/>
      <c r="B121" s="10"/>
      <c r="C121" s="10"/>
      <c r="D121" s="32" t="s">
        <v>4237</v>
      </c>
      <c r="E121" s="33" t="s">
        <v>4236</v>
      </c>
      <c r="F121" s="32" t="s">
        <v>65</v>
      </c>
      <c r="G121" s="39" t="s">
        <v>4235</v>
      </c>
      <c r="H121" s="28" t="s">
        <v>4234</v>
      </c>
      <c r="I121" s="47" t="s">
        <v>58</v>
      </c>
      <c r="J121" s="28" t="s">
        <v>4233</v>
      </c>
      <c r="K121" s="28" t="s">
        <v>4232</v>
      </c>
    </row>
    <row r="122" spans="1:11" x14ac:dyDescent="0.35">
      <c r="A122" s="34"/>
      <c r="B122" s="10"/>
      <c r="C122" s="9"/>
      <c r="D122" s="9"/>
      <c r="E122" s="9"/>
      <c r="F122" s="9"/>
      <c r="G122" s="39" t="s">
        <v>4231</v>
      </c>
      <c r="H122" s="28" t="s">
        <v>4230</v>
      </c>
      <c r="I122" s="47" t="s">
        <v>58</v>
      </c>
      <c r="J122" s="28" t="s">
        <v>4229</v>
      </c>
      <c r="K122" s="28" t="s">
        <v>4228</v>
      </c>
    </row>
    <row r="123" spans="1:11" x14ac:dyDescent="0.35">
      <c r="A123" s="34"/>
      <c r="B123" s="10"/>
      <c r="C123" s="32" t="s">
        <v>4227</v>
      </c>
      <c r="D123" s="32" t="s">
        <v>4226</v>
      </c>
      <c r="E123" s="33" t="s">
        <v>4225</v>
      </c>
      <c r="F123" s="32" t="s">
        <v>65</v>
      </c>
      <c r="G123" s="39" t="s">
        <v>4224</v>
      </c>
      <c r="H123" s="28" t="s">
        <v>4223</v>
      </c>
      <c r="I123" s="47" t="s">
        <v>58</v>
      </c>
      <c r="J123" s="28" t="s">
        <v>4222</v>
      </c>
      <c r="K123" s="28" t="s">
        <v>4221</v>
      </c>
    </row>
    <row r="124" spans="1:11" x14ac:dyDescent="0.35">
      <c r="A124" s="34"/>
      <c r="B124" s="10"/>
      <c r="C124" s="10"/>
      <c r="D124" s="9"/>
      <c r="E124" s="9"/>
      <c r="F124" s="9"/>
      <c r="G124" s="39" t="s">
        <v>4220</v>
      </c>
      <c r="H124" s="28" t="s">
        <v>4219</v>
      </c>
      <c r="I124" s="47" t="s">
        <v>58</v>
      </c>
      <c r="J124" s="28" t="s">
        <v>4218</v>
      </c>
      <c r="K124" s="28" t="s">
        <v>4217</v>
      </c>
    </row>
    <row r="125" spans="1:11" x14ac:dyDescent="0.35">
      <c r="A125" s="34"/>
      <c r="B125" s="10"/>
      <c r="C125" s="10"/>
      <c r="D125" s="32" t="s">
        <v>4216</v>
      </c>
      <c r="E125" s="33" t="s">
        <v>4215</v>
      </c>
      <c r="F125" s="32" t="s">
        <v>2545</v>
      </c>
      <c r="G125" s="39" t="s">
        <v>4214</v>
      </c>
      <c r="H125" s="28" t="s">
        <v>4213</v>
      </c>
      <c r="I125" s="47" t="s">
        <v>58</v>
      </c>
      <c r="J125" s="28" t="s">
        <v>4212</v>
      </c>
      <c r="K125" s="28" t="s">
        <v>4211</v>
      </c>
    </row>
    <row r="126" spans="1:11" x14ac:dyDescent="0.35">
      <c r="A126" s="34"/>
      <c r="B126" s="10"/>
      <c r="C126" s="10"/>
      <c r="D126" s="9"/>
      <c r="E126" s="9"/>
      <c r="F126" s="9"/>
      <c r="G126" s="39" t="s">
        <v>4210</v>
      </c>
      <c r="H126" s="28" t="s">
        <v>4209</v>
      </c>
      <c r="I126" s="47" t="s">
        <v>58</v>
      </c>
      <c r="J126" s="28" t="s">
        <v>4208</v>
      </c>
      <c r="K126" s="28" t="s">
        <v>4207</v>
      </c>
    </row>
    <row r="127" spans="1:11" x14ac:dyDescent="0.35">
      <c r="A127" s="34"/>
      <c r="B127" s="10"/>
      <c r="C127" s="10"/>
      <c r="D127" s="32" t="s">
        <v>4206</v>
      </c>
      <c r="E127" s="33" t="s">
        <v>4205</v>
      </c>
      <c r="F127" s="32" t="s">
        <v>2545</v>
      </c>
      <c r="G127" s="39" t="s">
        <v>4204</v>
      </c>
      <c r="H127" s="28" t="s">
        <v>4203</v>
      </c>
      <c r="I127" s="47" t="s">
        <v>58</v>
      </c>
      <c r="J127" s="28" t="s">
        <v>4202</v>
      </c>
      <c r="K127" s="28" t="s">
        <v>4201</v>
      </c>
    </row>
    <row r="128" spans="1:11" x14ac:dyDescent="0.35">
      <c r="A128" s="34"/>
      <c r="B128" s="10"/>
      <c r="C128" s="10"/>
      <c r="D128" s="9"/>
      <c r="E128" s="9"/>
      <c r="F128" s="9"/>
      <c r="G128" s="39" t="s">
        <v>4200</v>
      </c>
      <c r="H128" s="28" t="s">
        <v>4199</v>
      </c>
      <c r="I128" s="47" t="s">
        <v>58</v>
      </c>
      <c r="J128" s="28" t="s">
        <v>4198</v>
      </c>
      <c r="K128" s="28" t="s">
        <v>4197</v>
      </c>
    </row>
    <row r="129" spans="1:11" x14ac:dyDescent="0.35">
      <c r="A129" s="34"/>
      <c r="B129" s="10"/>
      <c r="C129" s="10"/>
      <c r="D129" s="32" t="s">
        <v>4196</v>
      </c>
      <c r="E129" s="33" t="s">
        <v>4195</v>
      </c>
      <c r="F129" s="32" t="s">
        <v>65</v>
      </c>
      <c r="G129" s="39" t="s">
        <v>4194</v>
      </c>
      <c r="H129" s="28" t="s">
        <v>4193</v>
      </c>
      <c r="I129" s="47" t="s">
        <v>58</v>
      </c>
      <c r="J129" s="28" t="s">
        <v>4192</v>
      </c>
      <c r="K129" s="28" t="s">
        <v>4191</v>
      </c>
    </row>
    <row r="130" spans="1:11" x14ac:dyDescent="0.35">
      <c r="A130" s="34"/>
      <c r="B130" s="10"/>
      <c r="C130" s="10"/>
      <c r="D130" s="9"/>
      <c r="E130" s="9"/>
      <c r="F130" s="9"/>
      <c r="G130" s="39" t="s">
        <v>4190</v>
      </c>
      <c r="H130" s="28" t="s">
        <v>4189</v>
      </c>
      <c r="I130" s="47" t="s">
        <v>58</v>
      </c>
      <c r="J130" s="28" t="s">
        <v>4188</v>
      </c>
      <c r="K130" s="28" t="s">
        <v>4187</v>
      </c>
    </row>
    <row r="131" spans="1:11" x14ac:dyDescent="0.35">
      <c r="A131" s="34"/>
      <c r="B131" s="10"/>
      <c r="C131" s="10"/>
      <c r="D131" s="32" t="s">
        <v>4186</v>
      </c>
      <c r="E131" s="33" t="s">
        <v>4185</v>
      </c>
      <c r="F131" s="32" t="s">
        <v>65</v>
      </c>
      <c r="G131" s="39" t="s">
        <v>4184</v>
      </c>
      <c r="H131" s="28" t="s">
        <v>4183</v>
      </c>
      <c r="I131" s="47" t="s">
        <v>58</v>
      </c>
      <c r="J131" s="28" t="s">
        <v>4182</v>
      </c>
      <c r="K131" s="28" t="s">
        <v>4181</v>
      </c>
    </row>
    <row r="132" spans="1:11" x14ac:dyDescent="0.35">
      <c r="A132" s="34"/>
      <c r="B132" s="10"/>
      <c r="C132" s="9"/>
      <c r="D132" s="9"/>
      <c r="E132" s="9"/>
      <c r="F132" s="9"/>
      <c r="G132" s="39" t="s">
        <v>4180</v>
      </c>
      <c r="H132" s="28" t="s">
        <v>4179</v>
      </c>
      <c r="I132" s="47" t="s">
        <v>58</v>
      </c>
      <c r="J132" s="28" t="s">
        <v>4178</v>
      </c>
      <c r="K132" s="28" t="s">
        <v>4177</v>
      </c>
    </row>
    <row r="133" spans="1:11" x14ac:dyDescent="0.35">
      <c r="A133" s="34"/>
      <c r="B133" s="10"/>
      <c r="C133" s="32" t="s">
        <v>4176</v>
      </c>
      <c r="D133" s="32" t="s">
        <v>4175</v>
      </c>
      <c r="E133" s="33" t="s">
        <v>4174</v>
      </c>
      <c r="F133" s="32" t="s">
        <v>65</v>
      </c>
      <c r="G133" s="39" t="s">
        <v>4173</v>
      </c>
      <c r="H133" s="28" t="s">
        <v>4172</v>
      </c>
      <c r="I133" s="47" t="s">
        <v>58</v>
      </c>
      <c r="J133" s="28" t="s">
        <v>4171</v>
      </c>
      <c r="K133" s="28" t="s">
        <v>4170</v>
      </c>
    </row>
    <row r="134" spans="1:11" x14ac:dyDescent="0.35">
      <c r="A134" s="34"/>
      <c r="B134" s="10"/>
      <c r="C134" s="10"/>
      <c r="D134" s="9"/>
      <c r="E134" s="9"/>
      <c r="F134" s="9"/>
      <c r="G134" s="39" t="s">
        <v>4169</v>
      </c>
      <c r="H134" s="28" t="s">
        <v>4168</v>
      </c>
      <c r="I134" s="47" t="s">
        <v>58</v>
      </c>
      <c r="J134" s="28" t="s">
        <v>4167</v>
      </c>
      <c r="K134" s="28" t="s">
        <v>4166</v>
      </c>
    </row>
    <row r="135" spans="1:11" x14ac:dyDescent="0.35">
      <c r="A135" s="34"/>
      <c r="B135" s="10"/>
      <c r="C135" s="10"/>
      <c r="D135" s="32" t="s">
        <v>4165</v>
      </c>
      <c r="E135" s="33" t="s">
        <v>4164</v>
      </c>
      <c r="F135" s="32" t="s">
        <v>65</v>
      </c>
      <c r="G135" s="39" t="s">
        <v>4163</v>
      </c>
      <c r="H135" s="28" t="s">
        <v>4162</v>
      </c>
      <c r="I135" s="47" t="s">
        <v>58</v>
      </c>
      <c r="J135" s="28" t="s">
        <v>4161</v>
      </c>
      <c r="K135" s="28" t="s">
        <v>4160</v>
      </c>
    </row>
    <row r="136" spans="1:11" x14ac:dyDescent="0.35">
      <c r="A136" s="34"/>
      <c r="B136" s="10"/>
      <c r="C136" s="10"/>
      <c r="D136" s="9"/>
      <c r="E136" s="9"/>
      <c r="F136" s="9"/>
      <c r="G136" s="39" t="s">
        <v>4159</v>
      </c>
      <c r="H136" s="28" t="s">
        <v>4158</v>
      </c>
      <c r="I136" s="47" t="s">
        <v>58</v>
      </c>
      <c r="J136" s="28" t="s">
        <v>4157</v>
      </c>
      <c r="K136" s="28" t="s">
        <v>4156</v>
      </c>
    </row>
    <row r="137" spans="1:11" x14ac:dyDescent="0.35">
      <c r="A137" s="34"/>
      <c r="B137" s="10"/>
      <c r="C137" s="10"/>
      <c r="D137" s="32" t="s">
        <v>4155</v>
      </c>
      <c r="E137" s="33" t="s">
        <v>4154</v>
      </c>
      <c r="F137" s="32" t="s">
        <v>244</v>
      </c>
      <c r="G137" s="39" t="s">
        <v>4153</v>
      </c>
      <c r="H137" s="28" t="s">
        <v>4152</v>
      </c>
      <c r="I137" s="47" t="s">
        <v>58</v>
      </c>
      <c r="J137" s="28" t="s">
        <v>4151</v>
      </c>
      <c r="K137" s="28" t="s">
        <v>4150</v>
      </c>
    </row>
    <row r="138" spans="1:11" x14ac:dyDescent="0.35">
      <c r="A138" s="34"/>
      <c r="B138" s="10"/>
      <c r="C138" s="10"/>
      <c r="D138" s="9"/>
      <c r="E138" s="9"/>
      <c r="F138" s="9"/>
      <c r="G138" s="39" t="s">
        <v>4149</v>
      </c>
      <c r="H138" s="28" t="s">
        <v>4148</v>
      </c>
      <c r="I138" s="47" t="s">
        <v>58</v>
      </c>
      <c r="J138" s="28" t="s">
        <v>4147</v>
      </c>
      <c r="K138" s="28" t="s">
        <v>4146</v>
      </c>
    </row>
    <row r="139" spans="1:11" x14ac:dyDescent="0.35">
      <c r="A139" s="34"/>
      <c r="B139" s="10"/>
      <c r="C139" s="10"/>
      <c r="D139" s="32" t="s">
        <v>4145</v>
      </c>
      <c r="E139" s="33" t="s">
        <v>4144</v>
      </c>
      <c r="F139" s="32" t="s">
        <v>244</v>
      </c>
      <c r="G139" s="39" t="s">
        <v>4143</v>
      </c>
      <c r="H139" s="28" t="s">
        <v>4142</v>
      </c>
      <c r="I139" s="47" t="s">
        <v>58</v>
      </c>
      <c r="J139" s="28" t="s">
        <v>4141</v>
      </c>
      <c r="K139" s="28" t="s">
        <v>4140</v>
      </c>
    </row>
    <row r="140" spans="1:11" x14ac:dyDescent="0.35">
      <c r="A140" s="34"/>
      <c r="B140" s="10"/>
      <c r="C140" s="10"/>
      <c r="D140" s="9"/>
      <c r="E140" s="9"/>
      <c r="F140" s="9"/>
      <c r="G140" s="39" t="s">
        <v>4139</v>
      </c>
      <c r="H140" s="28" t="s">
        <v>4138</v>
      </c>
      <c r="I140" s="47" t="s">
        <v>58</v>
      </c>
      <c r="J140" s="28" t="s">
        <v>4137</v>
      </c>
      <c r="K140" s="28" t="s">
        <v>4136</v>
      </c>
    </row>
    <row r="141" spans="1:11" x14ac:dyDescent="0.35">
      <c r="A141" s="34"/>
      <c r="B141" s="10"/>
      <c r="C141" s="10"/>
      <c r="D141" s="32" t="s">
        <v>4135</v>
      </c>
      <c r="E141" s="33" t="s">
        <v>4134</v>
      </c>
      <c r="F141" s="32" t="s">
        <v>244</v>
      </c>
      <c r="G141" s="39" t="s">
        <v>4133</v>
      </c>
      <c r="H141" s="28" t="s">
        <v>4132</v>
      </c>
      <c r="I141" s="47" t="s">
        <v>58</v>
      </c>
      <c r="J141" s="28" t="s">
        <v>4131</v>
      </c>
      <c r="K141" s="28" t="s">
        <v>4130</v>
      </c>
    </row>
    <row r="142" spans="1:11" x14ac:dyDescent="0.35">
      <c r="A142" s="34"/>
      <c r="B142" s="10"/>
      <c r="C142" s="9"/>
      <c r="D142" s="9"/>
      <c r="E142" s="9"/>
      <c r="F142" s="9"/>
      <c r="G142" s="39" t="s">
        <v>4129</v>
      </c>
      <c r="H142" s="28" t="s">
        <v>4128</v>
      </c>
      <c r="I142" s="47" t="s">
        <v>58</v>
      </c>
      <c r="J142" s="28" t="s">
        <v>4127</v>
      </c>
      <c r="K142" s="28" t="s">
        <v>4126</v>
      </c>
    </row>
    <row r="143" spans="1:11" x14ac:dyDescent="0.35">
      <c r="A143" s="34"/>
      <c r="B143" s="10"/>
      <c r="C143" s="32" t="s">
        <v>4125</v>
      </c>
      <c r="D143" s="32" t="s">
        <v>4124</v>
      </c>
      <c r="E143" s="33" t="s">
        <v>4123</v>
      </c>
      <c r="F143" s="32" t="s">
        <v>244</v>
      </c>
      <c r="G143" s="39" t="s">
        <v>4122</v>
      </c>
      <c r="H143" s="28" t="s">
        <v>4121</v>
      </c>
      <c r="I143" s="47" t="s">
        <v>58</v>
      </c>
      <c r="J143" s="28" t="s">
        <v>4120</v>
      </c>
      <c r="K143" s="28" t="s">
        <v>4119</v>
      </c>
    </row>
    <row r="144" spans="1:11" x14ac:dyDescent="0.35">
      <c r="A144" s="34"/>
      <c r="B144" s="10"/>
      <c r="C144" s="10"/>
      <c r="D144" s="9"/>
      <c r="E144" s="9"/>
      <c r="F144" s="9"/>
      <c r="G144" s="39" t="s">
        <v>4118</v>
      </c>
      <c r="H144" s="28" t="s">
        <v>4117</v>
      </c>
      <c r="I144" s="47" t="s">
        <v>58</v>
      </c>
      <c r="J144" s="28" t="s">
        <v>4116</v>
      </c>
      <c r="K144" s="28" t="s">
        <v>4115</v>
      </c>
    </row>
    <row r="145" spans="1:11" x14ac:dyDescent="0.35">
      <c r="A145" s="34"/>
      <c r="B145" s="10"/>
      <c r="C145" s="10"/>
      <c r="D145" s="32" t="s">
        <v>4114</v>
      </c>
      <c r="E145" s="33" t="s">
        <v>4113</v>
      </c>
      <c r="F145" s="32" t="s">
        <v>65</v>
      </c>
      <c r="G145" s="39" t="s">
        <v>4112</v>
      </c>
      <c r="H145" s="28" t="s">
        <v>4111</v>
      </c>
      <c r="I145" s="47" t="s">
        <v>58</v>
      </c>
      <c r="J145" s="28" t="s">
        <v>4110</v>
      </c>
      <c r="K145" s="28" t="s">
        <v>4109</v>
      </c>
    </row>
    <row r="146" spans="1:11" x14ac:dyDescent="0.35">
      <c r="A146" s="34"/>
      <c r="B146" s="10"/>
      <c r="C146" s="10"/>
      <c r="D146" s="9"/>
      <c r="E146" s="9"/>
      <c r="F146" s="9"/>
      <c r="G146" s="39" t="s">
        <v>4108</v>
      </c>
      <c r="H146" s="28" t="s">
        <v>4107</v>
      </c>
      <c r="I146" s="47" t="s">
        <v>58</v>
      </c>
      <c r="J146" s="28" t="s">
        <v>4106</v>
      </c>
      <c r="K146" s="28" t="s">
        <v>4105</v>
      </c>
    </row>
    <row r="147" spans="1:11" x14ac:dyDescent="0.35">
      <c r="A147" s="34"/>
      <c r="B147" s="10"/>
      <c r="C147" s="10"/>
      <c r="D147" s="32" t="s">
        <v>4104</v>
      </c>
      <c r="E147" s="33" t="s">
        <v>4103</v>
      </c>
      <c r="F147" s="32" t="s">
        <v>244</v>
      </c>
      <c r="G147" s="39" t="s">
        <v>4102</v>
      </c>
      <c r="H147" s="28" t="s">
        <v>4101</v>
      </c>
      <c r="I147" s="47" t="s">
        <v>58</v>
      </c>
      <c r="J147" s="28" t="s">
        <v>4100</v>
      </c>
      <c r="K147" s="28" t="s">
        <v>4099</v>
      </c>
    </row>
    <row r="148" spans="1:11" x14ac:dyDescent="0.35">
      <c r="A148" s="34"/>
      <c r="B148" s="10"/>
      <c r="C148" s="10"/>
      <c r="D148" s="9"/>
      <c r="E148" s="9"/>
      <c r="F148" s="9"/>
      <c r="G148" s="39" t="s">
        <v>4098</v>
      </c>
      <c r="H148" s="28" t="s">
        <v>4097</v>
      </c>
      <c r="I148" s="47" t="s">
        <v>58</v>
      </c>
      <c r="J148" s="28" t="s">
        <v>4096</v>
      </c>
      <c r="K148" s="28" t="s">
        <v>4095</v>
      </c>
    </row>
    <row r="149" spans="1:11" x14ac:dyDescent="0.35">
      <c r="A149" s="34"/>
      <c r="B149" s="10"/>
      <c r="C149" s="10"/>
      <c r="D149" s="32" t="s">
        <v>4094</v>
      </c>
      <c r="E149" s="33" t="s">
        <v>4093</v>
      </c>
      <c r="F149" s="32" t="s">
        <v>244</v>
      </c>
      <c r="G149" s="39" t="s">
        <v>4092</v>
      </c>
      <c r="H149" s="28" t="s">
        <v>4091</v>
      </c>
      <c r="I149" s="47" t="s">
        <v>58</v>
      </c>
      <c r="J149" s="28" t="s">
        <v>4090</v>
      </c>
      <c r="K149" s="28" t="s">
        <v>4089</v>
      </c>
    </row>
    <row r="150" spans="1:11" x14ac:dyDescent="0.35">
      <c r="A150" s="34"/>
      <c r="B150" s="10"/>
      <c r="C150" s="10"/>
      <c r="D150" s="9"/>
      <c r="E150" s="9"/>
      <c r="F150" s="9"/>
      <c r="G150" s="39" t="s">
        <v>4088</v>
      </c>
      <c r="H150" s="28" t="s">
        <v>4087</v>
      </c>
      <c r="I150" s="47" t="s">
        <v>58</v>
      </c>
      <c r="J150" s="28" t="s">
        <v>4086</v>
      </c>
      <c r="K150" s="28" t="s">
        <v>4085</v>
      </c>
    </row>
    <row r="151" spans="1:11" x14ac:dyDescent="0.35">
      <c r="A151" s="34"/>
      <c r="B151" s="10"/>
      <c r="C151" s="10"/>
      <c r="D151" s="32" t="s">
        <v>4084</v>
      </c>
      <c r="E151" s="33" t="s">
        <v>4083</v>
      </c>
      <c r="F151" s="32" t="s">
        <v>2545</v>
      </c>
      <c r="G151" s="39" t="s">
        <v>4082</v>
      </c>
      <c r="H151" s="28" t="s">
        <v>4081</v>
      </c>
      <c r="I151" s="47" t="s">
        <v>58</v>
      </c>
      <c r="J151" s="28" t="s">
        <v>4080</v>
      </c>
      <c r="K151" s="28" t="s">
        <v>4079</v>
      </c>
    </row>
    <row r="152" spans="1:11" x14ac:dyDescent="0.35">
      <c r="A152" s="34"/>
      <c r="B152" s="10"/>
      <c r="C152" s="9"/>
      <c r="D152" s="9"/>
      <c r="E152" s="9"/>
      <c r="F152" s="9"/>
      <c r="G152" s="39" t="s">
        <v>4078</v>
      </c>
      <c r="H152" s="28" t="s">
        <v>4077</v>
      </c>
      <c r="I152" s="47" t="s">
        <v>58</v>
      </c>
      <c r="J152" s="28" t="s">
        <v>4076</v>
      </c>
      <c r="K152" s="28" t="s">
        <v>4075</v>
      </c>
    </row>
    <row r="153" spans="1:11" x14ac:dyDescent="0.35">
      <c r="A153" s="34"/>
      <c r="B153" s="10"/>
      <c r="C153" s="32" t="s">
        <v>4074</v>
      </c>
      <c r="D153" s="32" t="s">
        <v>4073</v>
      </c>
      <c r="E153" s="33" t="s">
        <v>4072</v>
      </c>
      <c r="F153" s="32" t="s">
        <v>65</v>
      </c>
      <c r="G153" s="39" t="s">
        <v>4071</v>
      </c>
      <c r="H153" s="28" t="s">
        <v>4070</v>
      </c>
      <c r="I153" s="47" t="s">
        <v>58</v>
      </c>
      <c r="J153" s="28" t="s">
        <v>4070</v>
      </c>
      <c r="K153" s="28" t="s">
        <v>4069</v>
      </c>
    </row>
    <row r="154" spans="1:11" x14ac:dyDescent="0.35">
      <c r="A154" s="34"/>
      <c r="B154" s="10"/>
      <c r="C154" s="10"/>
      <c r="D154" s="9"/>
      <c r="E154" s="9"/>
      <c r="F154" s="9"/>
      <c r="G154" s="39" t="s">
        <v>4068</v>
      </c>
      <c r="H154" s="28" t="s">
        <v>4067</v>
      </c>
      <c r="I154" s="47" t="s">
        <v>58</v>
      </c>
      <c r="J154" s="28" t="s">
        <v>4067</v>
      </c>
      <c r="K154" s="28" t="s">
        <v>4066</v>
      </c>
    </row>
    <row r="155" spans="1:11" x14ac:dyDescent="0.35">
      <c r="A155" s="34"/>
      <c r="B155" s="10"/>
      <c r="C155" s="10"/>
      <c r="D155" s="32" t="s">
        <v>4065</v>
      </c>
      <c r="E155" s="33" t="s">
        <v>4064</v>
      </c>
      <c r="F155" s="32" t="s">
        <v>65</v>
      </c>
      <c r="G155" s="39" t="s">
        <v>4063</v>
      </c>
      <c r="H155" s="28" t="s">
        <v>4062</v>
      </c>
      <c r="I155" s="47" t="s">
        <v>58</v>
      </c>
      <c r="J155" s="28" t="s">
        <v>4062</v>
      </c>
      <c r="K155" s="28" t="s">
        <v>4061</v>
      </c>
    </row>
    <row r="156" spans="1:11" x14ac:dyDescent="0.35">
      <c r="A156" s="34"/>
      <c r="B156" s="10"/>
      <c r="C156" s="10"/>
      <c r="D156" s="9"/>
      <c r="E156" s="9"/>
      <c r="F156" s="9"/>
      <c r="G156" s="39" t="s">
        <v>4060</v>
      </c>
      <c r="H156" s="28" t="s">
        <v>4059</v>
      </c>
      <c r="I156" s="47" t="s">
        <v>58</v>
      </c>
      <c r="J156" s="28" t="s">
        <v>4059</v>
      </c>
      <c r="K156" s="28" t="s">
        <v>4058</v>
      </c>
    </row>
    <row r="157" spans="1:11" x14ac:dyDescent="0.35">
      <c r="A157" s="34"/>
      <c r="B157" s="10"/>
      <c r="C157" s="10"/>
      <c r="D157" s="32" t="s">
        <v>4057</v>
      </c>
      <c r="E157" s="33" t="s">
        <v>4056</v>
      </c>
      <c r="F157" s="32" t="s">
        <v>65</v>
      </c>
      <c r="G157" s="39" t="s">
        <v>4055</v>
      </c>
      <c r="H157" s="28" t="s">
        <v>4054</v>
      </c>
      <c r="I157" s="47" t="s">
        <v>58</v>
      </c>
      <c r="J157" s="28" t="s">
        <v>4054</v>
      </c>
      <c r="K157" s="28" t="s">
        <v>4053</v>
      </c>
    </row>
    <row r="158" spans="1:11" x14ac:dyDescent="0.35">
      <c r="A158" s="34"/>
      <c r="B158" s="10"/>
      <c r="C158" s="10"/>
      <c r="D158" s="9"/>
      <c r="E158" s="9"/>
      <c r="F158" s="9"/>
      <c r="G158" s="39" t="s">
        <v>4052</v>
      </c>
      <c r="H158" s="28" t="s">
        <v>4051</v>
      </c>
      <c r="I158" s="47" t="s">
        <v>58</v>
      </c>
      <c r="J158" s="28" t="s">
        <v>4051</v>
      </c>
      <c r="K158" s="28" t="s">
        <v>4050</v>
      </c>
    </row>
    <row r="159" spans="1:11" x14ac:dyDescent="0.35">
      <c r="A159" s="34"/>
      <c r="B159" s="10"/>
      <c r="C159" s="10"/>
      <c r="D159" s="32" t="s">
        <v>4049</v>
      </c>
      <c r="E159" s="33" t="s">
        <v>4048</v>
      </c>
      <c r="F159" s="32" t="s">
        <v>65</v>
      </c>
      <c r="G159" s="39" t="s">
        <v>4047</v>
      </c>
      <c r="H159" s="28" t="s">
        <v>4046</v>
      </c>
      <c r="I159" s="47" t="s">
        <v>58</v>
      </c>
      <c r="J159" s="28" t="s">
        <v>4046</v>
      </c>
      <c r="K159" s="28" t="s">
        <v>4045</v>
      </c>
    </row>
    <row r="160" spans="1:11" x14ac:dyDescent="0.35">
      <c r="A160" s="34"/>
      <c r="B160" s="10"/>
      <c r="C160" s="10"/>
      <c r="D160" s="9"/>
      <c r="E160" s="9"/>
      <c r="F160" s="9"/>
      <c r="G160" s="39" t="s">
        <v>4044</v>
      </c>
      <c r="H160" s="28" t="s">
        <v>4043</v>
      </c>
      <c r="I160" s="47" t="s">
        <v>58</v>
      </c>
      <c r="J160" s="28" t="s">
        <v>4043</v>
      </c>
      <c r="K160" s="28" t="s">
        <v>4042</v>
      </c>
    </row>
    <row r="161" spans="1:11" x14ac:dyDescent="0.35">
      <c r="A161" s="34"/>
      <c r="B161" s="10"/>
      <c r="C161" s="10"/>
      <c r="D161" s="32" t="s">
        <v>4041</v>
      </c>
      <c r="E161" s="33" t="s">
        <v>4040</v>
      </c>
      <c r="F161" s="32" t="s">
        <v>65</v>
      </c>
      <c r="G161" s="39" t="s">
        <v>4039</v>
      </c>
      <c r="H161" s="28" t="s">
        <v>4038</v>
      </c>
      <c r="I161" s="47" t="s">
        <v>58</v>
      </c>
      <c r="J161" s="28" t="s">
        <v>4038</v>
      </c>
      <c r="K161" s="28" t="s">
        <v>4037</v>
      </c>
    </row>
    <row r="162" spans="1:11" x14ac:dyDescent="0.35">
      <c r="A162" s="34"/>
      <c r="B162" s="10"/>
      <c r="C162" s="9"/>
      <c r="D162" s="9"/>
      <c r="E162" s="9"/>
      <c r="F162" s="9"/>
      <c r="G162" s="39" t="s">
        <v>4036</v>
      </c>
      <c r="H162" s="28" t="s">
        <v>4035</v>
      </c>
      <c r="I162" s="47" t="s">
        <v>58</v>
      </c>
      <c r="J162" s="28" t="s">
        <v>4035</v>
      </c>
      <c r="K162" s="28" t="s">
        <v>4034</v>
      </c>
    </row>
    <row r="163" spans="1:11" x14ac:dyDescent="0.35">
      <c r="A163" s="34"/>
      <c r="B163" s="10"/>
      <c r="C163" s="32" t="s">
        <v>4033</v>
      </c>
      <c r="D163" s="32" t="s">
        <v>4032</v>
      </c>
      <c r="E163" s="33" t="s">
        <v>4031</v>
      </c>
      <c r="F163" s="32" t="s">
        <v>244</v>
      </c>
      <c r="G163" s="39" t="s">
        <v>4030</v>
      </c>
      <c r="H163" s="28" t="s">
        <v>4029</v>
      </c>
      <c r="I163" s="47" t="s">
        <v>58</v>
      </c>
      <c r="J163" s="28" t="s">
        <v>4029</v>
      </c>
      <c r="K163" s="28" t="s">
        <v>4028</v>
      </c>
    </row>
    <row r="164" spans="1:11" x14ac:dyDescent="0.35">
      <c r="A164" s="34"/>
      <c r="B164" s="10"/>
      <c r="C164" s="10"/>
      <c r="D164" s="9"/>
      <c r="E164" s="9"/>
      <c r="F164" s="9"/>
      <c r="G164" s="39" t="s">
        <v>4027</v>
      </c>
      <c r="H164" s="28" t="s">
        <v>4026</v>
      </c>
      <c r="I164" s="47" t="s">
        <v>58</v>
      </c>
      <c r="J164" s="28" t="s">
        <v>4026</v>
      </c>
      <c r="K164" s="28" t="s">
        <v>4025</v>
      </c>
    </row>
    <row r="165" spans="1:11" x14ac:dyDescent="0.35">
      <c r="A165" s="34"/>
      <c r="B165" s="10"/>
      <c r="C165" s="10"/>
      <c r="D165" s="32" t="s">
        <v>4024</v>
      </c>
      <c r="E165" s="33" t="s">
        <v>4023</v>
      </c>
      <c r="F165" s="32" t="s">
        <v>65</v>
      </c>
      <c r="G165" s="39" t="s">
        <v>4022</v>
      </c>
      <c r="H165" s="28" t="s">
        <v>4021</v>
      </c>
      <c r="I165" s="47" t="s">
        <v>58</v>
      </c>
      <c r="J165" s="28" t="s">
        <v>4021</v>
      </c>
      <c r="K165" s="28" t="s">
        <v>4020</v>
      </c>
    </row>
    <row r="166" spans="1:11" x14ac:dyDescent="0.35">
      <c r="A166" s="34"/>
      <c r="B166" s="10"/>
      <c r="C166" s="10"/>
      <c r="D166" s="9"/>
      <c r="E166" s="9"/>
      <c r="F166" s="9"/>
      <c r="G166" s="39" t="s">
        <v>4019</v>
      </c>
      <c r="H166" s="28" t="s">
        <v>4018</v>
      </c>
      <c r="I166" s="47" t="s">
        <v>58</v>
      </c>
      <c r="J166" s="28" t="s">
        <v>4018</v>
      </c>
      <c r="K166" s="28" t="s">
        <v>4017</v>
      </c>
    </row>
    <row r="167" spans="1:11" x14ac:dyDescent="0.35">
      <c r="A167" s="34"/>
      <c r="B167" s="10"/>
      <c r="C167" s="10"/>
      <c r="D167" s="32" t="s">
        <v>4016</v>
      </c>
      <c r="E167" s="33" t="s">
        <v>4015</v>
      </c>
      <c r="F167" s="32" t="s">
        <v>65</v>
      </c>
      <c r="G167" s="39" t="s">
        <v>4014</v>
      </c>
      <c r="H167" s="28" t="s">
        <v>4013</v>
      </c>
      <c r="I167" s="47" t="s">
        <v>58</v>
      </c>
      <c r="J167" s="28" t="s">
        <v>4013</v>
      </c>
      <c r="K167" s="28" t="s">
        <v>4012</v>
      </c>
    </row>
    <row r="168" spans="1:11" x14ac:dyDescent="0.35">
      <c r="A168" s="34"/>
      <c r="B168" s="10"/>
      <c r="C168" s="10"/>
      <c r="D168" s="9"/>
      <c r="E168" s="9"/>
      <c r="F168" s="9"/>
      <c r="G168" s="39" t="s">
        <v>4011</v>
      </c>
      <c r="H168" s="28" t="s">
        <v>4010</v>
      </c>
      <c r="I168" s="47" t="s">
        <v>58</v>
      </c>
      <c r="J168" s="28" t="s">
        <v>4010</v>
      </c>
      <c r="K168" s="28" t="s">
        <v>4009</v>
      </c>
    </row>
    <row r="169" spans="1:11" x14ac:dyDescent="0.35">
      <c r="A169" s="34"/>
      <c r="B169" s="10"/>
      <c r="C169" s="10"/>
      <c r="D169" s="32" t="s">
        <v>4008</v>
      </c>
      <c r="E169" s="33" t="s">
        <v>4007</v>
      </c>
      <c r="F169" s="32" t="s">
        <v>65</v>
      </c>
      <c r="G169" s="39" t="s">
        <v>4006</v>
      </c>
      <c r="H169" s="28" t="s">
        <v>4005</v>
      </c>
      <c r="I169" s="47" t="s">
        <v>58</v>
      </c>
      <c r="J169" s="28" t="s">
        <v>4005</v>
      </c>
      <c r="K169" s="28" t="s">
        <v>4004</v>
      </c>
    </row>
    <row r="170" spans="1:11" x14ac:dyDescent="0.35">
      <c r="A170" s="34"/>
      <c r="B170" s="10"/>
      <c r="C170" s="10"/>
      <c r="D170" s="9"/>
      <c r="E170" s="9"/>
      <c r="F170" s="9"/>
      <c r="G170" s="39" t="s">
        <v>4003</v>
      </c>
      <c r="H170" s="28" t="s">
        <v>4002</v>
      </c>
      <c r="I170" s="47" t="s">
        <v>58</v>
      </c>
      <c r="J170" s="28" t="s">
        <v>4002</v>
      </c>
      <c r="K170" s="28" t="s">
        <v>4001</v>
      </c>
    </row>
    <row r="171" spans="1:11" x14ac:dyDescent="0.35">
      <c r="A171" s="34"/>
      <c r="B171" s="9"/>
      <c r="C171" s="10"/>
      <c r="D171" s="32" t="s">
        <v>4000</v>
      </c>
      <c r="E171" s="33" t="s">
        <v>3999</v>
      </c>
      <c r="F171" s="32" t="s">
        <v>65</v>
      </c>
      <c r="G171" s="39" t="s">
        <v>3998</v>
      </c>
      <c r="H171" s="28" t="s">
        <v>3997</v>
      </c>
      <c r="I171" s="47" t="s">
        <v>58</v>
      </c>
      <c r="J171" s="28" t="s">
        <v>3997</v>
      </c>
      <c r="K171" s="28" t="s">
        <v>3996</v>
      </c>
    </row>
    <row r="172" spans="1:11" x14ac:dyDescent="0.35">
      <c r="A172" s="34"/>
      <c r="B172" s="31"/>
      <c r="C172" s="9"/>
      <c r="D172" s="9"/>
      <c r="E172" s="9"/>
      <c r="F172" s="9"/>
      <c r="G172" s="39" t="s">
        <v>3995</v>
      </c>
      <c r="H172" s="28" t="s">
        <v>3994</v>
      </c>
      <c r="I172" s="47" t="s">
        <v>58</v>
      </c>
      <c r="J172" s="28" t="s">
        <v>3994</v>
      </c>
      <c r="K172" s="28" t="s">
        <v>3993</v>
      </c>
    </row>
    <row r="173" spans="1:11" x14ac:dyDescent="0.35">
      <c r="A173" s="34"/>
      <c r="B173" s="35" t="s">
        <v>3992</v>
      </c>
      <c r="C173" s="32" t="s">
        <v>3991</v>
      </c>
      <c r="D173" s="32" t="s">
        <v>3990</v>
      </c>
      <c r="E173" s="33" t="s">
        <v>3989</v>
      </c>
      <c r="F173" s="32" t="s">
        <v>65</v>
      </c>
      <c r="G173" s="39" t="s">
        <v>3988</v>
      </c>
      <c r="H173" s="28" t="s">
        <v>3987</v>
      </c>
      <c r="I173" s="47" t="s">
        <v>58</v>
      </c>
      <c r="J173" s="28" t="s">
        <v>3987</v>
      </c>
      <c r="K173" s="28" t="s">
        <v>3986</v>
      </c>
    </row>
    <row r="174" spans="1:11" x14ac:dyDescent="0.35">
      <c r="A174" s="34"/>
      <c r="B174" s="10"/>
      <c r="C174" s="10"/>
      <c r="D174" s="9"/>
      <c r="E174" s="9"/>
      <c r="F174" s="9"/>
      <c r="G174" s="39" t="s">
        <v>3985</v>
      </c>
      <c r="H174" s="28" t="s">
        <v>3984</v>
      </c>
      <c r="I174" s="47" t="s">
        <v>58</v>
      </c>
      <c r="J174" s="28" t="s">
        <v>3984</v>
      </c>
      <c r="K174" s="28" t="s">
        <v>3983</v>
      </c>
    </row>
    <row r="175" spans="1:11" x14ac:dyDescent="0.35">
      <c r="A175" s="34"/>
      <c r="B175" s="10"/>
      <c r="C175" s="10"/>
      <c r="D175" s="32" t="s">
        <v>3982</v>
      </c>
      <c r="E175" s="33" t="s">
        <v>3981</v>
      </c>
      <c r="F175" s="32" t="s">
        <v>65</v>
      </c>
      <c r="G175" s="39" t="s">
        <v>3980</v>
      </c>
      <c r="H175" s="28" t="s">
        <v>3979</v>
      </c>
      <c r="I175" s="47" t="s">
        <v>58</v>
      </c>
      <c r="J175" s="28" t="s">
        <v>3979</v>
      </c>
      <c r="K175" s="28" t="s">
        <v>3978</v>
      </c>
    </row>
    <row r="176" spans="1:11" x14ac:dyDescent="0.35">
      <c r="A176" s="34"/>
      <c r="B176" s="10"/>
      <c r="C176" s="10"/>
      <c r="D176" s="9"/>
      <c r="E176" s="9"/>
      <c r="F176" s="9"/>
      <c r="G176" s="39" t="s">
        <v>3977</v>
      </c>
      <c r="H176" s="28" t="s">
        <v>3976</v>
      </c>
      <c r="I176" s="47" t="s">
        <v>58</v>
      </c>
      <c r="J176" s="28" t="s">
        <v>3976</v>
      </c>
      <c r="K176" s="28" t="s">
        <v>3975</v>
      </c>
    </row>
    <row r="177" spans="1:11" x14ac:dyDescent="0.35">
      <c r="A177" s="34"/>
      <c r="B177" s="10"/>
      <c r="C177" s="10"/>
      <c r="D177" s="32" t="s">
        <v>3974</v>
      </c>
      <c r="E177" s="33" t="s">
        <v>3973</v>
      </c>
      <c r="F177" s="32" t="s">
        <v>65</v>
      </c>
      <c r="G177" s="39" t="s">
        <v>3972</v>
      </c>
      <c r="H177" s="28" t="s">
        <v>3971</v>
      </c>
      <c r="I177" s="47" t="s">
        <v>58</v>
      </c>
      <c r="J177" s="28" t="s">
        <v>3971</v>
      </c>
      <c r="K177" s="28" t="s">
        <v>3970</v>
      </c>
    </row>
    <row r="178" spans="1:11" x14ac:dyDescent="0.35">
      <c r="A178" s="34"/>
      <c r="B178" s="10"/>
      <c r="C178" s="10"/>
      <c r="D178" s="9"/>
      <c r="E178" s="9"/>
      <c r="F178" s="9"/>
      <c r="G178" s="39" t="s">
        <v>3969</v>
      </c>
      <c r="H178" s="28" t="s">
        <v>3968</v>
      </c>
      <c r="I178" s="47" t="s">
        <v>58</v>
      </c>
      <c r="J178" s="28" t="s">
        <v>3968</v>
      </c>
      <c r="K178" s="28" t="s">
        <v>3967</v>
      </c>
    </row>
    <row r="179" spans="1:11" x14ac:dyDescent="0.35">
      <c r="A179" s="34"/>
      <c r="B179" s="10"/>
      <c r="C179" s="10"/>
      <c r="D179" s="32" t="s">
        <v>3966</v>
      </c>
      <c r="E179" s="33" t="s">
        <v>3965</v>
      </c>
      <c r="F179" s="32" t="s">
        <v>65</v>
      </c>
      <c r="G179" s="39" t="s">
        <v>3964</v>
      </c>
      <c r="H179" s="28" t="s">
        <v>3963</v>
      </c>
      <c r="I179" s="47" t="s">
        <v>58</v>
      </c>
      <c r="J179" s="28" t="s">
        <v>3963</v>
      </c>
      <c r="K179" s="28" t="s">
        <v>3962</v>
      </c>
    </row>
    <row r="180" spans="1:11" x14ac:dyDescent="0.35">
      <c r="A180" s="34"/>
      <c r="B180" s="10"/>
      <c r="C180" s="10"/>
      <c r="D180" s="9"/>
      <c r="E180" s="9"/>
      <c r="F180" s="9"/>
      <c r="G180" s="39" t="s">
        <v>3961</v>
      </c>
      <c r="H180" s="28" t="s">
        <v>3960</v>
      </c>
      <c r="I180" s="47" t="s">
        <v>58</v>
      </c>
      <c r="J180" s="28" t="s">
        <v>3960</v>
      </c>
      <c r="K180" s="28" t="s">
        <v>3959</v>
      </c>
    </row>
    <row r="181" spans="1:11" x14ac:dyDescent="0.35">
      <c r="A181" s="34"/>
      <c r="B181" s="10"/>
      <c r="C181" s="10"/>
      <c r="D181" s="32" t="s">
        <v>3958</v>
      </c>
      <c r="E181" s="33" t="s">
        <v>3957</v>
      </c>
      <c r="F181" s="32" t="s">
        <v>65</v>
      </c>
      <c r="G181" s="39" t="s">
        <v>3956</v>
      </c>
      <c r="H181" s="28" t="s">
        <v>3955</v>
      </c>
      <c r="I181" s="47" t="s">
        <v>58</v>
      </c>
      <c r="J181" s="28" t="s">
        <v>3955</v>
      </c>
      <c r="K181" s="28" t="s">
        <v>3954</v>
      </c>
    </row>
    <row r="182" spans="1:11" x14ac:dyDescent="0.35">
      <c r="A182" s="34"/>
      <c r="B182" s="10"/>
      <c r="C182" s="9"/>
      <c r="D182" s="9"/>
      <c r="E182" s="9"/>
      <c r="F182" s="9"/>
      <c r="G182" s="39" t="s">
        <v>3953</v>
      </c>
      <c r="H182" s="28" t="s">
        <v>3952</v>
      </c>
      <c r="I182" s="47" t="s">
        <v>58</v>
      </c>
      <c r="J182" s="28" t="s">
        <v>3952</v>
      </c>
      <c r="K182" s="28" t="s">
        <v>3951</v>
      </c>
    </row>
    <row r="183" spans="1:11" x14ac:dyDescent="0.35">
      <c r="A183" s="34"/>
      <c r="B183" s="10"/>
      <c r="C183" s="32" t="s">
        <v>3950</v>
      </c>
      <c r="D183" s="32" t="s">
        <v>3949</v>
      </c>
      <c r="E183" s="33" t="s">
        <v>3948</v>
      </c>
      <c r="F183" s="32" t="s">
        <v>65</v>
      </c>
      <c r="G183" s="39" t="s">
        <v>3947</v>
      </c>
      <c r="H183" s="28" t="s">
        <v>3946</v>
      </c>
      <c r="I183" s="47" t="s">
        <v>58</v>
      </c>
      <c r="J183" s="28" t="s">
        <v>3945</v>
      </c>
      <c r="K183" s="28" t="s">
        <v>3944</v>
      </c>
    </row>
    <row r="184" spans="1:11" x14ac:dyDescent="0.35">
      <c r="A184" s="34"/>
      <c r="B184" s="10"/>
      <c r="C184" s="10"/>
      <c r="D184" s="9"/>
      <c r="E184" s="9"/>
      <c r="F184" s="9"/>
      <c r="G184" s="39" t="s">
        <v>3943</v>
      </c>
      <c r="H184" s="28" t="s">
        <v>3942</v>
      </c>
      <c r="I184" s="47" t="s">
        <v>58</v>
      </c>
      <c r="J184" s="28" t="s">
        <v>3941</v>
      </c>
      <c r="K184" s="28" t="s">
        <v>3940</v>
      </c>
    </row>
    <row r="185" spans="1:11" x14ac:dyDescent="0.35">
      <c r="A185" s="34"/>
      <c r="B185" s="10"/>
      <c r="C185" s="10"/>
      <c r="D185" s="32" t="s">
        <v>3939</v>
      </c>
      <c r="E185" s="33" t="s">
        <v>3938</v>
      </c>
      <c r="F185" s="32" t="s">
        <v>244</v>
      </c>
      <c r="G185" s="39" t="s">
        <v>3937</v>
      </c>
      <c r="H185" s="28" t="s">
        <v>3936</v>
      </c>
      <c r="I185" s="47" t="s">
        <v>58</v>
      </c>
      <c r="J185" s="28" t="s">
        <v>3935</v>
      </c>
      <c r="K185" s="28" t="s">
        <v>3934</v>
      </c>
    </row>
    <row r="186" spans="1:11" x14ac:dyDescent="0.35">
      <c r="A186" s="34"/>
      <c r="B186" s="10"/>
      <c r="C186" s="10"/>
      <c r="D186" s="9"/>
      <c r="E186" s="9"/>
      <c r="F186" s="9"/>
      <c r="G186" s="39" t="s">
        <v>3933</v>
      </c>
      <c r="H186" s="28" t="s">
        <v>3932</v>
      </c>
      <c r="I186" s="47" t="s">
        <v>58</v>
      </c>
      <c r="J186" s="28" t="s">
        <v>3931</v>
      </c>
      <c r="K186" s="28" t="s">
        <v>3930</v>
      </c>
    </row>
    <row r="187" spans="1:11" x14ac:dyDescent="0.35">
      <c r="A187" s="34"/>
      <c r="B187" s="10"/>
      <c r="C187" s="10"/>
      <c r="D187" s="32" t="s">
        <v>3929</v>
      </c>
      <c r="E187" s="33" t="s">
        <v>3928</v>
      </c>
      <c r="F187" s="32" t="s">
        <v>65</v>
      </c>
      <c r="G187" s="39" t="s">
        <v>3927</v>
      </c>
      <c r="H187" s="28" t="s">
        <v>3926</v>
      </c>
      <c r="I187" s="47" t="s">
        <v>58</v>
      </c>
      <c r="J187" s="28" t="s">
        <v>3925</v>
      </c>
      <c r="K187" s="28" t="s">
        <v>3924</v>
      </c>
    </row>
    <row r="188" spans="1:11" x14ac:dyDescent="0.35">
      <c r="A188" s="34"/>
      <c r="B188" s="10"/>
      <c r="C188" s="10"/>
      <c r="D188" s="9"/>
      <c r="E188" s="9"/>
      <c r="F188" s="9"/>
      <c r="G188" s="39" t="s">
        <v>3923</v>
      </c>
      <c r="H188" s="28" t="s">
        <v>3922</v>
      </c>
      <c r="I188" s="47" t="s">
        <v>58</v>
      </c>
      <c r="J188" s="28" t="s">
        <v>3921</v>
      </c>
      <c r="K188" s="28" t="s">
        <v>3920</v>
      </c>
    </row>
    <row r="189" spans="1:11" x14ac:dyDescent="0.35">
      <c r="A189" s="34"/>
      <c r="B189" s="10"/>
      <c r="C189" s="10"/>
      <c r="D189" s="32" t="s">
        <v>3919</v>
      </c>
      <c r="E189" s="33" t="s">
        <v>3918</v>
      </c>
      <c r="F189" s="32" t="s">
        <v>244</v>
      </c>
      <c r="G189" s="39" t="s">
        <v>3917</v>
      </c>
      <c r="H189" s="28" t="s">
        <v>3916</v>
      </c>
      <c r="I189" s="47" t="s">
        <v>58</v>
      </c>
      <c r="J189" s="28" t="s">
        <v>3915</v>
      </c>
      <c r="K189" s="28" t="s">
        <v>3914</v>
      </c>
    </row>
    <row r="190" spans="1:11" x14ac:dyDescent="0.35">
      <c r="A190" s="34"/>
      <c r="B190" s="10"/>
      <c r="C190" s="10"/>
      <c r="D190" s="9"/>
      <c r="E190" s="9"/>
      <c r="F190" s="9"/>
      <c r="G190" s="39" t="s">
        <v>3913</v>
      </c>
      <c r="H190" s="28" t="s">
        <v>3912</v>
      </c>
      <c r="I190" s="47" t="s">
        <v>58</v>
      </c>
      <c r="J190" s="28" t="s">
        <v>3911</v>
      </c>
      <c r="K190" s="28" t="s">
        <v>3910</v>
      </c>
    </row>
    <row r="191" spans="1:11" x14ac:dyDescent="0.35">
      <c r="A191" s="34"/>
      <c r="B191" s="10"/>
      <c r="C191" s="10"/>
      <c r="D191" s="32" t="s">
        <v>3909</v>
      </c>
      <c r="E191" s="33" t="s">
        <v>3908</v>
      </c>
      <c r="F191" s="32" t="s">
        <v>65</v>
      </c>
      <c r="G191" s="39" t="s">
        <v>3907</v>
      </c>
      <c r="H191" s="28" t="s">
        <v>3906</v>
      </c>
      <c r="I191" s="47" t="s">
        <v>58</v>
      </c>
      <c r="J191" s="28" t="s">
        <v>3905</v>
      </c>
      <c r="K191" s="28" t="s">
        <v>3904</v>
      </c>
    </row>
    <row r="192" spans="1:11" x14ac:dyDescent="0.35">
      <c r="A192" s="34"/>
      <c r="B192" s="10"/>
      <c r="C192" s="9"/>
      <c r="D192" s="9"/>
      <c r="E192" s="9"/>
      <c r="F192" s="9"/>
      <c r="G192" s="39" t="s">
        <v>3903</v>
      </c>
      <c r="H192" s="28" t="s">
        <v>3902</v>
      </c>
      <c r="I192" s="47" t="s">
        <v>58</v>
      </c>
      <c r="J192" s="28" t="s">
        <v>3901</v>
      </c>
      <c r="K192" s="28" t="s">
        <v>3900</v>
      </c>
    </row>
    <row r="193" spans="1:11" x14ac:dyDescent="0.35">
      <c r="A193" s="34"/>
      <c r="B193" s="10"/>
      <c r="C193" s="32" t="s">
        <v>3899</v>
      </c>
      <c r="D193" s="32" t="s">
        <v>3898</v>
      </c>
      <c r="E193" s="33" t="s">
        <v>3897</v>
      </c>
      <c r="F193" s="32" t="s">
        <v>65</v>
      </c>
      <c r="G193" s="39" t="s">
        <v>3896</v>
      </c>
      <c r="H193" s="28" t="s">
        <v>3895</v>
      </c>
      <c r="I193" s="47" t="s">
        <v>58</v>
      </c>
      <c r="J193" s="28" t="s">
        <v>3894</v>
      </c>
      <c r="K193" s="28" t="s">
        <v>3893</v>
      </c>
    </row>
    <row r="194" spans="1:11" x14ac:dyDescent="0.35">
      <c r="A194" s="34"/>
      <c r="B194" s="10"/>
      <c r="C194" s="10"/>
      <c r="D194" s="9"/>
      <c r="E194" s="9"/>
      <c r="F194" s="9"/>
      <c r="G194" s="39" t="s">
        <v>3892</v>
      </c>
      <c r="H194" s="28" t="s">
        <v>3891</v>
      </c>
      <c r="I194" s="47" t="s">
        <v>58</v>
      </c>
      <c r="J194" s="28" t="s">
        <v>3890</v>
      </c>
      <c r="K194" s="28" t="s">
        <v>3889</v>
      </c>
    </row>
    <row r="195" spans="1:11" x14ac:dyDescent="0.35">
      <c r="A195" s="34"/>
      <c r="B195" s="10"/>
      <c r="C195" s="10"/>
      <c r="D195" s="32" t="s">
        <v>3888</v>
      </c>
      <c r="E195" s="33" t="s">
        <v>3887</v>
      </c>
      <c r="F195" s="32" t="s">
        <v>65</v>
      </c>
      <c r="G195" s="39" t="s">
        <v>3886</v>
      </c>
      <c r="H195" s="28" t="s">
        <v>3885</v>
      </c>
      <c r="I195" s="47" t="s">
        <v>58</v>
      </c>
      <c r="J195" s="28" t="s">
        <v>3884</v>
      </c>
      <c r="K195" s="28" t="s">
        <v>3883</v>
      </c>
    </row>
    <row r="196" spans="1:11" x14ac:dyDescent="0.35">
      <c r="A196" s="34"/>
      <c r="B196" s="10"/>
      <c r="C196" s="10"/>
      <c r="D196" s="9"/>
      <c r="E196" s="9"/>
      <c r="F196" s="9"/>
      <c r="G196" s="39" t="s">
        <v>3882</v>
      </c>
      <c r="H196" s="28" t="s">
        <v>3881</v>
      </c>
      <c r="I196" s="47" t="s">
        <v>58</v>
      </c>
      <c r="J196" s="28" t="s">
        <v>3880</v>
      </c>
      <c r="K196" s="28" t="s">
        <v>3879</v>
      </c>
    </row>
    <row r="197" spans="1:11" x14ac:dyDescent="0.35">
      <c r="A197" s="34"/>
      <c r="B197" s="10"/>
      <c r="C197" s="10"/>
      <c r="D197" s="32" t="s">
        <v>3878</v>
      </c>
      <c r="E197" s="33" t="s">
        <v>3877</v>
      </c>
      <c r="F197" s="32" t="s">
        <v>244</v>
      </c>
      <c r="G197" s="39" t="s">
        <v>3876</v>
      </c>
      <c r="H197" s="28" t="s">
        <v>3875</v>
      </c>
      <c r="I197" s="47" t="s">
        <v>58</v>
      </c>
      <c r="J197" s="28" t="s">
        <v>3874</v>
      </c>
      <c r="K197" s="28" t="s">
        <v>3873</v>
      </c>
    </row>
    <row r="198" spans="1:11" x14ac:dyDescent="0.35">
      <c r="A198" s="34"/>
      <c r="B198" s="10"/>
      <c r="C198" s="10"/>
      <c r="D198" s="9"/>
      <c r="E198" s="9"/>
      <c r="F198" s="9"/>
      <c r="G198" s="39" t="s">
        <v>3872</v>
      </c>
      <c r="H198" s="28" t="s">
        <v>3871</v>
      </c>
      <c r="I198" s="47" t="s">
        <v>58</v>
      </c>
      <c r="J198" s="28" t="s">
        <v>3870</v>
      </c>
      <c r="K198" s="28" t="s">
        <v>3869</v>
      </c>
    </row>
    <row r="199" spans="1:11" x14ac:dyDescent="0.35">
      <c r="A199" s="34"/>
      <c r="B199" s="10"/>
      <c r="C199" s="10"/>
      <c r="D199" s="32" t="s">
        <v>3868</v>
      </c>
      <c r="E199" s="33" t="s">
        <v>3867</v>
      </c>
      <c r="F199" s="32" t="s">
        <v>244</v>
      </c>
      <c r="G199" s="39" t="s">
        <v>3866</v>
      </c>
      <c r="H199" s="28" t="s">
        <v>3865</v>
      </c>
      <c r="I199" s="47" t="s">
        <v>58</v>
      </c>
      <c r="J199" s="28" t="s">
        <v>3864</v>
      </c>
      <c r="K199" s="28" t="s">
        <v>3863</v>
      </c>
    </row>
    <row r="200" spans="1:11" x14ac:dyDescent="0.35">
      <c r="A200" s="34"/>
      <c r="B200" s="10"/>
      <c r="C200" s="10"/>
      <c r="D200" s="9"/>
      <c r="E200" s="9"/>
      <c r="F200" s="9"/>
      <c r="G200" s="39" t="s">
        <v>3862</v>
      </c>
      <c r="H200" s="28" t="s">
        <v>3861</v>
      </c>
      <c r="I200" s="47" t="s">
        <v>58</v>
      </c>
      <c r="J200" s="28" t="s">
        <v>3860</v>
      </c>
      <c r="K200" s="28" t="s">
        <v>3859</v>
      </c>
    </row>
    <row r="201" spans="1:11" x14ac:dyDescent="0.35">
      <c r="A201" s="34"/>
      <c r="B201" s="10"/>
      <c r="C201" s="10"/>
      <c r="D201" s="32" t="s">
        <v>3858</v>
      </c>
      <c r="E201" s="33" t="s">
        <v>3857</v>
      </c>
      <c r="F201" s="32" t="s">
        <v>65</v>
      </c>
      <c r="G201" s="39" t="s">
        <v>3856</v>
      </c>
      <c r="H201" s="28" t="s">
        <v>3855</v>
      </c>
      <c r="I201" s="47" t="s">
        <v>58</v>
      </c>
      <c r="J201" s="28" t="s">
        <v>3854</v>
      </c>
      <c r="K201" s="28" t="s">
        <v>3853</v>
      </c>
    </row>
    <row r="202" spans="1:11" x14ac:dyDescent="0.35">
      <c r="A202" s="34"/>
      <c r="B202" s="10"/>
      <c r="C202" s="9"/>
      <c r="D202" s="9"/>
      <c r="E202" s="9"/>
      <c r="F202" s="9"/>
      <c r="G202" s="39" t="s">
        <v>3852</v>
      </c>
      <c r="H202" s="28" t="s">
        <v>3851</v>
      </c>
      <c r="I202" s="47" t="s">
        <v>58</v>
      </c>
      <c r="J202" s="28" t="s">
        <v>3850</v>
      </c>
      <c r="K202" s="28" t="s">
        <v>3849</v>
      </c>
    </row>
    <row r="203" spans="1:11" x14ac:dyDescent="0.35">
      <c r="A203" s="34"/>
      <c r="B203" s="10"/>
      <c r="C203" s="32" t="s">
        <v>3848</v>
      </c>
      <c r="D203" s="32" t="s">
        <v>3847</v>
      </c>
      <c r="E203" s="33" t="s">
        <v>3846</v>
      </c>
      <c r="F203" s="32" t="s">
        <v>65</v>
      </c>
      <c r="G203" s="39" t="s">
        <v>3845</v>
      </c>
      <c r="H203" s="28" t="s">
        <v>3844</v>
      </c>
      <c r="I203" s="47" t="s">
        <v>58</v>
      </c>
      <c r="J203" s="28" t="s">
        <v>3843</v>
      </c>
      <c r="K203" s="28" t="s">
        <v>3842</v>
      </c>
    </row>
    <row r="204" spans="1:11" x14ac:dyDescent="0.35">
      <c r="A204" s="34"/>
      <c r="B204" s="10"/>
      <c r="C204" s="10"/>
      <c r="D204" s="9"/>
      <c r="E204" s="9"/>
      <c r="F204" s="9"/>
      <c r="G204" s="39" t="s">
        <v>3841</v>
      </c>
      <c r="H204" s="28" t="s">
        <v>3840</v>
      </c>
      <c r="I204" s="47" t="s">
        <v>58</v>
      </c>
      <c r="J204" s="28" t="s">
        <v>3839</v>
      </c>
      <c r="K204" s="28" t="s">
        <v>3838</v>
      </c>
    </row>
    <row r="205" spans="1:11" x14ac:dyDescent="0.35">
      <c r="A205" s="34"/>
      <c r="B205" s="10"/>
      <c r="C205" s="10"/>
      <c r="D205" s="32" t="s">
        <v>3837</v>
      </c>
      <c r="E205" s="33" t="s">
        <v>3836</v>
      </c>
      <c r="F205" s="32" t="s">
        <v>65</v>
      </c>
      <c r="G205" s="39" t="s">
        <v>3835</v>
      </c>
      <c r="H205" s="28" t="s">
        <v>3834</v>
      </c>
      <c r="I205" s="47" t="s">
        <v>58</v>
      </c>
      <c r="J205" s="28" t="s">
        <v>3833</v>
      </c>
      <c r="K205" s="28" t="s">
        <v>3832</v>
      </c>
    </row>
    <row r="206" spans="1:11" x14ac:dyDescent="0.35">
      <c r="A206" s="34"/>
      <c r="B206" s="10"/>
      <c r="C206" s="10"/>
      <c r="D206" s="9"/>
      <c r="E206" s="9"/>
      <c r="F206" s="9"/>
      <c r="G206" s="39" t="s">
        <v>3831</v>
      </c>
      <c r="H206" s="28" t="s">
        <v>3830</v>
      </c>
      <c r="I206" s="47" t="s">
        <v>58</v>
      </c>
      <c r="J206" s="28" t="s">
        <v>3829</v>
      </c>
      <c r="K206" s="28" t="s">
        <v>3828</v>
      </c>
    </row>
    <row r="207" spans="1:11" x14ac:dyDescent="0.35">
      <c r="A207" s="34"/>
      <c r="B207" s="10"/>
      <c r="C207" s="10"/>
      <c r="D207" s="32" t="s">
        <v>3827</v>
      </c>
      <c r="E207" s="33" t="s">
        <v>3826</v>
      </c>
      <c r="F207" s="32" t="s">
        <v>244</v>
      </c>
      <c r="G207" s="39" t="s">
        <v>3825</v>
      </c>
      <c r="H207" s="28" t="s">
        <v>3824</v>
      </c>
      <c r="I207" s="47" t="s">
        <v>58</v>
      </c>
      <c r="J207" s="28" t="s">
        <v>3823</v>
      </c>
      <c r="K207" s="28" t="s">
        <v>3822</v>
      </c>
    </row>
    <row r="208" spans="1:11" x14ac:dyDescent="0.35">
      <c r="A208" s="34"/>
      <c r="B208" s="10"/>
      <c r="C208" s="10"/>
      <c r="D208" s="9"/>
      <c r="E208" s="9"/>
      <c r="F208" s="9"/>
      <c r="G208" s="39" t="s">
        <v>3821</v>
      </c>
      <c r="H208" s="28" t="s">
        <v>3820</v>
      </c>
      <c r="I208" s="47" t="s">
        <v>58</v>
      </c>
      <c r="J208" s="28" t="s">
        <v>3819</v>
      </c>
      <c r="K208" s="28" t="s">
        <v>3818</v>
      </c>
    </row>
    <row r="209" spans="1:11" x14ac:dyDescent="0.35">
      <c r="A209" s="34"/>
      <c r="B209" s="10"/>
      <c r="C209" s="10"/>
      <c r="D209" s="32" t="s">
        <v>3817</v>
      </c>
      <c r="E209" s="33" t="s">
        <v>3816</v>
      </c>
      <c r="F209" s="32" t="s">
        <v>244</v>
      </c>
      <c r="G209" s="39" t="s">
        <v>3815</v>
      </c>
      <c r="H209" s="28" t="s">
        <v>3814</v>
      </c>
      <c r="I209" s="47" t="s">
        <v>58</v>
      </c>
      <c r="J209" s="28" t="s">
        <v>3813</v>
      </c>
      <c r="K209" s="28" t="s">
        <v>3812</v>
      </c>
    </row>
    <row r="210" spans="1:11" x14ac:dyDescent="0.35">
      <c r="A210" s="34"/>
      <c r="B210" s="10"/>
      <c r="C210" s="10"/>
      <c r="D210" s="9"/>
      <c r="E210" s="9"/>
      <c r="F210" s="9"/>
      <c r="G210" s="39" t="s">
        <v>3811</v>
      </c>
      <c r="H210" s="28" t="s">
        <v>3810</v>
      </c>
      <c r="I210" s="47" t="s">
        <v>58</v>
      </c>
      <c r="J210" s="28" t="s">
        <v>3809</v>
      </c>
      <c r="K210" s="28" t="s">
        <v>3808</v>
      </c>
    </row>
    <row r="211" spans="1:11" x14ac:dyDescent="0.35">
      <c r="A211" s="34"/>
      <c r="B211" s="10"/>
      <c r="C211" s="10"/>
      <c r="D211" s="32" t="s">
        <v>3807</v>
      </c>
      <c r="E211" s="33" t="s">
        <v>3806</v>
      </c>
      <c r="F211" s="32" t="s">
        <v>65</v>
      </c>
      <c r="G211" s="39" t="s">
        <v>3805</v>
      </c>
      <c r="H211" s="28" t="s">
        <v>3804</v>
      </c>
      <c r="I211" s="47" t="s">
        <v>58</v>
      </c>
      <c r="J211" s="28" t="s">
        <v>3803</v>
      </c>
      <c r="K211" s="28" t="s">
        <v>3802</v>
      </c>
    </row>
    <row r="212" spans="1:11" x14ac:dyDescent="0.35">
      <c r="A212" s="34"/>
      <c r="B212" s="10"/>
      <c r="C212" s="9"/>
      <c r="D212" s="9"/>
      <c r="E212" s="9"/>
      <c r="F212" s="9"/>
      <c r="G212" s="39" t="s">
        <v>3801</v>
      </c>
      <c r="H212" s="28" t="s">
        <v>3800</v>
      </c>
      <c r="I212" s="47" t="s">
        <v>58</v>
      </c>
      <c r="J212" s="28" t="s">
        <v>3799</v>
      </c>
      <c r="K212" s="28" t="s">
        <v>3798</v>
      </c>
    </row>
    <row r="213" spans="1:11" x14ac:dyDescent="0.35">
      <c r="A213" s="34"/>
      <c r="B213" s="10"/>
      <c r="C213" s="32" t="s">
        <v>3797</v>
      </c>
      <c r="D213" s="32" t="s">
        <v>3796</v>
      </c>
      <c r="E213" s="33" t="s">
        <v>3795</v>
      </c>
      <c r="F213" s="32" t="s">
        <v>2545</v>
      </c>
      <c r="G213" s="39" t="s">
        <v>3794</v>
      </c>
      <c r="H213" s="28" t="s">
        <v>3793</v>
      </c>
      <c r="I213" s="47" t="s">
        <v>58</v>
      </c>
      <c r="J213" s="28" t="s">
        <v>3792</v>
      </c>
      <c r="K213" s="28" t="s">
        <v>3791</v>
      </c>
    </row>
    <row r="214" spans="1:11" x14ac:dyDescent="0.35">
      <c r="A214" s="34"/>
      <c r="B214" s="10"/>
      <c r="C214" s="10"/>
      <c r="D214" s="9"/>
      <c r="E214" s="9"/>
      <c r="F214" s="9"/>
      <c r="G214" s="39" t="s">
        <v>3790</v>
      </c>
      <c r="H214" s="28"/>
      <c r="I214" s="47" t="s">
        <v>58</v>
      </c>
      <c r="J214" s="28"/>
      <c r="K214" s="28"/>
    </row>
    <row r="215" spans="1:11" x14ac:dyDescent="0.35">
      <c r="A215" s="34"/>
      <c r="B215" s="10"/>
      <c r="C215" s="10"/>
      <c r="D215" s="32" t="s">
        <v>3789</v>
      </c>
      <c r="E215" s="33" t="s">
        <v>3788</v>
      </c>
      <c r="F215" s="32" t="s">
        <v>65</v>
      </c>
      <c r="G215" s="39" t="s">
        <v>3787</v>
      </c>
      <c r="H215" s="28" t="s">
        <v>3786</v>
      </c>
      <c r="I215" s="47" t="s">
        <v>58</v>
      </c>
      <c r="J215" s="28" t="s">
        <v>3785</v>
      </c>
      <c r="K215" s="28" t="s">
        <v>3784</v>
      </c>
    </row>
    <row r="216" spans="1:11" x14ac:dyDescent="0.35">
      <c r="A216" s="34"/>
      <c r="B216" s="10"/>
      <c r="C216" s="10"/>
      <c r="D216" s="9"/>
      <c r="E216" s="9"/>
      <c r="F216" s="9"/>
      <c r="G216" s="39" t="s">
        <v>3783</v>
      </c>
      <c r="H216" s="28" t="s">
        <v>3782</v>
      </c>
      <c r="I216" s="47" t="s">
        <v>58</v>
      </c>
      <c r="J216" s="28" t="s">
        <v>3781</v>
      </c>
      <c r="K216" s="28" t="s">
        <v>3780</v>
      </c>
    </row>
    <row r="217" spans="1:11" x14ac:dyDescent="0.35">
      <c r="A217" s="34"/>
      <c r="B217" s="10"/>
      <c r="C217" s="10"/>
      <c r="D217" s="32" t="s">
        <v>3779</v>
      </c>
      <c r="E217" s="33" t="s">
        <v>3778</v>
      </c>
      <c r="F217" s="32" t="s">
        <v>244</v>
      </c>
      <c r="G217" s="39" t="s">
        <v>3777</v>
      </c>
      <c r="H217" s="28" t="s">
        <v>3776</v>
      </c>
      <c r="I217" s="47" t="s">
        <v>58</v>
      </c>
      <c r="J217" s="28" t="s">
        <v>3775</v>
      </c>
      <c r="K217" s="28" t="s">
        <v>3774</v>
      </c>
    </row>
    <row r="218" spans="1:11" x14ac:dyDescent="0.35">
      <c r="A218" s="34"/>
      <c r="B218" s="10"/>
      <c r="C218" s="10"/>
      <c r="D218" s="9"/>
      <c r="E218" s="9"/>
      <c r="F218" s="9"/>
      <c r="G218" s="39" t="s">
        <v>3773</v>
      </c>
      <c r="H218" s="28" t="s">
        <v>3772</v>
      </c>
      <c r="I218" s="47" t="s">
        <v>58</v>
      </c>
      <c r="J218" s="28" t="s">
        <v>3771</v>
      </c>
      <c r="K218" s="28" t="s">
        <v>3770</v>
      </c>
    </row>
    <row r="219" spans="1:11" x14ac:dyDescent="0.35">
      <c r="A219" s="34"/>
      <c r="B219" s="10"/>
      <c r="C219" s="10"/>
      <c r="D219" s="32" t="s">
        <v>3769</v>
      </c>
      <c r="E219" s="33" t="s">
        <v>3768</v>
      </c>
      <c r="F219" s="32" t="s">
        <v>65</v>
      </c>
      <c r="G219" s="39" t="s">
        <v>3767</v>
      </c>
      <c r="H219" s="28" t="s">
        <v>3766</v>
      </c>
      <c r="I219" s="47" t="s">
        <v>58</v>
      </c>
      <c r="J219" s="28" t="s">
        <v>3765</v>
      </c>
      <c r="K219" s="28" t="s">
        <v>3764</v>
      </c>
    </row>
    <row r="220" spans="1:11" x14ac:dyDescent="0.35">
      <c r="A220" s="34"/>
      <c r="B220" s="10"/>
      <c r="C220" s="10"/>
      <c r="D220" s="9"/>
      <c r="E220" s="9"/>
      <c r="F220" s="9"/>
      <c r="G220" s="39" t="s">
        <v>3763</v>
      </c>
      <c r="H220" s="28" t="s">
        <v>3762</v>
      </c>
      <c r="I220" s="47" t="s">
        <v>58</v>
      </c>
      <c r="J220" s="28" t="s">
        <v>3761</v>
      </c>
      <c r="K220" s="28" t="s">
        <v>3760</v>
      </c>
    </row>
    <row r="221" spans="1:11" x14ac:dyDescent="0.35">
      <c r="A221" s="16"/>
      <c r="B221" s="9"/>
      <c r="C221" s="10"/>
      <c r="D221" s="32" t="s">
        <v>3759</v>
      </c>
      <c r="E221" s="33" t="s">
        <v>3758</v>
      </c>
      <c r="F221" s="32" t="s">
        <v>65</v>
      </c>
      <c r="G221" s="39" t="s">
        <v>3757</v>
      </c>
      <c r="H221" s="28" t="s">
        <v>3756</v>
      </c>
      <c r="I221" s="47" t="s">
        <v>58</v>
      </c>
      <c r="J221" s="28" t="s">
        <v>3755</v>
      </c>
      <c r="K221" s="28" t="s">
        <v>3754</v>
      </c>
    </row>
    <row r="222" spans="1:11" x14ac:dyDescent="0.35">
      <c r="A222" s="31"/>
      <c r="B222" s="31"/>
      <c r="C222" s="9"/>
      <c r="D222" s="9"/>
      <c r="E222" s="9"/>
      <c r="F222" s="9"/>
      <c r="G222" s="39" t="s">
        <v>3753</v>
      </c>
      <c r="H222" s="28" t="s">
        <v>3752</v>
      </c>
      <c r="I222" s="47" t="s">
        <v>58</v>
      </c>
      <c r="J222" s="28" t="s">
        <v>3751</v>
      </c>
      <c r="K222" s="28" t="s">
        <v>3750</v>
      </c>
    </row>
    <row r="223" spans="1:11" x14ac:dyDescent="0.35">
      <c r="A223" s="36" t="s">
        <v>3749</v>
      </c>
      <c r="B223" s="35" t="s">
        <v>3748</v>
      </c>
      <c r="C223" s="32" t="s">
        <v>3747</v>
      </c>
      <c r="D223" s="32" t="s">
        <v>3746</v>
      </c>
      <c r="E223" s="33" t="s">
        <v>3745</v>
      </c>
      <c r="F223" s="32" t="s">
        <v>65</v>
      </c>
      <c r="G223" s="39" t="s">
        <v>3744</v>
      </c>
      <c r="H223" s="28" t="s">
        <v>3743</v>
      </c>
      <c r="I223" s="47" t="s">
        <v>58</v>
      </c>
      <c r="J223" s="28" t="s">
        <v>3742</v>
      </c>
      <c r="K223" s="28" t="s">
        <v>3741</v>
      </c>
    </row>
    <row r="224" spans="1:11" x14ac:dyDescent="0.35">
      <c r="A224" s="34"/>
      <c r="B224" s="10"/>
      <c r="C224" s="10"/>
      <c r="D224" s="9"/>
      <c r="E224" s="9"/>
      <c r="F224" s="9"/>
      <c r="G224" s="39" t="s">
        <v>3740</v>
      </c>
      <c r="H224" s="28" t="s">
        <v>3739</v>
      </c>
      <c r="I224" s="47" t="s">
        <v>58</v>
      </c>
      <c r="J224" s="28" t="s">
        <v>3738</v>
      </c>
      <c r="K224" s="28" t="s">
        <v>3737</v>
      </c>
    </row>
    <row r="225" spans="1:11" x14ac:dyDescent="0.35">
      <c r="A225" s="34"/>
      <c r="B225" s="10"/>
      <c r="C225" s="10"/>
      <c r="D225" s="32" t="s">
        <v>3736</v>
      </c>
      <c r="E225" s="33" t="s">
        <v>3735</v>
      </c>
      <c r="F225" s="32" t="s">
        <v>65</v>
      </c>
      <c r="G225" s="39" t="s">
        <v>3734</v>
      </c>
      <c r="H225" s="28" t="s">
        <v>3733</v>
      </c>
      <c r="I225" s="47" t="s">
        <v>58</v>
      </c>
      <c r="J225" s="28" t="s">
        <v>3732</v>
      </c>
      <c r="K225" s="28" t="s">
        <v>3731</v>
      </c>
    </row>
    <row r="226" spans="1:11" x14ac:dyDescent="0.35">
      <c r="A226" s="34"/>
      <c r="B226" s="10"/>
      <c r="C226" s="10"/>
      <c r="D226" s="9"/>
      <c r="E226" s="9"/>
      <c r="F226" s="9"/>
      <c r="G226" s="39" t="s">
        <v>3730</v>
      </c>
      <c r="H226" s="28" t="s">
        <v>3729</v>
      </c>
      <c r="I226" s="47" t="s">
        <v>58</v>
      </c>
      <c r="J226" s="28" t="s">
        <v>3728</v>
      </c>
      <c r="K226" s="28" t="s">
        <v>3727</v>
      </c>
    </row>
    <row r="227" spans="1:11" x14ac:dyDescent="0.35">
      <c r="A227" s="34"/>
      <c r="B227" s="10"/>
      <c r="C227" s="10"/>
      <c r="D227" s="32" t="s">
        <v>3726</v>
      </c>
      <c r="E227" s="33" t="s">
        <v>3725</v>
      </c>
      <c r="F227" s="32" t="s">
        <v>244</v>
      </c>
      <c r="G227" s="39" t="s">
        <v>3724</v>
      </c>
      <c r="H227" s="28" t="s">
        <v>3723</v>
      </c>
      <c r="I227" s="47" t="s">
        <v>58</v>
      </c>
      <c r="J227" s="28" t="s">
        <v>3722</v>
      </c>
      <c r="K227" s="28" t="s">
        <v>3721</v>
      </c>
    </row>
    <row r="228" spans="1:11" x14ac:dyDescent="0.35">
      <c r="A228" s="34"/>
      <c r="B228" s="10"/>
      <c r="C228" s="10"/>
      <c r="D228" s="9"/>
      <c r="E228" s="9"/>
      <c r="F228" s="9"/>
      <c r="G228" s="39" t="s">
        <v>3720</v>
      </c>
      <c r="H228" s="28" t="s">
        <v>3719</v>
      </c>
      <c r="I228" s="46" t="s">
        <v>250</v>
      </c>
      <c r="J228" s="28" t="s">
        <v>3718</v>
      </c>
      <c r="K228" s="28" t="s">
        <v>3717</v>
      </c>
    </row>
    <row r="229" spans="1:11" x14ac:dyDescent="0.35">
      <c r="A229" s="34"/>
      <c r="B229" s="10"/>
      <c r="C229" s="10"/>
      <c r="D229" s="32" t="s">
        <v>3716</v>
      </c>
      <c r="E229" s="33" t="s">
        <v>3715</v>
      </c>
      <c r="F229" s="32" t="s">
        <v>244</v>
      </c>
      <c r="G229" s="39" t="s">
        <v>3714</v>
      </c>
      <c r="H229" s="28" t="s">
        <v>3713</v>
      </c>
      <c r="I229" s="46" t="s">
        <v>250</v>
      </c>
      <c r="J229" s="28" t="s">
        <v>3712</v>
      </c>
      <c r="K229" s="28" t="s">
        <v>3711</v>
      </c>
    </row>
    <row r="230" spans="1:11" x14ac:dyDescent="0.35">
      <c r="A230" s="34"/>
      <c r="B230" s="10"/>
      <c r="C230" s="10"/>
      <c r="D230" s="9"/>
      <c r="E230" s="9"/>
      <c r="F230" s="9"/>
      <c r="G230" s="39" t="s">
        <v>3710</v>
      </c>
      <c r="H230" s="28" t="s">
        <v>3709</v>
      </c>
      <c r="I230" s="46" t="s">
        <v>250</v>
      </c>
      <c r="J230" s="28" t="s">
        <v>3708</v>
      </c>
      <c r="K230" s="28" t="s">
        <v>3707</v>
      </c>
    </row>
    <row r="231" spans="1:11" x14ac:dyDescent="0.35">
      <c r="A231" s="34"/>
      <c r="B231" s="10"/>
      <c r="C231" s="10"/>
      <c r="D231" s="32" t="s">
        <v>3706</v>
      </c>
      <c r="E231" s="33" t="s">
        <v>3705</v>
      </c>
      <c r="F231" s="32" t="s">
        <v>244</v>
      </c>
      <c r="G231" s="39" t="s">
        <v>3704</v>
      </c>
      <c r="H231" s="28" t="s">
        <v>3703</v>
      </c>
      <c r="I231" s="46" t="s">
        <v>250</v>
      </c>
      <c r="J231" s="28" t="s">
        <v>3702</v>
      </c>
      <c r="K231" s="28" t="s">
        <v>3701</v>
      </c>
    </row>
    <row r="232" spans="1:11" x14ac:dyDescent="0.35">
      <c r="A232" s="34"/>
      <c r="B232" s="10"/>
      <c r="C232" s="9"/>
      <c r="D232" s="9"/>
      <c r="E232" s="9"/>
      <c r="F232" s="9"/>
      <c r="G232" s="39" t="s">
        <v>3700</v>
      </c>
      <c r="H232" s="28" t="s">
        <v>3699</v>
      </c>
      <c r="I232" s="46" t="s">
        <v>250</v>
      </c>
      <c r="J232" s="28" t="s">
        <v>3698</v>
      </c>
      <c r="K232" s="28" t="s">
        <v>3697</v>
      </c>
    </row>
    <row r="233" spans="1:11" x14ac:dyDescent="0.35">
      <c r="A233" s="34"/>
      <c r="B233" s="10"/>
      <c r="C233" s="32" t="s">
        <v>3696</v>
      </c>
      <c r="D233" s="32" t="s">
        <v>3695</v>
      </c>
      <c r="E233" s="33" t="s">
        <v>3694</v>
      </c>
      <c r="F233" s="32" t="s">
        <v>244</v>
      </c>
      <c r="G233" s="39" t="s">
        <v>3693</v>
      </c>
      <c r="H233" s="28" t="s">
        <v>3692</v>
      </c>
      <c r="I233" s="46" t="s">
        <v>250</v>
      </c>
      <c r="J233" s="28" t="s">
        <v>3691</v>
      </c>
      <c r="K233" s="28" t="s">
        <v>3690</v>
      </c>
    </row>
    <row r="234" spans="1:11" x14ac:dyDescent="0.35">
      <c r="A234" s="34"/>
      <c r="B234" s="10"/>
      <c r="C234" s="10"/>
      <c r="D234" s="9"/>
      <c r="E234" s="9"/>
      <c r="F234" s="9"/>
      <c r="G234" s="39" t="s">
        <v>3689</v>
      </c>
      <c r="H234" s="28" t="s">
        <v>3688</v>
      </c>
      <c r="I234" s="46" t="s">
        <v>250</v>
      </c>
      <c r="J234" s="28" t="s">
        <v>3687</v>
      </c>
      <c r="K234" s="28" t="s">
        <v>3686</v>
      </c>
    </row>
    <row r="235" spans="1:11" x14ac:dyDescent="0.35">
      <c r="A235" s="34"/>
      <c r="B235" s="10"/>
      <c r="C235" s="10"/>
      <c r="D235" s="32" t="s">
        <v>3685</v>
      </c>
      <c r="E235" s="33" t="s">
        <v>3684</v>
      </c>
      <c r="F235" s="32" t="s">
        <v>65</v>
      </c>
      <c r="G235" s="39" t="s">
        <v>3683</v>
      </c>
      <c r="H235" s="28" t="s">
        <v>3682</v>
      </c>
      <c r="I235" s="46" t="s">
        <v>250</v>
      </c>
      <c r="J235" s="28" t="s">
        <v>3681</v>
      </c>
      <c r="K235" s="28" t="s">
        <v>3680</v>
      </c>
    </row>
    <row r="236" spans="1:11" x14ac:dyDescent="0.35">
      <c r="A236" s="34"/>
      <c r="B236" s="10"/>
      <c r="C236" s="10"/>
      <c r="D236" s="9"/>
      <c r="E236" s="9"/>
      <c r="F236" s="9"/>
      <c r="G236" s="39" t="s">
        <v>3679</v>
      </c>
      <c r="H236" s="28" t="s">
        <v>3678</v>
      </c>
      <c r="I236" s="46" t="s">
        <v>250</v>
      </c>
      <c r="J236" s="28" t="s">
        <v>3677</v>
      </c>
      <c r="K236" s="28" t="s">
        <v>3676</v>
      </c>
    </row>
    <row r="237" spans="1:11" x14ac:dyDescent="0.35">
      <c r="A237" s="34"/>
      <c r="B237" s="10"/>
      <c r="C237" s="10"/>
      <c r="D237" s="32" t="s">
        <v>3675</v>
      </c>
      <c r="E237" s="33" t="s">
        <v>3674</v>
      </c>
      <c r="F237" s="32" t="s">
        <v>244</v>
      </c>
      <c r="G237" s="39" t="s">
        <v>3673</v>
      </c>
      <c r="H237" s="28" t="s">
        <v>3672</v>
      </c>
      <c r="I237" s="46" t="s">
        <v>250</v>
      </c>
      <c r="J237" s="28" t="s">
        <v>3671</v>
      </c>
      <c r="K237" s="28" t="s">
        <v>3670</v>
      </c>
    </row>
    <row r="238" spans="1:11" x14ac:dyDescent="0.35">
      <c r="A238" s="34"/>
      <c r="B238" s="10"/>
      <c r="C238" s="10"/>
      <c r="D238" s="9"/>
      <c r="E238" s="9"/>
      <c r="F238" s="9"/>
      <c r="G238" s="39" t="s">
        <v>3669</v>
      </c>
      <c r="H238" s="28" t="s">
        <v>3668</v>
      </c>
      <c r="I238" s="46" t="s">
        <v>250</v>
      </c>
      <c r="J238" s="28" t="s">
        <v>3667</v>
      </c>
      <c r="K238" s="28" t="s">
        <v>3666</v>
      </c>
    </row>
    <row r="239" spans="1:11" x14ac:dyDescent="0.35">
      <c r="A239" s="34"/>
      <c r="B239" s="10"/>
      <c r="C239" s="10"/>
      <c r="D239" s="32" t="s">
        <v>3665</v>
      </c>
      <c r="E239" s="33" t="s">
        <v>3664</v>
      </c>
      <c r="F239" s="32" t="s">
        <v>65</v>
      </c>
      <c r="G239" s="39" t="s">
        <v>3663</v>
      </c>
      <c r="H239" s="28" t="s">
        <v>3662</v>
      </c>
      <c r="I239" s="46" t="s">
        <v>250</v>
      </c>
      <c r="J239" s="28" t="s">
        <v>3661</v>
      </c>
      <c r="K239" s="28" t="s">
        <v>3660</v>
      </c>
    </row>
    <row r="240" spans="1:11" x14ac:dyDescent="0.35">
      <c r="A240" s="34"/>
      <c r="B240" s="10"/>
      <c r="C240" s="10"/>
      <c r="D240" s="9"/>
      <c r="E240" s="9"/>
      <c r="F240" s="9"/>
      <c r="G240" s="39" t="s">
        <v>3659</v>
      </c>
      <c r="H240" s="28" t="s">
        <v>3658</v>
      </c>
      <c r="I240" s="46" t="s">
        <v>250</v>
      </c>
      <c r="J240" s="28" t="s">
        <v>3657</v>
      </c>
      <c r="K240" s="28" t="s">
        <v>3656</v>
      </c>
    </row>
    <row r="241" spans="1:11" x14ac:dyDescent="0.35">
      <c r="A241" s="34"/>
      <c r="B241" s="10"/>
      <c r="C241" s="10"/>
      <c r="D241" s="32" t="s">
        <v>3655</v>
      </c>
      <c r="E241" s="33" t="s">
        <v>3654</v>
      </c>
      <c r="F241" s="32" t="s">
        <v>65</v>
      </c>
      <c r="G241" s="39" t="s">
        <v>3653</v>
      </c>
      <c r="H241" s="28" t="s">
        <v>3652</v>
      </c>
      <c r="I241" s="45" t="s">
        <v>120</v>
      </c>
      <c r="J241" s="28" t="s">
        <v>3651</v>
      </c>
      <c r="K241" s="28" t="s">
        <v>3650</v>
      </c>
    </row>
    <row r="242" spans="1:11" x14ac:dyDescent="0.35">
      <c r="A242" s="34"/>
      <c r="B242" s="10"/>
      <c r="C242" s="9"/>
      <c r="D242" s="9"/>
      <c r="E242" s="9"/>
      <c r="F242" s="9"/>
      <c r="G242" s="39" t="s">
        <v>3649</v>
      </c>
      <c r="H242" s="28" t="s">
        <v>3648</v>
      </c>
      <c r="I242" s="45" t="s">
        <v>120</v>
      </c>
      <c r="J242" s="28" t="s">
        <v>3647</v>
      </c>
      <c r="K242" s="28" t="s">
        <v>3646</v>
      </c>
    </row>
    <row r="243" spans="1:11" x14ac:dyDescent="0.35">
      <c r="A243" s="34"/>
      <c r="B243" s="10"/>
      <c r="C243" s="32" t="s">
        <v>3645</v>
      </c>
      <c r="D243" s="32" t="s">
        <v>3644</v>
      </c>
      <c r="E243" s="33" t="s">
        <v>3643</v>
      </c>
      <c r="F243" s="32" t="s">
        <v>65</v>
      </c>
      <c r="G243" s="39" t="s">
        <v>3642</v>
      </c>
      <c r="H243" s="28" t="s">
        <v>3641</v>
      </c>
      <c r="I243" s="45" t="s">
        <v>120</v>
      </c>
      <c r="J243" s="28" t="s">
        <v>3640</v>
      </c>
      <c r="K243" s="28" t="s">
        <v>3639</v>
      </c>
    </row>
    <row r="244" spans="1:11" x14ac:dyDescent="0.35">
      <c r="A244" s="34"/>
      <c r="B244" s="10"/>
      <c r="C244" s="10"/>
      <c r="D244" s="9"/>
      <c r="E244" s="9"/>
      <c r="F244" s="9"/>
      <c r="G244" s="39" t="s">
        <v>3638</v>
      </c>
      <c r="H244" s="28" t="s">
        <v>3637</v>
      </c>
      <c r="I244" s="45" t="s">
        <v>120</v>
      </c>
      <c r="J244" s="28" t="s">
        <v>3636</v>
      </c>
      <c r="K244" s="28" t="s">
        <v>3635</v>
      </c>
    </row>
    <row r="245" spans="1:11" x14ac:dyDescent="0.35">
      <c r="A245" s="34"/>
      <c r="B245" s="10"/>
      <c r="C245" s="10"/>
      <c r="D245" s="32" t="s">
        <v>3634</v>
      </c>
      <c r="E245" s="33" t="s">
        <v>3633</v>
      </c>
      <c r="F245" s="32" t="s">
        <v>65</v>
      </c>
      <c r="G245" s="39" t="s">
        <v>3632</v>
      </c>
      <c r="H245" s="28" t="s">
        <v>3631</v>
      </c>
      <c r="I245" s="45" t="s">
        <v>120</v>
      </c>
      <c r="J245" s="28" t="s">
        <v>3630</v>
      </c>
      <c r="K245" s="28" t="s">
        <v>3629</v>
      </c>
    </row>
    <row r="246" spans="1:11" x14ac:dyDescent="0.35">
      <c r="A246" s="34"/>
      <c r="B246" s="10"/>
      <c r="C246" s="10"/>
      <c r="D246" s="9"/>
      <c r="E246" s="9"/>
      <c r="F246" s="9"/>
      <c r="G246" s="39" t="s">
        <v>3628</v>
      </c>
      <c r="H246" s="28" t="s">
        <v>3627</v>
      </c>
      <c r="I246" s="45" t="s">
        <v>120</v>
      </c>
      <c r="J246" s="28" t="s">
        <v>3626</v>
      </c>
      <c r="K246" s="28" t="s">
        <v>3625</v>
      </c>
    </row>
    <row r="247" spans="1:11" x14ac:dyDescent="0.35">
      <c r="A247" s="34"/>
      <c r="B247" s="10"/>
      <c r="C247" s="10"/>
      <c r="D247" s="32" t="s">
        <v>3624</v>
      </c>
      <c r="E247" s="33" t="s">
        <v>3623</v>
      </c>
      <c r="F247" s="32" t="s">
        <v>65</v>
      </c>
      <c r="G247" s="39" t="s">
        <v>3622</v>
      </c>
      <c r="H247" s="28" t="s">
        <v>3621</v>
      </c>
      <c r="I247" s="45" t="s">
        <v>120</v>
      </c>
      <c r="J247" s="28" t="s">
        <v>3620</v>
      </c>
      <c r="K247" s="28" t="s">
        <v>3619</v>
      </c>
    </row>
    <row r="248" spans="1:11" x14ac:dyDescent="0.35">
      <c r="A248" s="34"/>
      <c r="B248" s="10"/>
      <c r="C248" s="10"/>
      <c r="D248" s="9"/>
      <c r="E248" s="9"/>
      <c r="F248" s="9"/>
      <c r="G248" s="39" t="s">
        <v>3618</v>
      </c>
      <c r="H248" s="28" t="s">
        <v>3617</v>
      </c>
      <c r="I248" s="45" t="s">
        <v>120</v>
      </c>
      <c r="J248" s="28" t="s">
        <v>3616</v>
      </c>
      <c r="K248" s="28" t="s">
        <v>3615</v>
      </c>
    </row>
    <row r="249" spans="1:11" x14ac:dyDescent="0.35">
      <c r="A249" s="34"/>
      <c r="B249" s="10"/>
      <c r="C249" s="10"/>
      <c r="D249" s="32" t="s">
        <v>3614</v>
      </c>
      <c r="E249" s="33" t="s">
        <v>3613</v>
      </c>
      <c r="F249" s="32" t="s">
        <v>244</v>
      </c>
      <c r="G249" s="39" t="s">
        <v>3612</v>
      </c>
      <c r="H249" s="28" t="s">
        <v>3611</v>
      </c>
      <c r="I249" s="45" t="s">
        <v>120</v>
      </c>
      <c r="J249" s="28" t="s">
        <v>3610</v>
      </c>
      <c r="K249" s="28" t="s">
        <v>3609</v>
      </c>
    </row>
    <row r="250" spans="1:11" x14ac:dyDescent="0.35">
      <c r="A250" s="34"/>
      <c r="B250" s="10"/>
      <c r="C250" s="10"/>
      <c r="D250" s="9"/>
      <c r="E250" s="9"/>
      <c r="F250" s="9"/>
      <c r="G250" s="39" t="s">
        <v>3608</v>
      </c>
      <c r="H250" s="28" t="s">
        <v>3587</v>
      </c>
      <c r="I250" s="45" t="s">
        <v>120</v>
      </c>
      <c r="J250" s="28" t="s">
        <v>3607</v>
      </c>
      <c r="K250" s="28" t="s">
        <v>3606</v>
      </c>
    </row>
    <row r="251" spans="1:11" x14ac:dyDescent="0.35">
      <c r="A251" s="34"/>
      <c r="B251" s="10"/>
      <c r="C251" s="10"/>
      <c r="D251" s="32" t="s">
        <v>3605</v>
      </c>
      <c r="E251" s="33" t="s">
        <v>3604</v>
      </c>
      <c r="F251" s="32" t="s">
        <v>2545</v>
      </c>
      <c r="G251" s="39" t="s">
        <v>3603</v>
      </c>
      <c r="H251" s="28" t="s">
        <v>3602</v>
      </c>
      <c r="I251" s="45" t="s">
        <v>120</v>
      </c>
      <c r="J251" s="28" t="s">
        <v>3601</v>
      </c>
      <c r="K251" s="28" t="s">
        <v>3600</v>
      </c>
    </row>
    <row r="252" spans="1:11" x14ac:dyDescent="0.35">
      <c r="A252" s="34"/>
      <c r="B252" s="10"/>
      <c r="C252" s="9"/>
      <c r="D252" s="9"/>
      <c r="E252" s="9"/>
      <c r="F252" s="9"/>
      <c r="G252" s="39" t="s">
        <v>3599</v>
      </c>
      <c r="H252" s="28" t="s">
        <v>3598</v>
      </c>
      <c r="I252" s="45" t="s">
        <v>120</v>
      </c>
      <c r="J252" s="28" t="s">
        <v>3597</v>
      </c>
      <c r="K252" s="28" t="s">
        <v>3596</v>
      </c>
    </row>
    <row r="253" spans="1:11" x14ac:dyDescent="0.35">
      <c r="A253" s="34"/>
      <c r="B253" s="10"/>
      <c r="C253" s="32" t="s">
        <v>3595</v>
      </c>
      <c r="D253" s="32" t="s">
        <v>3594</v>
      </c>
      <c r="E253" s="33" t="s">
        <v>3593</v>
      </c>
      <c r="F253" s="32" t="s">
        <v>65</v>
      </c>
      <c r="G253" s="39" t="s">
        <v>3592</v>
      </c>
      <c r="H253" s="28" t="s">
        <v>3591</v>
      </c>
      <c r="I253" s="45" t="s">
        <v>120</v>
      </c>
      <c r="J253" s="28" t="s">
        <v>3590</v>
      </c>
      <c r="K253" s="28" t="s">
        <v>3589</v>
      </c>
    </row>
    <row r="254" spans="1:11" x14ac:dyDescent="0.35">
      <c r="A254" s="34"/>
      <c r="B254" s="10"/>
      <c r="C254" s="10"/>
      <c r="D254" s="9"/>
      <c r="E254" s="9"/>
      <c r="F254" s="9"/>
      <c r="G254" s="39" t="s">
        <v>3588</v>
      </c>
      <c r="H254" s="28" t="s">
        <v>3587</v>
      </c>
      <c r="I254" s="45" t="s">
        <v>120</v>
      </c>
      <c r="J254" s="28" t="s">
        <v>3586</v>
      </c>
      <c r="K254" s="28" t="s">
        <v>3585</v>
      </c>
    </row>
    <row r="255" spans="1:11" x14ac:dyDescent="0.35">
      <c r="A255" s="34"/>
      <c r="B255" s="10"/>
      <c r="C255" s="10"/>
      <c r="D255" s="32" t="s">
        <v>3584</v>
      </c>
      <c r="E255" s="33" t="s">
        <v>3583</v>
      </c>
      <c r="F255" s="32" t="s">
        <v>65</v>
      </c>
      <c r="G255" s="39" t="s">
        <v>3582</v>
      </c>
      <c r="H255" s="28" t="s">
        <v>3581</v>
      </c>
      <c r="I255" s="45" t="s">
        <v>120</v>
      </c>
      <c r="J255" s="28" t="s">
        <v>3580</v>
      </c>
      <c r="K255" s="28" t="s">
        <v>3579</v>
      </c>
    </row>
    <row r="256" spans="1:11" x14ac:dyDescent="0.35">
      <c r="A256" s="34"/>
      <c r="B256" s="10"/>
      <c r="C256" s="10"/>
      <c r="D256" s="9"/>
      <c r="E256" s="9"/>
      <c r="F256" s="9"/>
      <c r="G256" s="39" t="s">
        <v>3578</v>
      </c>
      <c r="H256" s="28" t="s">
        <v>3577</v>
      </c>
      <c r="I256" s="45" t="s">
        <v>120</v>
      </c>
      <c r="J256" s="28" t="s">
        <v>3576</v>
      </c>
      <c r="K256" s="28" t="s">
        <v>3575</v>
      </c>
    </row>
    <row r="257" spans="1:11" x14ac:dyDescent="0.35">
      <c r="A257" s="34"/>
      <c r="B257" s="10"/>
      <c r="C257" s="10"/>
      <c r="D257" s="32" t="s">
        <v>3574</v>
      </c>
      <c r="E257" s="33" t="s">
        <v>3573</v>
      </c>
      <c r="F257" s="32" t="s">
        <v>65</v>
      </c>
      <c r="G257" s="39" t="s">
        <v>3572</v>
      </c>
      <c r="H257" s="28" t="s">
        <v>3571</v>
      </c>
      <c r="I257" s="45" t="s">
        <v>120</v>
      </c>
      <c r="J257" s="28" t="s">
        <v>3570</v>
      </c>
      <c r="K257" s="28" t="s">
        <v>3569</v>
      </c>
    </row>
    <row r="258" spans="1:11" x14ac:dyDescent="0.35">
      <c r="A258" s="34"/>
      <c r="B258" s="10"/>
      <c r="C258" s="10"/>
      <c r="D258" s="9"/>
      <c r="E258" s="9"/>
      <c r="F258" s="9"/>
      <c r="G258" s="39" t="s">
        <v>3568</v>
      </c>
      <c r="H258" s="28" t="s">
        <v>3567</v>
      </c>
      <c r="I258" s="45" t="s">
        <v>120</v>
      </c>
      <c r="J258" s="28" t="s">
        <v>3566</v>
      </c>
      <c r="K258" s="28" t="s">
        <v>3565</v>
      </c>
    </row>
    <row r="259" spans="1:11" x14ac:dyDescent="0.35">
      <c r="A259" s="34"/>
      <c r="B259" s="10"/>
      <c r="C259" s="10"/>
      <c r="D259" s="32" t="s">
        <v>3564</v>
      </c>
      <c r="E259" s="33" t="s">
        <v>3563</v>
      </c>
      <c r="F259" s="32" t="s">
        <v>244</v>
      </c>
      <c r="G259" s="39" t="s">
        <v>3562</v>
      </c>
      <c r="H259" s="28" t="s">
        <v>3561</v>
      </c>
      <c r="I259" s="44" t="s">
        <v>58</v>
      </c>
      <c r="J259" s="28" t="s">
        <v>3560</v>
      </c>
      <c r="K259" s="28" t="s">
        <v>3559</v>
      </c>
    </row>
    <row r="260" spans="1:11" x14ac:dyDescent="0.35">
      <c r="A260" s="34"/>
      <c r="B260" s="10"/>
      <c r="C260" s="10"/>
      <c r="D260" s="9"/>
      <c r="E260" s="9"/>
      <c r="F260" s="9"/>
      <c r="G260" s="39" t="s">
        <v>3558</v>
      </c>
      <c r="H260" s="28" t="s">
        <v>3557</v>
      </c>
      <c r="I260" s="43" t="s">
        <v>58</v>
      </c>
      <c r="J260" s="28" t="s">
        <v>3556</v>
      </c>
      <c r="K260" s="28" t="s">
        <v>3555</v>
      </c>
    </row>
    <row r="261" spans="1:11" x14ac:dyDescent="0.35">
      <c r="A261" s="34"/>
      <c r="B261" s="10"/>
      <c r="C261" s="10"/>
      <c r="D261" s="32" t="s">
        <v>3554</v>
      </c>
      <c r="E261" s="33" t="s">
        <v>3553</v>
      </c>
      <c r="F261" s="32" t="s">
        <v>65</v>
      </c>
      <c r="G261" s="39" t="s">
        <v>3552</v>
      </c>
      <c r="H261" s="28" t="s">
        <v>3551</v>
      </c>
      <c r="I261" s="43" t="s">
        <v>58</v>
      </c>
      <c r="J261" s="28" t="s">
        <v>3550</v>
      </c>
      <c r="K261" s="28" t="s">
        <v>3549</v>
      </c>
    </row>
    <row r="262" spans="1:11" x14ac:dyDescent="0.35">
      <c r="A262" s="34"/>
      <c r="B262" s="10"/>
      <c r="C262" s="9"/>
      <c r="D262" s="9"/>
      <c r="E262" s="9"/>
      <c r="F262" s="9"/>
      <c r="G262" s="39" t="s">
        <v>3548</v>
      </c>
      <c r="H262" s="28" t="s">
        <v>3547</v>
      </c>
      <c r="I262" s="44" t="s">
        <v>58</v>
      </c>
      <c r="J262" s="28" t="s">
        <v>3546</v>
      </c>
      <c r="K262" s="28" t="s">
        <v>3545</v>
      </c>
    </row>
    <row r="263" spans="1:11" x14ac:dyDescent="0.35">
      <c r="A263" s="34"/>
      <c r="B263" s="10"/>
      <c r="C263" s="32" t="s">
        <v>3544</v>
      </c>
      <c r="D263" s="32" t="s">
        <v>3543</v>
      </c>
      <c r="E263" s="33" t="s">
        <v>3542</v>
      </c>
      <c r="F263" s="32" t="s">
        <v>65</v>
      </c>
      <c r="G263" s="39" t="s">
        <v>3541</v>
      </c>
      <c r="H263" s="28" t="s">
        <v>3540</v>
      </c>
      <c r="I263" s="43" t="s">
        <v>58</v>
      </c>
      <c r="J263" s="28" t="s">
        <v>3539</v>
      </c>
      <c r="K263" s="28" t="s">
        <v>3538</v>
      </c>
    </row>
    <row r="264" spans="1:11" x14ac:dyDescent="0.35">
      <c r="A264" s="34"/>
      <c r="B264" s="10"/>
      <c r="C264" s="10"/>
      <c r="D264" s="9"/>
      <c r="E264" s="9"/>
      <c r="F264" s="9"/>
      <c r="G264" s="39" t="s">
        <v>3537</v>
      </c>
      <c r="H264" s="28" t="s">
        <v>3536</v>
      </c>
      <c r="I264" s="43" t="s">
        <v>58</v>
      </c>
      <c r="J264" s="28" t="s">
        <v>3535</v>
      </c>
      <c r="K264" s="28" t="s">
        <v>3534</v>
      </c>
    </row>
    <row r="265" spans="1:11" x14ac:dyDescent="0.35">
      <c r="A265" s="34"/>
      <c r="B265" s="10"/>
      <c r="C265" s="10"/>
      <c r="D265" s="32" t="s">
        <v>3533</v>
      </c>
      <c r="E265" s="33" t="s">
        <v>3532</v>
      </c>
      <c r="F265" s="32" t="s">
        <v>65</v>
      </c>
      <c r="G265" s="39" t="s">
        <v>3531</v>
      </c>
      <c r="H265" s="28" t="s">
        <v>3530</v>
      </c>
      <c r="I265" s="38" t="s">
        <v>120</v>
      </c>
      <c r="J265" s="28" t="s">
        <v>3529</v>
      </c>
      <c r="K265" s="28" t="s">
        <v>3528</v>
      </c>
    </row>
    <row r="266" spans="1:11" x14ac:dyDescent="0.35">
      <c r="A266" s="34"/>
      <c r="B266" s="10"/>
      <c r="C266" s="10"/>
      <c r="D266" s="9"/>
      <c r="E266" s="9"/>
      <c r="F266" s="9"/>
      <c r="G266" s="39" t="s">
        <v>3527</v>
      </c>
      <c r="H266" s="28" t="s">
        <v>3526</v>
      </c>
      <c r="I266" s="38" t="s">
        <v>120</v>
      </c>
      <c r="J266" s="28" t="s">
        <v>3525</v>
      </c>
      <c r="K266" s="28" t="s">
        <v>3524</v>
      </c>
    </row>
    <row r="267" spans="1:11" x14ac:dyDescent="0.35">
      <c r="A267" s="34"/>
      <c r="B267" s="10"/>
      <c r="C267" s="10"/>
      <c r="D267" s="32" t="s">
        <v>3523</v>
      </c>
      <c r="E267" s="33" t="s">
        <v>3522</v>
      </c>
      <c r="F267" s="32" t="s">
        <v>244</v>
      </c>
      <c r="G267" s="39" t="s">
        <v>3521</v>
      </c>
      <c r="H267" s="28" t="s">
        <v>3520</v>
      </c>
      <c r="I267" s="38" t="s">
        <v>120</v>
      </c>
      <c r="J267" s="28" t="s">
        <v>3519</v>
      </c>
      <c r="K267" s="28" t="s">
        <v>3518</v>
      </c>
    </row>
    <row r="268" spans="1:11" x14ac:dyDescent="0.35">
      <c r="A268" s="34"/>
      <c r="B268" s="10"/>
      <c r="C268" s="10"/>
      <c r="D268" s="9"/>
      <c r="E268" s="9"/>
      <c r="F268" s="9"/>
      <c r="G268" s="39" t="s">
        <v>3517</v>
      </c>
      <c r="H268" s="28" t="s">
        <v>3516</v>
      </c>
      <c r="I268" s="38" t="s">
        <v>120</v>
      </c>
      <c r="J268" s="28" t="s">
        <v>3515</v>
      </c>
      <c r="K268" s="28" t="s">
        <v>3514</v>
      </c>
    </row>
    <row r="269" spans="1:11" x14ac:dyDescent="0.35">
      <c r="A269" s="34"/>
      <c r="B269" s="10"/>
      <c r="C269" s="10"/>
      <c r="D269" s="32" t="s">
        <v>3513</v>
      </c>
      <c r="E269" s="33" t="s">
        <v>3512</v>
      </c>
      <c r="F269" s="32" t="s">
        <v>244</v>
      </c>
      <c r="G269" s="39" t="s">
        <v>3511</v>
      </c>
      <c r="H269" s="28" t="s">
        <v>3510</v>
      </c>
      <c r="I269" s="38" t="s">
        <v>120</v>
      </c>
      <c r="J269" s="28" t="s">
        <v>3509</v>
      </c>
      <c r="K269" s="28" t="s">
        <v>3508</v>
      </c>
    </row>
    <row r="270" spans="1:11" x14ac:dyDescent="0.35">
      <c r="A270" s="34"/>
      <c r="B270" s="10"/>
      <c r="C270" s="10"/>
      <c r="D270" s="9"/>
      <c r="E270" s="9"/>
      <c r="F270" s="9"/>
      <c r="G270" s="39" t="s">
        <v>3507</v>
      </c>
      <c r="H270" s="28" t="s">
        <v>3506</v>
      </c>
      <c r="I270" s="38" t="s">
        <v>120</v>
      </c>
      <c r="J270" s="28" t="s">
        <v>3505</v>
      </c>
      <c r="K270" s="28" t="s">
        <v>3504</v>
      </c>
    </row>
    <row r="271" spans="1:11" x14ac:dyDescent="0.35">
      <c r="A271" s="34"/>
      <c r="B271" s="10"/>
      <c r="C271" s="10"/>
      <c r="D271" s="32" t="s">
        <v>3503</v>
      </c>
      <c r="E271" s="33" t="s">
        <v>3502</v>
      </c>
      <c r="F271" s="32" t="s">
        <v>244</v>
      </c>
      <c r="G271" s="39" t="s">
        <v>3501</v>
      </c>
      <c r="H271" s="28" t="s">
        <v>3500</v>
      </c>
      <c r="I271" s="38" t="s">
        <v>120</v>
      </c>
      <c r="J271" s="28" t="s">
        <v>3499</v>
      </c>
      <c r="K271" s="28" t="s">
        <v>3498</v>
      </c>
    </row>
    <row r="272" spans="1:11" x14ac:dyDescent="0.35">
      <c r="A272" s="34"/>
      <c r="B272" s="10"/>
      <c r="C272" s="9"/>
      <c r="D272" s="9"/>
      <c r="E272" s="9"/>
      <c r="F272" s="9"/>
      <c r="G272" s="39" t="s">
        <v>3497</v>
      </c>
      <c r="H272" s="28" t="s">
        <v>3496</v>
      </c>
      <c r="I272" s="38" t="s">
        <v>120</v>
      </c>
      <c r="J272" s="28" t="s">
        <v>3495</v>
      </c>
      <c r="K272" s="28" t="s">
        <v>3494</v>
      </c>
    </row>
    <row r="273" spans="1:11" x14ac:dyDescent="0.35">
      <c r="A273" s="34"/>
      <c r="B273" s="10"/>
      <c r="C273" s="32" t="s">
        <v>3493</v>
      </c>
      <c r="D273" s="32" t="s">
        <v>3492</v>
      </c>
      <c r="E273" s="33" t="s">
        <v>3491</v>
      </c>
      <c r="F273" s="32" t="s">
        <v>244</v>
      </c>
      <c r="G273" s="39" t="s">
        <v>3490</v>
      </c>
      <c r="H273" s="28" t="s">
        <v>3489</v>
      </c>
      <c r="I273" s="38" t="s">
        <v>120</v>
      </c>
      <c r="J273" s="28" t="s">
        <v>3488</v>
      </c>
      <c r="K273" s="28" t="s">
        <v>3487</v>
      </c>
    </row>
    <row r="274" spans="1:11" x14ac:dyDescent="0.35">
      <c r="A274" s="34"/>
      <c r="B274" s="10"/>
      <c r="C274" s="10"/>
      <c r="D274" s="9"/>
      <c r="E274" s="9"/>
      <c r="F274" s="9"/>
      <c r="G274" s="39" t="s">
        <v>3486</v>
      </c>
      <c r="H274" s="28" t="s">
        <v>3485</v>
      </c>
      <c r="I274" s="38" t="s">
        <v>120</v>
      </c>
      <c r="J274" s="28" t="s">
        <v>3485</v>
      </c>
      <c r="K274" s="28" t="s">
        <v>3484</v>
      </c>
    </row>
    <row r="275" spans="1:11" x14ac:dyDescent="0.35">
      <c r="A275" s="34"/>
      <c r="B275" s="10"/>
      <c r="C275" s="10"/>
      <c r="D275" s="32" t="s">
        <v>3483</v>
      </c>
      <c r="E275" s="33" t="s">
        <v>3482</v>
      </c>
      <c r="F275" s="32" t="s">
        <v>65</v>
      </c>
      <c r="G275" s="39" t="s">
        <v>3481</v>
      </c>
      <c r="H275" s="28" t="s">
        <v>3477</v>
      </c>
      <c r="I275" s="38" t="s">
        <v>120</v>
      </c>
      <c r="J275" s="28" t="s">
        <v>3480</v>
      </c>
      <c r="K275" s="28" t="s">
        <v>3479</v>
      </c>
    </row>
    <row r="276" spans="1:11" x14ac:dyDescent="0.35">
      <c r="A276" s="34"/>
      <c r="B276" s="10"/>
      <c r="C276" s="10"/>
      <c r="D276" s="9"/>
      <c r="E276" s="9"/>
      <c r="F276" s="9"/>
      <c r="G276" s="39" t="s">
        <v>3478</v>
      </c>
      <c r="H276" s="28" t="s">
        <v>3469</v>
      </c>
      <c r="I276" s="38" t="s">
        <v>120</v>
      </c>
      <c r="J276" s="28" t="s">
        <v>3477</v>
      </c>
      <c r="K276" s="28" t="s">
        <v>3476</v>
      </c>
    </row>
    <row r="277" spans="1:11" x14ac:dyDescent="0.35">
      <c r="A277" s="34"/>
      <c r="B277" s="10"/>
      <c r="C277" s="10"/>
      <c r="D277" s="32" t="s">
        <v>3475</v>
      </c>
      <c r="E277" s="33" t="s">
        <v>3474</v>
      </c>
      <c r="F277" s="32" t="s">
        <v>65</v>
      </c>
      <c r="G277" s="39" t="s">
        <v>3473</v>
      </c>
      <c r="H277" s="28" t="s">
        <v>3461</v>
      </c>
      <c r="I277" s="38" t="s">
        <v>120</v>
      </c>
      <c r="J277" s="28" t="s">
        <v>3472</v>
      </c>
      <c r="K277" s="28" t="s">
        <v>3471</v>
      </c>
    </row>
    <row r="278" spans="1:11" x14ac:dyDescent="0.35">
      <c r="A278" s="34"/>
      <c r="B278" s="10"/>
      <c r="C278" s="10"/>
      <c r="D278" s="9"/>
      <c r="E278" s="9"/>
      <c r="F278" s="9"/>
      <c r="G278" s="39" t="s">
        <v>3470</v>
      </c>
      <c r="H278" s="28" t="s">
        <v>3452</v>
      </c>
      <c r="I278" s="38" t="s">
        <v>120</v>
      </c>
      <c r="J278" s="28" t="s">
        <v>3469</v>
      </c>
      <c r="K278" s="28" t="s">
        <v>3468</v>
      </c>
    </row>
    <row r="279" spans="1:11" x14ac:dyDescent="0.35">
      <c r="A279" s="34"/>
      <c r="B279" s="10"/>
      <c r="C279" s="10"/>
      <c r="D279" s="32" t="s">
        <v>3467</v>
      </c>
      <c r="E279" s="33" t="s">
        <v>3466</v>
      </c>
      <c r="F279" s="32" t="s">
        <v>65</v>
      </c>
      <c r="G279" s="39" t="s">
        <v>3465</v>
      </c>
      <c r="H279" s="28" t="s">
        <v>3441</v>
      </c>
      <c r="I279" s="38" t="s">
        <v>120</v>
      </c>
      <c r="J279" s="28" t="s">
        <v>3464</v>
      </c>
      <c r="K279" s="28" t="s">
        <v>3463</v>
      </c>
    </row>
    <row r="280" spans="1:11" x14ac:dyDescent="0.35">
      <c r="A280" s="34"/>
      <c r="B280" s="10"/>
      <c r="C280" s="10"/>
      <c r="D280" s="9"/>
      <c r="E280" s="9"/>
      <c r="F280" s="9"/>
      <c r="G280" s="39" t="s">
        <v>3462</v>
      </c>
      <c r="H280" s="28" t="s">
        <v>3431</v>
      </c>
      <c r="I280" s="38" t="s">
        <v>120</v>
      </c>
      <c r="J280" s="28" t="s">
        <v>3461</v>
      </c>
      <c r="K280" s="28" t="s">
        <v>3460</v>
      </c>
    </row>
    <row r="281" spans="1:11" x14ac:dyDescent="0.35">
      <c r="A281" s="34"/>
      <c r="B281" s="9"/>
      <c r="C281" s="10"/>
      <c r="D281" s="32" t="s">
        <v>3459</v>
      </c>
      <c r="E281" s="33" t="s">
        <v>3458</v>
      </c>
      <c r="F281" s="32" t="s">
        <v>65</v>
      </c>
      <c r="G281" s="39" t="s">
        <v>3457</v>
      </c>
      <c r="H281" s="28" t="s">
        <v>3421</v>
      </c>
      <c r="I281" s="38" t="s">
        <v>120</v>
      </c>
      <c r="J281" s="28" t="s">
        <v>3456</v>
      </c>
      <c r="K281" s="28" t="s">
        <v>3455</v>
      </c>
    </row>
    <row r="282" spans="1:11" x14ac:dyDescent="0.35">
      <c r="A282" s="34"/>
      <c r="B282" s="31"/>
      <c r="C282" s="9"/>
      <c r="D282" s="9"/>
      <c r="E282" s="9"/>
      <c r="F282" s="9"/>
      <c r="G282" s="39" t="s">
        <v>3454</v>
      </c>
      <c r="H282" s="28" t="s">
        <v>3453</v>
      </c>
      <c r="I282" s="38" t="s">
        <v>120</v>
      </c>
      <c r="J282" s="28" t="s">
        <v>3452</v>
      </c>
      <c r="K282" s="28" t="s">
        <v>3451</v>
      </c>
    </row>
    <row r="283" spans="1:11" x14ac:dyDescent="0.35">
      <c r="A283" s="34"/>
      <c r="B283" s="35" t="s">
        <v>3450</v>
      </c>
      <c r="C283" s="32" t="s">
        <v>3449</v>
      </c>
      <c r="D283" s="32" t="s">
        <v>3448</v>
      </c>
      <c r="E283" s="33" t="s">
        <v>3447</v>
      </c>
      <c r="F283" s="32" t="s">
        <v>65</v>
      </c>
      <c r="G283" s="39" t="s">
        <v>3446</v>
      </c>
      <c r="H283" s="28" t="s">
        <v>3445</v>
      </c>
      <c r="I283" s="38" t="s">
        <v>120</v>
      </c>
      <c r="J283" s="28" t="s">
        <v>3444</v>
      </c>
      <c r="K283" s="28" t="s">
        <v>3440</v>
      </c>
    </row>
    <row r="284" spans="1:11" x14ac:dyDescent="0.35">
      <c r="A284" s="34"/>
      <c r="B284" s="10"/>
      <c r="C284" s="10"/>
      <c r="D284" s="9"/>
      <c r="E284" s="9"/>
      <c r="F284" s="9"/>
      <c r="G284" s="39" t="s">
        <v>3443</v>
      </c>
      <c r="H284" s="28" t="s">
        <v>3442</v>
      </c>
      <c r="I284" s="38" t="s">
        <v>120</v>
      </c>
      <c r="J284" s="28" t="s">
        <v>3441</v>
      </c>
      <c r="K284" s="28" t="s">
        <v>3440</v>
      </c>
    </row>
    <row r="285" spans="1:11" x14ac:dyDescent="0.35">
      <c r="A285" s="34"/>
      <c r="B285" s="10"/>
      <c r="C285" s="10"/>
      <c r="D285" s="32" t="s">
        <v>3439</v>
      </c>
      <c r="E285" s="33" t="s">
        <v>3438</v>
      </c>
      <c r="F285" s="32" t="s">
        <v>65</v>
      </c>
      <c r="G285" s="39" t="s">
        <v>3437</v>
      </c>
      <c r="H285" s="28" t="s">
        <v>3436</v>
      </c>
      <c r="I285" s="38" t="s">
        <v>120</v>
      </c>
      <c r="J285" s="28" t="s">
        <v>3435</v>
      </c>
      <c r="K285" s="28" t="s">
        <v>3434</v>
      </c>
    </row>
    <row r="286" spans="1:11" x14ac:dyDescent="0.35">
      <c r="A286" s="34"/>
      <c r="B286" s="10"/>
      <c r="C286" s="10"/>
      <c r="D286" s="9"/>
      <c r="E286" s="9"/>
      <c r="F286" s="9"/>
      <c r="G286" s="39" t="s">
        <v>3433</v>
      </c>
      <c r="H286" s="28" t="s">
        <v>3432</v>
      </c>
      <c r="I286" s="38" t="s">
        <v>120</v>
      </c>
      <c r="J286" s="28" t="s">
        <v>3431</v>
      </c>
      <c r="K286" s="28" t="s">
        <v>3430</v>
      </c>
    </row>
    <row r="287" spans="1:11" x14ac:dyDescent="0.35">
      <c r="A287" s="34"/>
      <c r="B287" s="10"/>
      <c r="C287" s="10"/>
      <c r="D287" s="32" t="s">
        <v>3429</v>
      </c>
      <c r="E287" s="33" t="s">
        <v>3428</v>
      </c>
      <c r="F287" s="32" t="s">
        <v>65</v>
      </c>
      <c r="G287" s="39" t="s">
        <v>3427</v>
      </c>
      <c r="H287" s="28" t="s">
        <v>3426</v>
      </c>
      <c r="I287" s="42" t="s">
        <v>58</v>
      </c>
      <c r="J287" s="28" t="s">
        <v>3425</v>
      </c>
      <c r="K287" s="28" t="s">
        <v>3424</v>
      </c>
    </row>
    <row r="288" spans="1:11" x14ac:dyDescent="0.35">
      <c r="A288" s="34"/>
      <c r="B288" s="10"/>
      <c r="C288" s="10"/>
      <c r="D288" s="9"/>
      <c r="E288" s="9"/>
      <c r="F288" s="9"/>
      <c r="G288" s="39" t="s">
        <v>3423</v>
      </c>
      <c r="H288" s="28" t="s">
        <v>3422</v>
      </c>
      <c r="I288" s="42" t="s">
        <v>58</v>
      </c>
      <c r="J288" s="28" t="s">
        <v>3421</v>
      </c>
      <c r="K288" s="28" t="s">
        <v>3420</v>
      </c>
    </row>
    <row r="289" spans="1:11" x14ac:dyDescent="0.35">
      <c r="A289" s="34"/>
      <c r="B289" s="10"/>
      <c r="C289" s="10"/>
      <c r="D289" s="32" t="s">
        <v>3419</v>
      </c>
      <c r="E289" s="33" t="s">
        <v>3418</v>
      </c>
      <c r="F289" s="32" t="s">
        <v>65</v>
      </c>
      <c r="G289" s="39" t="s">
        <v>3417</v>
      </c>
      <c r="H289" s="28" t="s">
        <v>3416</v>
      </c>
      <c r="I289" s="42" t="s">
        <v>58</v>
      </c>
      <c r="J289" s="28" t="s">
        <v>3416</v>
      </c>
      <c r="K289" s="28" t="s">
        <v>3415</v>
      </c>
    </row>
    <row r="290" spans="1:11" x14ac:dyDescent="0.35">
      <c r="A290" s="34"/>
      <c r="B290" s="10"/>
      <c r="C290" s="10"/>
      <c r="D290" s="9"/>
      <c r="E290" s="9"/>
      <c r="F290" s="9"/>
      <c r="G290" s="39" t="s">
        <v>3414</v>
      </c>
      <c r="H290" s="28" t="s">
        <v>3413</v>
      </c>
      <c r="I290" s="42" t="s">
        <v>58</v>
      </c>
      <c r="J290" s="28" t="s">
        <v>3413</v>
      </c>
      <c r="K290" s="28" t="s">
        <v>3412</v>
      </c>
    </row>
    <row r="291" spans="1:11" x14ac:dyDescent="0.35">
      <c r="A291" s="34"/>
      <c r="B291" s="10"/>
      <c r="C291" s="10"/>
      <c r="D291" s="32" t="s">
        <v>3411</v>
      </c>
      <c r="E291" s="33" t="s">
        <v>3410</v>
      </c>
      <c r="F291" s="32" t="s">
        <v>65</v>
      </c>
      <c r="G291" s="39" t="s">
        <v>3409</v>
      </c>
      <c r="H291" s="28" t="s">
        <v>3408</v>
      </c>
      <c r="I291" s="42" t="s">
        <v>58</v>
      </c>
      <c r="J291" s="28" t="s">
        <v>3408</v>
      </c>
      <c r="K291" s="28" t="s">
        <v>3407</v>
      </c>
    </row>
    <row r="292" spans="1:11" x14ac:dyDescent="0.35">
      <c r="A292" s="34"/>
      <c r="B292" s="10"/>
      <c r="C292" s="9"/>
      <c r="D292" s="9"/>
      <c r="E292" s="9"/>
      <c r="F292" s="9"/>
      <c r="G292" s="39" t="s">
        <v>3406</v>
      </c>
      <c r="H292" s="28" t="s">
        <v>3405</v>
      </c>
      <c r="I292" s="42" t="s">
        <v>58</v>
      </c>
      <c r="J292" s="28" t="s">
        <v>3405</v>
      </c>
      <c r="K292" s="28" t="s">
        <v>3404</v>
      </c>
    </row>
    <row r="293" spans="1:11" x14ac:dyDescent="0.35">
      <c r="A293" s="34"/>
      <c r="B293" s="10"/>
      <c r="C293" s="32" t="s">
        <v>3403</v>
      </c>
      <c r="D293" s="32" t="s">
        <v>3402</v>
      </c>
      <c r="E293" s="33" t="s">
        <v>3401</v>
      </c>
      <c r="F293" s="32" t="s">
        <v>65</v>
      </c>
      <c r="G293" s="39" t="s">
        <v>3400</v>
      </c>
      <c r="H293" s="28" t="s">
        <v>3399</v>
      </c>
      <c r="I293" s="42" t="s">
        <v>58</v>
      </c>
      <c r="J293" s="28" t="s">
        <v>3399</v>
      </c>
      <c r="K293" s="28" t="s">
        <v>3398</v>
      </c>
    </row>
    <row r="294" spans="1:11" x14ac:dyDescent="0.35">
      <c r="A294" s="34"/>
      <c r="B294" s="10"/>
      <c r="C294" s="10"/>
      <c r="D294" s="9"/>
      <c r="E294" s="9"/>
      <c r="F294" s="9"/>
      <c r="G294" s="39" t="s">
        <v>3397</v>
      </c>
      <c r="H294" s="28" t="s">
        <v>3396</v>
      </c>
      <c r="I294" s="42" t="s">
        <v>58</v>
      </c>
      <c r="J294" s="28" t="s">
        <v>3396</v>
      </c>
      <c r="K294" s="28" t="s">
        <v>3395</v>
      </c>
    </row>
    <row r="295" spans="1:11" x14ac:dyDescent="0.35">
      <c r="A295" s="34"/>
      <c r="B295" s="10"/>
      <c r="C295" s="10"/>
      <c r="D295" s="32" t="s">
        <v>3394</v>
      </c>
      <c r="E295" s="33" t="s">
        <v>3393</v>
      </c>
      <c r="F295" s="32" t="s">
        <v>65</v>
      </c>
      <c r="G295" s="39" t="s">
        <v>3392</v>
      </c>
      <c r="H295" s="28" t="s">
        <v>3391</v>
      </c>
      <c r="I295" s="42" t="s">
        <v>58</v>
      </c>
      <c r="J295" s="28" t="s">
        <v>3391</v>
      </c>
      <c r="K295" s="28" t="s">
        <v>3390</v>
      </c>
    </row>
    <row r="296" spans="1:11" x14ac:dyDescent="0.35">
      <c r="A296" s="34"/>
      <c r="B296" s="10"/>
      <c r="C296" s="10"/>
      <c r="D296" s="9"/>
      <c r="E296" s="9"/>
      <c r="F296" s="9"/>
      <c r="G296" s="39" t="s">
        <v>3389</v>
      </c>
      <c r="H296" s="28" t="s">
        <v>3388</v>
      </c>
      <c r="I296" s="42" t="s">
        <v>58</v>
      </c>
      <c r="J296" s="28" t="s">
        <v>3388</v>
      </c>
      <c r="K296" s="28" t="s">
        <v>3387</v>
      </c>
    </row>
    <row r="297" spans="1:11" x14ac:dyDescent="0.35">
      <c r="A297" s="34"/>
      <c r="B297" s="10"/>
      <c r="C297" s="10"/>
      <c r="D297" s="32" t="s">
        <v>3386</v>
      </c>
      <c r="E297" s="33" t="s">
        <v>3385</v>
      </c>
      <c r="F297" s="32" t="s">
        <v>65</v>
      </c>
      <c r="G297" s="39" t="s">
        <v>3384</v>
      </c>
      <c r="H297" s="28" t="s">
        <v>3383</v>
      </c>
      <c r="I297" s="42" t="s">
        <v>58</v>
      </c>
      <c r="J297" s="28" t="s">
        <v>3383</v>
      </c>
      <c r="K297" s="28" t="s">
        <v>3382</v>
      </c>
    </row>
    <row r="298" spans="1:11" x14ac:dyDescent="0.35">
      <c r="A298" s="34"/>
      <c r="B298" s="10"/>
      <c r="C298" s="10"/>
      <c r="D298" s="9"/>
      <c r="E298" s="9"/>
      <c r="F298" s="9"/>
      <c r="G298" s="39" t="s">
        <v>3381</v>
      </c>
      <c r="H298" s="28" t="s">
        <v>3380</v>
      </c>
      <c r="I298" s="42" t="s">
        <v>58</v>
      </c>
      <c r="J298" s="28" t="s">
        <v>3380</v>
      </c>
      <c r="K298" s="28" t="s">
        <v>3379</v>
      </c>
    </row>
    <row r="299" spans="1:11" x14ac:dyDescent="0.35">
      <c r="A299" s="34"/>
      <c r="B299" s="10"/>
      <c r="C299" s="10"/>
      <c r="D299" s="32" t="s">
        <v>3378</v>
      </c>
      <c r="E299" s="33" t="s">
        <v>3377</v>
      </c>
      <c r="F299" s="32" t="s">
        <v>65</v>
      </c>
      <c r="G299" s="39" t="s">
        <v>3376</v>
      </c>
      <c r="H299" s="28" t="s">
        <v>3375</v>
      </c>
      <c r="I299" s="42" t="s">
        <v>58</v>
      </c>
      <c r="J299" s="28" t="s">
        <v>3375</v>
      </c>
      <c r="K299" s="28" t="s">
        <v>3374</v>
      </c>
    </row>
    <row r="300" spans="1:11" x14ac:dyDescent="0.35">
      <c r="A300" s="34"/>
      <c r="B300" s="10"/>
      <c r="C300" s="10"/>
      <c r="D300" s="9"/>
      <c r="E300" s="9"/>
      <c r="F300" s="9"/>
      <c r="G300" s="39" t="s">
        <v>3373</v>
      </c>
      <c r="H300" s="28" t="s">
        <v>3372</v>
      </c>
      <c r="I300" s="42" t="s">
        <v>58</v>
      </c>
      <c r="J300" s="28" t="s">
        <v>3372</v>
      </c>
      <c r="K300" s="28" t="s">
        <v>3371</v>
      </c>
    </row>
    <row r="301" spans="1:11" x14ac:dyDescent="0.35">
      <c r="A301" s="34"/>
      <c r="B301" s="10"/>
      <c r="C301" s="10"/>
      <c r="D301" s="32" t="s">
        <v>3370</v>
      </c>
      <c r="E301" s="33" t="s">
        <v>3369</v>
      </c>
      <c r="F301" s="32" t="s">
        <v>65</v>
      </c>
      <c r="G301" s="39" t="s">
        <v>3368</v>
      </c>
      <c r="H301" s="28" t="s">
        <v>3367</v>
      </c>
      <c r="I301" s="42" t="s">
        <v>58</v>
      </c>
      <c r="J301" s="28" t="s">
        <v>3367</v>
      </c>
      <c r="K301" s="28" t="s">
        <v>3366</v>
      </c>
    </row>
    <row r="302" spans="1:11" x14ac:dyDescent="0.35">
      <c r="A302" s="34"/>
      <c r="B302" s="10"/>
      <c r="C302" s="9"/>
      <c r="D302" s="9"/>
      <c r="E302" s="9"/>
      <c r="F302" s="9"/>
      <c r="G302" s="39" t="s">
        <v>3365</v>
      </c>
      <c r="H302" s="28" t="s">
        <v>3364</v>
      </c>
      <c r="I302" s="42" t="s">
        <v>58</v>
      </c>
      <c r="J302" s="28" t="s">
        <v>3364</v>
      </c>
      <c r="K302" s="28" t="s">
        <v>3363</v>
      </c>
    </row>
    <row r="303" spans="1:11" x14ac:dyDescent="0.35">
      <c r="A303" s="34"/>
      <c r="B303" s="10"/>
      <c r="C303" s="32" t="s">
        <v>3362</v>
      </c>
      <c r="D303" s="32" t="s">
        <v>3361</v>
      </c>
      <c r="E303" s="33" t="s">
        <v>3360</v>
      </c>
      <c r="F303" s="32" t="s">
        <v>244</v>
      </c>
      <c r="G303" s="39" t="s">
        <v>3359</v>
      </c>
      <c r="H303" s="28" t="s">
        <v>3358</v>
      </c>
      <c r="I303" s="42" t="s">
        <v>58</v>
      </c>
      <c r="J303" s="28" t="s">
        <v>3358</v>
      </c>
      <c r="K303" s="28" t="s">
        <v>3357</v>
      </c>
    </row>
    <row r="304" spans="1:11" x14ac:dyDescent="0.35">
      <c r="A304" s="34"/>
      <c r="B304" s="10"/>
      <c r="C304" s="10"/>
      <c r="D304" s="9"/>
      <c r="E304" s="9"/>
      <c r="F304" s="9"/>
      <c r="G304" s="39" t="s">
        <v>3356</v>
      </c>
      <c r="H304" s="28" t="s">
        <v>3355</v>
      </c>
      <c r="I304" s="42" t="s">
        <v>58</v>
      </c>
      <c r="J304" s="28" t="s">
        <v>3355</v>
      </c>
      <c r="K304" s="28" t="s">
        <v>3354</v>
      </c>
    </row>
    <row r="305" spans="1:11" x14ac:dyDescent="0.35">
      <c r="A305" s="34"/>
      <c r="B305" s="10"/>
      <c r="C305" s="10"/>
      <c r="D305" s="32" t="s">
        <v>3353</v>
      </c>
      <c r="E305" s="33" t="s">
        <v>3352</v>
      </c>
      <c r="F305" s="32" t="s">
        <v>65</v>
      </c>
      <c r="G305" s="39" t="s">
        <v>3351</v>
      </c>
      <c r="H305" s="28" t="s">
        <v>3350</v>
      </c>
      <c r="I305" s="42" t="s">
        <v>58</v>
      </c>
      <c r="J305" s="28" t="s">
        <v>3350</v>
      </c>
      <c r="K305" s="28" t="s">
        <v>3349</v>
      </c>
    </row>
    <row r="306" spans="1:11" x14ac:dyDescent="0.35">
      <c r="A306" s="34"/>
      <c r="B306" s="10"/>
      <c r="C306" s="10"/>
      <c r="D306" s="9"/>
      <c r="E306" s="9"/>
      <c r="F306" s="9"/>
      <c r="G306" s="39" t="s">
        <v>3348</v>
      </c>
      <c r="H306" s="28" t="s">
        <v>3347</v>
      </c>
      <c r="I306" s="42" t="s">
        <v>58</v>
      </c>
      <c r="J306" s="28" t="s">
        <v>3347</v>
      </c>
      <c r="K306" s="28" t="s">
        <v>3346</v>
      </c>
    </row>
    <row r="307" spans="1:11" x14ac:dyDescent="0.35">
      <c r="A307" s="34"/>
      <c r="B307" s="10"/>
      <c r="C307" s="10"/>
      <c r="D307" s="32" t="s">
        <v>3345</v>
      </c>
      <c r="E307" s="33" t="s">
        <v>3344</v>
      </c>
      <c r="F307" s="32" t="s">
        <v>244</v>
      </c>
      <c r="G307" s="39" t="s">
        <v>3343</v>
      </c>
      <c r="H307" s="28" t="s">
        <v>3342</v>
      </c>
      <c r="I307" s="42" t="s">
        <v>58</v>
      </c>
      <c r="J307" s="28" t="s">
        <v>3342</v>
      </c>
      <c r="K307" s="28" t="s">
        <v>3341</v>
      </c>
    </row>
    <row r="308" spans="1:11" x14ac:dyDescent="0.35">
      <c r="A308" s="34"/>
      <c r="B308" s="10"/>
      <c r="C308" s="10"/>
      <c r="D308" s="9"/>
      <c r="E308" s="9"/>
      <c r="F308" s="9"/>
      <c r="G308" s="39" t="s">
        <v>3340</v>
      </c>
      <c r="H308" s="28" t="s">
        <v>3339</v>
      </c>
      <c r="I308" s="42" t="s">
        <v>58</v>
      </c>
      <c r="J308" s="28" t="s">
        <v>3339</v>
      </c>
      <c r="K308" s="28" t="s">
        <v>3338</v>
      </c>
    </row>
    <row r="309" spans="1:11" x14ac:dyDescent="0.35">
      <c r="A309" s="34"/>
      <c r="B309" s="10"/>
      <c r="C309" s="10"/>
      <c r="D309" s="32" t="s">
        <v>3337</v>
      </c>
      <c r="E309" s="33" t="s">
        <v>3336</v>
      </c>
      <c r="F309" s="32" t="s">
        <v>244</v>
      </c>
      <c r="G309" s="39" t="s">
        <v>3335</v>
      </c>
      <c r="H309" s="28" t="s">
        <v>3334</v>
      </c>
      <c r="I309" s="42" t="s">
        <v>58</v>
      </c>
      <c r="J309" s="28" t="s">
        <v>3334</v>
      </c>
      <c r="K309" s="28" t="s">
        <v>3333</v>
      </c>
    </row>
    <row r="310" spans="1:11" x14ac:dyDescent="0.35">
      <c r="A310" s="34"/>
      <c r="B310" s="10"/>
      <c r="C310" s="10"/>
      <c r="D310" s="9"/>
      <c r="E310" s="9"/>
      <c r="F310" s="9"/>
      <c r="G310" s="39" t="s">
        <v>3332</v>
      </c>
      <c r="H310" s="28" t="s">
        <v>3331</v>
      </c>
      <c r="I310" s="42" t="s">
        <v>58</v>
      </c>
      <c r="J310" s="28" t="s">
        <v>3331</v>
      </c>
      <c r="K310" s="28" t="s">
        <v>3330</v>
      </c>
    </row>
    <row r="311" spans="1:11" x14ac:dyDescent="0.35">
      <c r="A311" s="34"/>
      <c r="B311" s="10"/>
      <c r="C311" s="10"/>
      <c r="D311" s="32" t="s">
        <v>3329</v>
      </c>
      <c r="E311" s="33" t="s">
        <v>3328</v>
      </c>
      <c r="F311" s="32" t="s">
        <v>65</v>
      </c>
      <c r="G311" s="39" t="s">
        <v>3327</v>
      </c>
      <c r="H311" s="28" t="s">
        <v>3326</v>
      </c>
      <c r="I311" s="42" t="s">
        <v>58</v>
      </c>
      <c r="J311" s="28" t="s">
        <v>3326</v>
      </c>
      <c r="K311" s="28" t="s">
        <v>3325</v>
      </c>
    </row>
    <row r="312" spans="1:11" x14ac:dyDescent="0.35">
      <c r="A312" s="34"/>
      <c r="B312" s="10"/>
      <c r="C312" s="9"/>
      <c r="D312" s="9"/>
      <c r="E312" s="9"/>
      <c r="F312" s="9"/>
      <c r="G312" s="39" t="s">
        <v>3324</v>
      </c>
      <c r="H312" s="28" t="s">
        <v>3323</v>
      </c>
      <c r="I312" s="42" t="s">
        <v>58</v>
      </c>
      <c r="J312" s="28" t="s">
        <v>3323</v>
      </c>
      <c r="K312" s="28" t="s">
        <v>3322</v>
      </c>
    </row>
    <row r="313" spans="1:11" x14ac:dyDescent="0.35">
      <c r="A313" s="34"/>
      <c r="B313" s="10"/>
      <c r="C313" s="32" t="s">
        <v>3321</v>
      </c>
      <c r="D313" s="32" t="s">
        <v>3320</v>
      </c>
      <c r="E313" s="33" t="s">
        <v>3319</v>
      </c>
      <c r="F313" s="32" t="s">
        <v>65</v>
      </c>
      <c r="G313" s="39" t="s">
        <v>3318</v>
      </c>
      <c r="H313" s="28" t="s">
        <v>3317</v>
      </c>
      <c r="I313" s="42" t="s">
        <v>58</v>
      </c>
      <c r="J313" s="28" t="s">
        <v>3317</v>
      </c>
      <c r="K313" s="28" t="s">
        <v>3316</v>
      </c>
    </row>
    <row r="314" spans="1:11" x14ac:dyDescent="0.35">
      <c r="A314" s="34"/>
      <c r="B314" s="10"/>
      <c r="C314" s="10"/>
      <c r="D314" s="9"/>
      <c r="E314" s="9"/>
      <c r="F314" s="9"/>
      <c r="G314" s="39" t="s">
        <v>3315</v>
      </c>
      <c r="H314" s="28" t="s">
        <v>3314</v>
      </c>
      <c r="I314" s="42" t="s">
        <v>58</v>
      </c>
      <c r="J314" s="28" t="s">
        <v>3314</v>
      </c>
      <c r="K314" s="28" t="s">
        <v>3313</v>
      </c>
    </row>
    <row r="315" spans="1:11" x14ac:dyDescent="0.35">
      <c r="A315" s="34"/>
      <c r="B315" s="10"/>
      <c r="C315" s="10"/>
      <c r="D315" s="32" t="s">
        <v>3312</v>
      </c>
      <c r="E315" s="33" t="s">
        <v>3311</v>
      </c>
      <c r="F315" s="32" t="s">
        <v>65</v>
      </c>
      <c r="G315" s="39" t="s">
        <v>3310</v>
      </c>
      <c r="H315" s="28" t="s">
        <v>3309</v>
      </c>
      <c r="I315" s="42" t="s">
        <v>58</v>
      </c>
      <c r="J315" s="28" t="s">
        <v>3309</v>
      </c>
      <c r="K315" s="28" t="s">
        <v>3308</v>
      </c>
    </row>
    <row r="316" spans="1:11" x14ac:dyDescent="0.35">
      <c r="A316" s="34"/>
      <c r="B316" s="10"/>
      <c r="C316" s="10"/>
      <c r="D316" s="9"/>
      <c r="E316" s="9"/>
      <c r="F316" s="9"/>
      <c r="G316" s="39" t="s">
        <v>3307</v>
      </c>
      <c r="H316" s="28" t="s">
        <v>3306</v>
      </c>
      <c r="I316" s="42" t="s">
        <v>58</v>
      </c>
      <c r="J316" s="28" t="s">
        <v>3306</v>
      </c>
      <c r="K316" s="28" t="s">
        <v>3305</v>
      </c>
    </row>
    <row r="317" spans="1:11" x14ac:dyDescent="0.35">
      <c r="A317" s="34"/>
      <c r="B317" s="10"/>
      <c r="C317" s="10"/>
      <c r="D317" s="32" t="s">
        <v>3304</v>
      </c>
      <c r="E317" s="33" t="s">
        <v>3303</v>
      </c>
      <c r="F317" s="32" t="s">
        <v>65</v>
      </c>
      <c r="G317" s="39" t="s">
        <v>3302</v>
      </c>
      <c r="H317" s="28" t="s">
        <v>3301</v>
      </c>
      <c r="I317" s="42" t="s">
        <v>58</v>
      </c>
      <c r="J317" s="28" t="s">
        <v>3301</v>
      </c>
      <c r="K317" s="28" t="s">
        <v>3300</v>
      </c>
    </row>
    <row r="318" spans="1:11" x14ac:dyDescent="0.35">
      <c r="A318" s="34"/>
      <c r="B318" s="10"/>
      <c r="C318" s="10"/>
      <c r="D318" s="9"/>
      <c r="E318" s="9"/>
      <c r="F318" s="9"/>
      <c r="G318" s="39" t="s">
        <v>3299</v>
      </c>
      <c r="H318" s="28" t="s">
        <v>3298</v>
      </c>
      <c r="I318" s="42" t="s">
        <v>58</v>
      </c>
      <c r="J318" s="28" t="s">
        <v>3297</v>
      </c>
      <c r="K318" s="28" t="s">
        <v>3296</v>
      </c>
    </row>
    <row r="319" spans="1:11" x14ac:dyDescent="0.35">
      <c r="A319" s="34"/>
      <c r="B319" s="10"/>
      <c r="C319" s="10"/>
      <c r="D319" s="32" t="s">
        <v>3295</v>
      </c>
      <c r="E319" s="33" t="s">
        <v>3294</v>
      </c>
      <c r="F319" s="32" t="s">
        <v>65</v>
      </c>
      <c r="G319" s="39" t="s">
        <v>3293</v>
      </c>
      <c r="H319" s="28" t="s">
        <v>3292</v>
      </c>
      <c r="I319" s="42" t="s">
        <v>58</v>
      </c>
      <c r="J319" s="28" t="s">
        <v>3291</v>
      </c>
      <c r="K319" s="28" t="s">
        <v>3290</v>
      </c>
    </row>
    <row r="320" spans="1:11" x14ac:dyDescent="0.35">
      <c r="A320" s="34"/>
      <c r="B320" s="10"/>
      <c r="C320" s="10"/>
      <c r="D320" s="9"/>
      <c r="E320" s="9"/>
      <c r="F320" s="9"/>
      <c r="G320" s="39" t="s">
        <v>3289</v>
      </c>
      <c r="H320" s="28" t="s">
        <v>3288</v>
      </c>
      <c r="I320" s="42" t="s">
        <v>58</v>
      </c>
      <c r="J320" s="28" t="s">
        <v>3287</v>
      </c>
      <c r="K320" s="28" t="s">
        <v>3286</v>
      </c>
    </row>
    <row r="321" spans="1:11" x14ac:dyDescent="0.35">
      <c r="A321" s="34"/>
      <c r="B321" s="10"/>
      <c r="C321" s="10"/>
      <c r="D321" s="32" t="s">
        <v>3285</v>
      </c>
      <c r="E321" s="33" t="s">
        <v>3284</v>
      </c>
      <c r="F321" s="32" t="s">
        <v>65</v>
      </c>
      <c r="G321" s="39" t="s">
        <v>3283</v>
      </c>
      <c r="H321" s="28" t="s">
        <v>3282</v>
      </c>
      <c r="I321" s="42" t="s">
        <v>58</v>
      </c>
      <c r="J321" s="28" t="s">
        <v>3281</v>
      </c>
      <c r="K321" s="28" t="s">
        <v>3280</v>
      </c>
    </row>
    <row r="322" spans="1:11" x14ac:dyDescent="0.35">
      <c r="A322" s="34"/>
      <c r="B322" s="10"/>
      <c r="C322" s="9"/>
      <c r="D322" s="9"/>
      <c r="E322" s="9"/>
      <c r="F322" s="9"/>
      <c r="G322" s="39" t="s">
        <v>3279</v>
      </c>
      <c r="H322" s="28" t="s">
        <v>3278</v>
      </c>
      <c r="I322" s="42" t="s">
        <v>58</v>
      </c>
      <c r="J322" s="28" t="s">
        <v>3277</v>
      </c>
      <c r="K322" s="28" t="s">
        <v>3276</v>
      </c>
    </row>
    <row r="323" spans="1:11" x14ac:dyDescent="0.35">
      <c r="A323" s="34"/>
      <c r="B323" s="10"/>
      <c r="C323" s="32" t="s">
        <v>3275</v>
      </c>
      <c r="D323" s="32" t="s">
        <v>3274</v>
      </c>
      <c r="E323" s="33" t="s">
        <v>3273</v>
      </c>
      <c r="F323" s="32" t="s">
        <v>244</v>
      </c>
      <c r="G323" s="39" t="s">
        <v>3272</v>
      </c>
      <c r="H323" s="28" t="s">
        <v>3271</v>
      </c>
      <c r="I323" s="42" t="s">
        <v>58</v>
      </c>
      <c r="J323" s="28" t="s">
        <v>3270</v>
      </c>
      <c r="K323" s="28" t="s">
        <v>3269</v>
      </c>
    </row>
    <row r="324" spans="1:11" x14ac:dyDescent="0.35">
      <c r="A324" s="34"/>
      <c r="B324" s="10"/>
      <c r="C324" s="10"/>
      <c r="D324" s="9"/>
      <c r="E324" s="9"/>
      <c r="F324" s="9"/>
      <c r="G324" s="39" t="s">
        <v>3268</v>
      </c>
      <c r="H324" s="28" t="s">
        <v>3267</v>
      </c>
      <c r="I324" s="42" t="s">
        <v>58</v>
      </c>
      <c r="J324" s="28" t="s">
        <v>3266</v>
      </c>
      <c r="K324" s="28" t="s">
        <v>3265</v>
      </c>
    </row>
    <row r="325" spans="1:11" x14ac:dyDescent="0.35">
      <c r="A325" s="34"/>
      <c r="B325" s="10"/>
      <c r="C325" s="10"/>
      <c r="D325" s="32" t="s">
        <v>3264</v>
      </c>
      <c r="E325" s="33" t="s">
        <v>3263</v>
      </c>
      <c r="F325" s="32" t="s">
        <v>244</v>
      </c>
      <c r="G325" s="39" t="s">
        <v>3262</v>
      </c>
      <c r="H325" s="28" t="s">
        <v>3261</v>
      </c>
      <c r="I325" s="42" t="s">
        <v>58</v>
      </c>
      <c r="J325" s="28" t="s">
        <v>3260</v>
      </c>
      <c r="K325" s="28" t="s">
        <v>3259</v>
      </c>
    </row>
    <row r="326" spans="1:11" x14ac:dyDescent="0.35">
      <c r="A326" s="34"/>
      <c r="B326" s="10"/>
      <c r="C326" s="10"/>
      <c r="D326" s="9"/>
      <c r="E326" s="9"/>
      <c r="F326" s="9"/>
      <c r="G326" s="39" t="s">
        <v>3258</v>
      </c>
      <c r="H326" s="28" t="s">
        <v>3257</v>
      </c>
      <c r="I326" s="42" t="s">
        <v>58</v>
      </c>
      <c r="J326" s="28" t="s">
        <v>3256</v>
      </c>
      <c r="K326" s="28" t="s">
        <v>3255</v>
      </c>
    </row>
    <row r="327" spans="1:11" x14ac:dyDescent="0.35">
      <c r="A327" s="34"/>
      <c r="B327" s="10"/>
      <c r="C327" s="10"/>
      <c r="D327" s="32" t="s">
        <v>3254</v>
      </c>
      <c r="E327" s="33" t="s">
        <v>3253</v>
      </c>
      <c r="F327" s="32" t="s">
        <v>244</v>
      </c>
      <c r="G327" s="39" t="s">
        <v>3252</v>
      </c>
      <c r="H327" s="28" t="s">
        <v>3251</v>
      </c>
      <c r="I327" s="42" t="s">
        <v>58</v>
      </c>
      <c r="J327" s="28" t="s">
        <v>3250</v>
      </c>
      <c r="K327" s="28" t="s">
        <v>3249</v>
      </c>
    </row>
    <row r="328" spans="1:11" x14ac:dyDescent="0.35">
      <c r="A328" s="34"/>
      <c r="B328" s="10"/>
      <c r="C328" s="10"/>
      <c r="D328" s="9"/>
      <c r="E328" s="9"/>
      <c r="F328" s="9"/>
      <c r="G328" s="39" t="s">
        <v>3248</v>
      </c>
      <c r="H328" s="28" t="s">
        <v>3247</v>
      </c>
      <c r="I328" s="42" t="s">
        <v>58</v>
      </c>
      <c r="J328" s="28" t="s">
        <v>3246</v>
      </c>
      <c r="K328" s="28" t="s">
        <v>3245</v>
      </c>
    </row>
    <row r="329" spans="1:11" x14ac:dyDescent="0.35">
      <c r="A329" s="34"/>
      <c r="B329" s="10"/>
      <c r="C329" s="10"/>
      <c r="D329" s="32" t="s">
        <v>3244</v>
      </c>
      <c r="E329" s="33" t="s">
        <v>3243</v>
      </c>
      <c r="F329" s="32" t="s">
        <v>65</v>
      </c>
      <c r="G329" s="39" t="s">
        <v>3242</v>
      </c>
      <c r="H329" s="28" t="s">
        <v>3241</v>
      </c>
      <c r="I329" s="42" t="s">
        <v>58</v>
      </c>
      <c r="J329" s="28" t="s">
        <v>3240</v>
      </c>
      <c r="K329" s="28" t="s">
        <v>3239</v>
      </c>
    </row>
    <row r="330" spans="1:11" x14ac:dyDescent="0.35">
      <c r="A330" s="34"/>
      <c r="B330" s="10"/>
      <c r="C330" s="10"/>
      <c r="D330" s="9"/>
      <c r="E330" s="9"/>
      <c r="F330" s="9"/>
      <c r="G330" s="39" t="s">
        <v>3238</v>
      </c>
      <c r="H330" s="28" t="s">
        <v>3237</v>
      </c>
      <c r="I330" s="42" t="s">
        <v>58</v>
      </c>
      <c r="J330" s="28" t="s">
        <v>3236</v>
      </c>
      <c r="K330" s="28" t="s">
        <v>3235</v>
      </c>
    </row>
    <row r="331" spans="1:11" x14ac:dyDescent="0.35">
      <c r="A331" s="34"/>
      <c r="B331" s="9"/>
      <c r="C331" s="10"/>
      <c r="D331" s="32" t="s">
        <v>3234</v>
      </c>
      <c r="E331" s="33" t="s">
        <v>3233</v>
      </c>
      <c r="F331" s="32" t="s">
        <v>65</v>
      </c>
      <c r="G331" s="39" t="s">
        <v>3232</v>
      </c>
      <c r="H331" s="28" t="s">
        <v>3231</v>
      </c>
      <c r="I331" s="42" t="s">
        <v>58</v>
      </c>
      <c r="J331" s="28" t="s">
        <v>3230</v>
      </c>
      <c r="K331" s="28" t="s">
        <v>3229</v>
      </c>
    </row>
    <row r="332" spans="1:11" x14ac:dyDescent="0.35">
      <c r="A332" s="34"/>
      <c r="B332" s="31"/>
      <c r="C332" s="9"/>
      <c r="D332" s="9"/>
      <c r="E332" s="9"/>
      <c r="F332" s="9"/>
      <c r="G332" s="39" t="s">
        <v>3228</v>
      </c>
      <c r="H332" s="28" t="s">
        <v>3227</v>
      </c>
      <c r="I332" s="42" t="s">
        <v>58</v>
      </c>
      <c r="J332" s="28" t="s">
        <v>3226</v>
      </c>
      <c r="K332" s="28" t="s">
        <v>3225</v>
      </c>
    </row>
    <row r="333" spans="1:11" x14ac:dyDescent="0.35">
      <c r="A333" s="34"/>
      <c r="B333" s="35" t="s">
        <v>3224</v>
      </c>
      <c r="C333" s="32" t="s">
        <v>3223</v>
      </c>
      <c r="D333" s="32" t="s">
        <v>3222</v>
      </c>
      <c r="E333" s="33" t="s">
        <v>3221</v>
      </c>
      <c r="F333" s="32" t="s">
        <v>65</v>
      </c>
      <c r="G333" s="39" t="s">
        <v>3220</v>
      </c>
      <c r="H333" s="28" t="s">
        <v>3219</v>
      </c>
      <c r="I333" s="42" t="s">
        <v>58</v>
      </c>
      <c r="J333" s="28" t="s">
        <v>3218</v>
      </c>
      <c r="K333" s="28" t="s">
        <v>3217</v>
      </c>
    </row>
    <row r="334" spans="1:11" x14ac:dyDescent="0.35">
      <c r="A334" s="34"/>
      <c r="B334" s="10"/>
      <c r="C334" s="10"/>
      <c r="D334" s="9"/>
      <c r="E334" s="9"/>
      <c r="F334" s="9"/>
      <c r="G334" s="39" t="s">
        <v>3216</v>
      </c>
      <c r="H334" s="28" t="s">
        <v>3215</v>
      </c>
      <c r="I334" s="42" t="s">
        <v>58</v>
      </c>
      <c r="J334" s="28" t="s">
        <v>3214</v>
      </c>
      <c r="K334" s="28" t="s">
        <v>3213</v>
      </c>
    </row>
    <row r="335" spans="1:11" x14ac:dyDescent="0.35">
      <c r="A335" s="34"/>
      <c r="B335" s="10"/>
      <c r="C335" s="10"/>
      <c r="D335" s="32" t="s">
        <v>3212</v>
      </c>
      <c r="E335" s="33" t="s">
        <v>3211</v>
      </c>
      <c r="F335" s="32" t="s">
        <v>244</v>
      </c>
      <c r="G335" s="39" t="s">
        <v>3210</v>
      </c>
      <c r="H335" s="28" t="s">
        <v>3209</v>
      </c>
      <c r="I335" s="42" t="s">
        <v>58</v>
      </c>
      <c r="J335" s="28" t="s">
        <v>3208</v>
      </c>
      <c r="K335" s="28" t="s">
        <v>3207</v>
      </c>
    </row>
    <row r="336" spans="1:11" x14ac:dyDescent="0.35">
      <c r="A336" s="34"/>
      <c r="B336" s="10"/>
      <c r="C336" s="10"/>
      <c r="D336" s="9"/>
      <c r="E336" s="9"/>
      <c r="F336" s="9"/>
      <c r="G336" s="39" t="s">
        <v>3206</v>
      </c>
      <c r="H336" s="28" t="s">
        <v>3205</v>
      </c>
      <c r="I336" s="42" t="s">
        <v>58</v>
      </c>
      <c r="J336" s="28" t="s">
        <v>3204</v>
      </c>
      <c r="K336" s="28" t="s">
        <v>3203</v>
      </c>
    </row>
    <row r="337" spans="1:11" x14ac:dyDescent="0.35">
      <c r="A337" s="34"/>
      <c r="B337" s="10"/>
      <c r="C337" s="10"/>
      <c r="D337" s="32" t="s">
        <v>3202</v>
      </c>
      <c r="E337" s="33" t="s">
        <v>3201</v>
      </c>
      <c r="F337" s="32" t="s">
        <v>65</v>
      </c>
      <c r="G337" s="39" t="s">
        <v>3200</v>
      </c>
      <c r="H337" s="28" t="s">
        <v>3199</v>
      </c>
      <c r="I337" s="42" t="s">
        <v>58</v>
      </c>
      <c r="J337" s="28" t="s">
        <v>3198</v>
      </c>
      <c r="K337" s="28" t="s">
        <v>3197</v>
      </c>
    </row>
    <row r="338" spans="1:11" x14ac:dyDescent="0.35">
      <c r="A338" s="34"/>
      <c r="B338" s="10"/>
      <c r="C338" s="10"/>
      <c r="D338" s="9"/>
      <c r="E338" s="9"/>
      <c r="F338" s="9"/>
      <c r="G338" s="39" t="s">
        <v>3196</v>
      </c>
      <c r="H338" s="28" t="s">
        <v>3195</v>
      </c>
      <c r="I338" s="42" t="s">
        <v>58</v>
      </c>
      <c r="J338" s="28" t="s">
        <v>3194</v>
      </c>
      <c r="K338" s="28" t="s">
        <v>3193</v>
      </c>
    </row>
    <row r="339" spans="1:11" x14ac:dyDescent="0.35">
      <c r="A339" s="34"/>
      <c r="B339" s="10"/>
      <c r="C339" s="10"/>
      <c r="D339" s="32" t="s">
        <v>3192</v>
      </c>
      <c r="E339" s="33" t="s">
        <v>3191</v>
      </c>
      <c r="F339" s="32" t="s">
        <v>244</v>
      </c>
      <c r="G339" s="39" t="s">
        <v>3190</v>
      </c>
      <c r="H339" s="28" t="s">
        <v>3189</v>
      </c>
      <c r="I339" s="42" t="s">
        <v>58</v>
      </c>
      <c r="J339" s="28" t="s">
        <v>3188</v>
      </c>
      <c r="K339" s="28" t="s">
        <v>3187</v>
      </c>
    </row>
    <row r="340" spans="1:11" x14ac:dyDescent="0.35">
      <c r="A340" s="34"/>
      <c r="B340" s="10"/>
      <c r="C340" s="10"/>
      <c r="D340" s="9"/>
      <c r="E340" s="9"/>
      <c r="F340" s="9"/>
      <c r="G340" s="39" t="s">
        <v>3096</v>
      </c>
      <c r="H340" s="28" t="s">
        <v>3186</v>
      </c>
      <c r="I340" s="41" t="s">
        <v>250</v>
      </c>
      <c r="J340" s="28" t="s">
        <v>3185</v>
      </c>
      <c r="K340" s="28" t="s">
        <v>3184</v>
      </c>
    </row>
    <row r="341" spans="1:11" x14ac:dyDescent="0.35">
      <c r="A341" s="34"/>
      <c r="B341" s="10"/>
      <c r="C341" s="10"/>
      <c r="D341" s="32" t="s">
        <v>3183</v>
      </c>
      <c r="E341" s="33" t="s">
        <v>3183</v>
      </c>
      <c r="F341" s="32" t="s">
        <v>65</v>
      </c>
      <c r="G341" s="39" t="s">
        <v>3182</v>
      </c>
      <c r="H341" s="28" t="s">
        <v>3181</v>
      </c>
      <c r="I341" s="41" t="s">
        <v>250</v>
      </c>
      <c r="J341" s="28" t="s">
        <v>3180</v>
      </c>
      <c r="K341" s="28" t="s">
        <v>3179</v>
      </c>
    </row>
    <row r="342" spans="1:11" x14ac:dyDescent="0.35">
      <c r="A342" s="34"/>
      <c r="B342" s="10"/>
      <c r="C342" s="9"/>
      <c r="D342" s="9"/>
      <c r="E342" s="9"/>
      <c r="F342" s="9"/>
      <c r="G342" s="39" t="s">
        <v>3178</v>
      </c>
      <c r="H342" s="28" t="s">
        <v>3177</v>
      </c>
      <c r="I342" s="41" t="s">
        <v>250</v>
      </c>
      <c r="J342" s="28" t="s">
        <v>3176</v>
      </c>
      <c r="K342" s="28" t="s">
        <v>3175</v>
      </c>
    </row>
    <row r="343" spans="1:11" x14ac:dyDescent="0.35">
      <c r="A343" s="34"/>
      <c r="B343" s="10"/>
      <c r="C343" s="32" t="s">
        <v>3174</v>
      </c>
      <c r="D343" s="32" t="s">
        <v>3173</v>
      </c>
      <c r="E343" s="33" t="s">
        <v>3172</v>
      </c>
      <c r="F343" s="32" t="s">
        <v>2545</v>
      </c>
      <c r="G343" s="39" t="s">
        <v>3171</v>
      </c>
      <c r="H343" s="28" t="s">
        <v>3170</v>
      </c>
      <c r="I343" s="41" t="s">
        <v>250</v>
      </c>
      <c r="J343" s="28" t="s">
        <v>3169</v>
      </c>
      <c r="K343" s="28" t="s">
        <v>3168</v>
      </c>
    </row>
    <row r="344" spans="1:11" x14ac:dyDescent="0.35">
      <c r="A344" s="34"/>
      <c r="B344" s="10"/>
      <c r="C344" s="10"/>
      <c r="D344" s="9"/>
      <c r="E344" s="9"/>
      <c r="F344" s="9"/>
      <c r="G344" s="39" t="s">
        <v>3167</v>
      </c>
      <c r="H344" s="28" t="s">
        <v>3166</v>
      </c>
      <c r="I344" s="41" t="s">
        <v>250</v>
      </c>
      <c r="J344" s="28" t="s">
        <v>3165</v>
      </c>
      <c r="K344" s="28" t="s">
        <v>3164</v>
      </c>
    </row>
    <row r="345" spans="1:11" x14ac:dyDescent="0.35">
      <c r="A345" s="34"/>
      <c r="B345" s="10"/>
      <c r="C345" s="10"/>
      <c r="D345" s="32" t="s">
        <v>3163</v>
      </c>
      <c r="E345" s="33" t="s">
        <v>3162</v>
      </c>
      <c r="F345" s="32" t="s">
        <v>65</v>
      </c>
      <c r="G345" s="39" t="s">
        <v>3161</v>
      </c>
      <c r="H345" s="28" t="s">
        <v>3160</v>
      </c>
      <c r="I345" s="41" t="s">
        <v>250</v>
      </c>
      <c r="J345" s="28" t="s">
        <v>3159</v>
      </c>
      <c r="K345" s="28" t="s">
        <v>3158</v>
      </c>
    </row>
    <row r="346" spans="1:11" x14ac:dyDescent="0.35">
      <c r="A346" s="34"/>
      <c r="B346" s="10"/>
      <c r="C346" s="10"/>
      <c r="D346" s="9"/>
      <c r="E346" s="9"/>
      <c r="F346" s="9"/>
      <c r="G346" s="39" t="s">
        <v>3157</v>
      </c>
      <c r="H346" s="28" t="s">
        <v>3156</v>
      </c>
      <c r="I346" s="38" t="s">
        <v>120</v>
      </c>
      <c r="J346" s="28" t="s">
        <v>3155</v>
      </c>
      <c r="K346" s="28" t="s">
        <v>3154</v>
      </c>
    </row>
    <row r="347" spans="1:11" x14ac:dyDescent="0.35">
      <c r="A347" s="34"/>
      <c r="B347" s="10"/>
      <c r="C347" s="10"/>
      <c r="D347" s="32" t="s">
        <v>3153</v>
      </c>
      <c r="E347" s="33" t="s">
        <v>3152</v>
      </c>
      <c r="F347" s="32" t="s">
        <v>65</v>
      </c>
      <c r="G347" s="39" t="s">
        <v>3151</v>
      </c>
      <c r="H347" s="28" t="s">
        <v>3150</v>
      </c>
      <c r="I347" s="38" t="s">
        <v>120</v>
      </c>
      <c r="J347" s="28" t="s">
        <v>3149</v>
      </c>
      <c r="K347" s="28" t="s">
        <v>3148</v>
      </c>
    </row>
    <row r="348" spans="1:11" x14ac:dyDescent="0.35">
      <c r="A348" s="34"/>
      <c r="B348" s="10"/>
      <c r="C348" s="10"/>
      <c r="D348" s="9"/>
      <c r="E348" s="9"/>
      <c r="F348" s="9"/>
      <c r="G348" s="39" t="s">
        <v>3147</v>
      </c>
      <c r="H348" s="28" t="s">
        <v>3146</v>
      </c>
      <c r="I348" s="38" t="s">
        <v>120</v>
      </c>
      <c r="J348" s="28" t="s">
        <v>3145</v>
      </c>
      <c r="K348" s="28" t="s">
        <v>3144</v>
      </c>
    </row>
    <row r="349" spans="1:11" x14ac:dyDescent="0.35">
      <c r="A349" s="34"/>
      <c r="B349" s="10"/>
      <c r="C349" s="10"/>
      <c r="D349" s="32" t="s">
        <v>3143</v>
      </c>
      <c r="E349" s="33" t="s">
        <v>3142</v>
      </c>
      <c r="F349" s="32" t="s">
        <v>2545</v>
      </c>
      <c r="G349" s="39" t="s">
        <v>3141</v>
      </c>
      <c r="H349" s="28" t="s">
        <v>3140</v>
      </c>
      <c r="I349" s="38" t="s">
        <v>120</v>
      </c>
      <c r="J349" s="28" t="s">
        <v>3139</v>
      </c>
      <c r="K349" s="28" t="s">
        <v>3138</v>
      </c>
    </row>
    <row r="350" spans="1:11" x14ac:dyDescent="0.35">
      <c r="A350" s="34"/>
      <c r="B350" s="10"/>
      <c r="C350" s="10"/>
      <c r="D350" s="9"/>
      <c r="E350" s="9"/>
      <c r="F350" s="9"/>
      <c r="G350" s="39" t="s">
        <v>3137</v>
      </c>
      <c r="H350" s="28" t="s">
        <v>3136</v>
      </c>
      <c r="I350" s="38" t="s">
        <v>120</v>
      </c>
      <c r="J350" s="28" t="s">
        <v>3135</v>
      </c>
      <c r="K350" s="28" t="s">
        <v>3134</v>
      </c>
    </row>
    <row r="351" spans="1:11" x14ac:dyDescent="0.35">
      <c r="A351" s="34"/>
      <c r="B351" s="10"/>
      <c r="C351" s="10"/>
      <c r="D351" s="32" t="s">
        <v>3133</v>
      </c>
      <c r="E351" s="33" t="s">
        <v>3132</v>
      </c>
      <c r="F351" s="32" t="s">
        <v>65</v>
      </c>
      <c r="G351" s="39" t="s">
        <v>3131</v>
      </c>
      <c r="H351" s="28" t="s">
        <v>3130</v>
      </c>
      <c r="I351" s="38" t="s">
        <v>120</v>
      </c>
      <c r="J351" s="28" t="s">
        <v>3129</v>
      </c>
      <c r="K351" s="28" t="s">
        <v>3128</v>
      </c>
    </row>
    <row r="352" spans="1:11" x14ac:dyDescent="0.35">
      <c r="A352" s="34"/>
      <c r="B352" s="10"/>
      <c r="C352" s="9"/>
      <c r="D352" s="9"/>
      <c r="E352" s="9"/>
      <c r="F352" s="9"/>
      <c r="G352" s="39" t="s">
        <v>3127</v>
      </c>
      <c r="H352" s="28" t="s">
        <v>3126</v>
      </c>
      <c r="I352" s="38" t="s">
        <v>120</v>
      </c>
      <c r="J352" s="28" t="s">
        <v>3125</v>
      </c>
      <c r="K352" s="28" t="s">
        <v>3124</v>
      </c>
    </row>
    <row r="353" spans="1:11" x14ac:dyDescent="0.35">
      <c r="A353" s="34"/>
      <c r="B353" s="10"/>
      <c r="C353" s="32" t="s">
        <v>3123</v>
      </c>
      <c r="D353" s="32" t="s">
        <v>3122</v>
      </c>
      <c r="E353" s="33" t="s">
        <v>3121</v>
      </c>
      <c r="F353" s="32" t="s">
        <v>65</v>
      </c>
      <c r="G353" s="39" t="s">
        <v>3120</v>
      </c>
      <c r="H353" s="28" t="s">
        <v>3119</v>
      </c>
      <c r="I353" s="38" t="s">
        <v>120</v>
      </c>
      <c r="J353" s="28" t="s">
        <v>3118</v>
      </c>
      <c r="K353" s="28" t="s">
        <v>3117</v>
      </c>
    </row>
    <row r="354" spans="1:11" x14ac:dyDescent="0.35">
      <c r="A354" s="34"/>
      <c r="B354" s="10"/>
      <c r="C354" s="10"/>
      <c r="D354" s="9"/>
      <c r="E354" s="9"/>
      <c r="F354" s="9"/>
      <c r="G354" s="39" t="s">
        <v>3116</v>
      </c>
      <c r="H354" s="28" t="s">
        <v>3115</v>
      </c>
      <c r="I354" s="38" t="s">
        <v>120</v>
      </c>
      <c r="J354" s="28" t="s">
        <v>3114</v>
      </c>
      <c r="K354" s="28" t="s">
        <v>3113</v>
      </c>
    </row>
    <row r="355" spans="1:11" x14ac:dyDescent="0.35">
      <c r="A355" s="34"/>
      <c r="B355" s="10"/>
      <c r="C355" s="10"/>
      <c r="D355" s="32" t="s">
        <v>3112</v>
      </c>
      <c r="E355" s="33" t="s">
        <v>3111</v>
      </c>
      <c r="F355" s="32" t="s">
        <v>65</v>
      </c>
      <c r="G355" s="39" t="s">
        <v>3110</v>
      </c>
      <c r="H355" s="28" t="s">
        <v>3109</v>
      </c>
      <c r="I355" s="38" t="s">
        <v>120</v>
      </c>
      <c r="J355" s="28" t="s">
        <v>3108</v>
      </c>
      <c r="K355" s="28" t="s">
        <v>3107</v>
      </c>
    </row>
    <row r="356" spans="1:11" x14ac:dyDescent="0.35">
      <c r="A356" s="34"/>
      <c r="B356" s="10"/>
      <c r="C356" s="10"/>
      <c r="D356" s="9"/>
      <c r="E356" s="9"/>
      <c r="F356" s="9"/>
      <c r="G356" s="39" t="s">
        <v>3106</v>
      </c>
      <c r="H356" s="28" t="s">
        <v>3105</v>
      </c>
      <c r="I356" s="38" t="s">
        <v>120</v>
      </c>
      <c r="J356" s="28" t="s">
        <v>3104</v>
      </c>
      <c r="K356" s="28" t="s">
        <v>3103</v>
      </c>
    </row>
    <row r="357" spans="1:11" x14ac:dyDescent="0.35">
      <c r="A357" s="34"/>
      <c r="B357" s="10"/>
      <c r="C357" s="10"/>
      <c r="D357" s="32" t="s">
        <v>3102</v>
      </c>
      <c r="E357" s="33" t="s">
        <v>3101</v>
      </c>
      <c r="F357" s="32" t="s">
        <v>244</v>
      </c>
      <c r="G357" s="39" t="s">
        <v>3100</v>
      </c>
      <c r="H357" s="28" t="s">
        <v>3099</v>
      </c>
      <c r="I357" s="38" t="s">
        <v>120</v>
      </c>
      <c r="J357" s="28" t="s">
        <v>3098</v>
      </c>
      <c r="K357" s="28" t="s">
        <v>3097</v>
      </c>
    </row>
    <row r="358" spans="1:11" x14ac:dyDescent="0.35">
      <c r="A358" s="34"/>
      <c r="B358" s="10"/>
      <c r="C358" s="10"/>
      <c r="D358" s="9"/>
      <c r="E358" s="9"/>
      <c r="F358" s="9"/>
      <c r="G358" s="39" t="s">
        <v>3096</v>
      </c>
      <c r="H358" s="28" t="s">
        <v>3095</v>
      </c>
      <c r="I358" s="38" t="s">
        <v>120</v>
      </c>
      <c r="J358" s="28" t="s">
        <v>3094</v>
      </c>
      <c r="K358" s="28" t="s">
        <v>3093</v>
      </c>
    </row>
    <row r="359" spans="1:11" x14ac:dyDescent="0.35">
      <c r="A359" s="34"/>
      <c r="B359" s="10"/>
      <c r="C359" s="10"/>
      <c r="D359" s="32" t="s">
        <v>3092</v>
      </c>
      <c r="E359" s="33" t="s">
        <v>3091</v>
      </c>
      <c r="F359" s="32" t="s">
        <v>65</v>
      </c>
      <c r="G359" s="39" t="s">
        <v>3090</v>
      </c>
      <c r="H359" s="28" t="s">
        <v>3089</v>
      </c>
      <c r="I359" s="38" t="s">
        <v>120</v>
      </c>
      <c r="J359" s="28" t="s">
        <v>3088</v>
      </c>
      <c r="K359" s="28" t="s">
        <v>3087</v>
      </c>
    </row>
    <row r="360" spans="1:11" x14ac:dyDescent="0.35">
      <c r="A360" s="34"/>
      <c r="B360" s="10"/>
      <c r="C360" s="10"/>
      <c r="D360" s="9"/>
      <c r="E360" s="9"/>
      <c r="F360" s="9"/>
      <c r="G360" s="39" t="s">
        <v>3086</v>
      </c>
      <c r="H360" s="28" t="s">
        <v>3085</v>
      </c>
      <c r="I360" s="38" t="s">
        <v>120</v>
      </c>
      <c r="J360" s="28" t="s">
        <v>3084</v>
      </c>
      <c r="K360" s="28" t="s">
        <v>3083</v>
      </c>
    </row>
    <row r="361" spans="1:11" x14ac:dyDescent="0.35">
      <c r="A361" s="34"/>
      <c r="B361" s="10"/>
      <c r="C361" s="10"/>
      <c r="D361" s="32" t="s">
        <v>3082</v>
      </c>
      <c r="E361" s="33" t="s">
        <v>3081</v>
      </c>
      <c r="F361" s="32" t="s">
        <v>65</v>
      </c>
      <c r="G361" s="39" t="s">
        <v>3080</v>
      </c>
      <c r="H361" s="28" t="s">
        <v>3079</v>
      </c>
      <c r="I361" s="38" t="s">
        <v>120</v>
      </c>
      <c r="J361" s="28" t="s">
        <v>3078</v>
      </c>
      <c r="K361" s="28" t="s">
        <v>3077</v>
      </c>
    </row>
    <row r="362" spans="1:11" x14ac:dyDescent="0.35">
      <c r="A362" s="34"/>
      <c r="B362" s="10"/>
      <c r="C362" s="9"/>
      <c r="D362" s="9"/>
      <c r="E362" s="9"/>
      <c r="F362" s="9"/>
      <c r="G362" s="39" t="s">
        <v>3076</v>
      </c>
      <c r="H362" s="28" t="s">
        <v>3075</v>
      </c>
      <c r="I362" s="38" t="s">
        <v>120</v>
      </c>
      <c r="J362" s="28" t="s">
        <v>3074</v>
      </c>
      <c r="K362" s="28" t="s">
        <v>3073</v>
      </c>
    </row>
    <row r="363" spans="1:11" x14ac:dyDescent="0.35">
      <c r="A363" s="34"/>
      <c r="B363" s="10"/>
      <c r="C363" s="32" t="s">
        <v>3072</v>
      </c>
      <c r="D363" s="32" t="s">
        <v>3071</v>
      </c>
      <c r="E363" s="33" t="s">
        <v>3070</v>
      </c>
      <c r="F363" s="32" t="s">
        <v>2545</v>
      </c>
      <c r="G363" s="39" t="s">
        <v>3069</v>
      </c>
      <c r="H363" s="28" t="s">
        <v>3068</v>
      </c>
      <c r="I363" s="38" t="s">
        <v>120</v>
      </c>
      <c r="J363" s="28" t="s">
        <v>3067</v>
      </c>
      <c r="K363" s="28" t="s">
        <v>3066</v>
      </c>
    </row>
    <row r="364" spans="1:11" x14ac:dyDescent="0.35">
      <c r="A364" s="34"/>
      <c r="B364" s="10"/>
      <c r="C364" s="10"/>
      <c r="D364" s="9"/>
      <c r="E364" s="9"/>
      <c r="F364" s="9"/>
      <c r="G364" s="39" t="s">
        <v>3065</v>
      </c>
      <c r="H364" s="28" t="s">
        <v>3064</v>
      </c>
      <c r="I364" s="38" t="s">
        <v>120</v>
      </c>
      <c r="J364" s="28" t="s">
        <v>3063</v>
      </c>
      <c r="K364" s="28" t="s">
        <v>3062</v>
      </c>
    </row>
    <row r="365" spans="1:11" x14ac:dyDescent="0.35">
      <c r="A365" s="34"/>
      <c r="B365" s="10"/>
      <c r="C365" s="10"/>
      <c r="D365" s="32" t="s">
        <v>3061</v>
      </c>
      <c r="E365" s="33" t="s">
        <v>3060</v>
      </c>
      <c r="F365" s="32" t="s">
        <v>65</v>
      </c>
      <c r="G365" s="39" t="s">
        <v>3059</v>
      </c>
      <c r="H365" s="28" t="s">
        <v>3058</v>
      </c>
      <c r="I365" s="38" t="s">
        <v>120</v>
      </c>
      <c r="J365" s="28" t="s">
        <v>3057</v>
      </c>
      <c r="K365" s="28" t="s">
        <v>3056</v>
      </c>
    </row>
    <row r="366" spans="1:11" x14ac:dyDescent="0.35">
      <c r="A366" s="34"/>
      <c r="B366" s="10"/>
      <c r="C366" s="10"/>
      <c r="D366" s="9"/>
      <c r="E366" s="9"/>
      <c r="F366" s="9"/>
      <c r="G366" s="39" t="s">
        <v>3055</v>
      </c>
      <c r="H366" s="28" t="s">
        <v>3054</v>
      </c>
      <c r="I366" s="38" t="s">
        <v>120</v>
      </c>
      <c r="J366" s="28" t="s">
        <v>3053</v>
      </c>
      <c r="K366" s="28" t="s">
        <v>3052</v>
      </c>
    </row>
    <row r="367" spans="1:11" x14ac:dyDescent="0.35">
      <c r="A367" s="34"/>
      <c r="B367" s="10"/>
      <c r="C367" s="10"/>
      <c r="D367" s="32" t="s">
        <v>3051</v>
      </c>
      <c r="E367" s="33" t="s">
        <v>3050</v>
      </c>
      <c r="F367" s="32" t="s">
        <v>65</v>
      </c>
      <c r="G367" s="39" t="s">
        <v>3049</v>
      </c>
      <c r="H367" s="28" t="s">
        <v>3048</v>
      </c>
      <c r="I367" s="38" t="s">
        <v>120</v>
      </c>
      <c r="J367" s="28" t="s">
        <v>3047</v>
      </c>
      <c r="K367" s="28" t="s">
        <v>3046</v>
      </c>
    </row>
    <row r="368" spans="1:11" x14ac:dyDescent="0.35">
      <c r="A368" s="34"/>
      <c r="B368" s="10"/>
      <c r="C368" s="10"/>
      <c r="D368" s="9"/>
      <c r="E368" s="9"/>
      <c r="F368" s="9"/>
      <c r="G368" s="39" t="s">
        <v>3045</v>
      </c>
      <c r="H368" s="28" t="s">
        <v>3044</v>
      </c>
      <c r="I368" s="38" t="s">
        <v>120</v>
      </c>
      <c r="J368" s="28" t="s">
        <v>3043</v>
      </c>
      <c r="K368" s="28" t="s">
        <v>3042</v>
      </c>
    </row>
    <row r="369" spans="1:11" x14ac:dyDescent="0.35">
      <c r="A369" s="34"/>
      <c r="B369" s="10"/>
      <c r="C369" s="10"/>
      <c r="D369" s="32" t="s">
        <v>3041</v>
      </c>
      <c r="E369" s="33" t="s">
        <v>3040</v>
      </c>
      <c r="F369" s="32" t="s">
        <v>244</v>
      </c>
      <c r="G369" s="39" t="s">
        <v>3039</v>
      </c>
      <c r="H369" s="28" t="s">
        <v>3038</v>
      </c>
      <c r="I369" s="38" t="s">
        <v>120</v>
      </c>
      <c r="J369" s="28" t="s">
        <v>3037</v>
      </c>
      <c r="K369" s="28" t="s">
        <v>3036</v>
      </c>
    </row>
    <row r="370" spans="1:11" x14ac:dyDescent="0.35">
      <c r="A370" s="34"/>
      <c r="B370" s="10"/>
      <c r="C370" s="10"/>
      <c r="D370" s="9"/>
      <c r="E370" s="9"/>
      <c r="F370" s="9"/>
      <c r="G370" s="39" t="s">
        <v>3035</v>
      </c>
      <c r="H370" s="28" t="s">
        <v>3034</v>
      </c>
      <c r="I370" s="38" t="s">
        <v>120</v>
      </c>
      <c r="J370" s="28" t="s">
        <v>3033</v>
      </c>
      <c r="K370" s="28" t="s">
        <v>3032</v>
      </c>
    </row>
    <row r="371" spans="1:11" x14ac:dyDescent="0.35">
      <c r="A371" s="34"/>
      <c r="B371" s="10"/>
      <c r="C371" s="10"/>
      <c r="D371" s="32" t="s">
        <v>3031</v>
      </c>
      <c r="E371" s="33" t="s">
        <v>3030</v>
      </c>
      <c r="F371" s="32" t="s">
        <v>65</v>
      </c>
      <c r="G371" s="39" t="s">
        <v>3029</v>
      </c>
      <c r="H371" s="28" t="s">
        <v>3028</v>
      </c>
      <c r="I371" s="38" t="s">
        <v>120</v>
      </c>
      <c r="J371" s="28" t="s">
        <v>3027</v>
      </c>
      <c r="K371" s="28" t="s">
        <v>3026</v>
      </c>
    </row>
    <row r="372" spans="1:11" x14ac:dyDescent="0.35">
      <c r="A372" s="34"/>
      <c r="B372" s="10"/>
      <c r="C372" s="9"/>
      <c r="D372" s="9"/>
      <c r="E372" s="9"/>
      <c r="F372" s="9"/>
      <c r="G372" s="39" t="s">
        <v>3025</v>
      </c>
      <c r="H372" s="28" t="s">
        <v>3024</v>
      </c>
      <c r="I372" s="38" t="s">
        <v>120</v>
      </c>
      <c r="J372" s="28" t="s">
        <v>3023</v>
      </c>
      <c r="K372" s="28" t="s">
        <v>3022</v>
      </c>
    </row>
    <row r="373" spans="1:11" x14ac:dyDescent="0.35">
      <c r="A373" s="34"/>
      <c r="B373" s="10"/>
      <c r="C373" s="32" t="s">
        <v>3021</v>
      </c>
      <c r="D373" s="32" t="s">
        <v>3020</v>
      </c>
      <c r="E373" s="33" t="s">
        <v>3019</v>
      </c>
      <c r="F373" s="32" t="s">
        <v>65</v>
      </c>
      <c r="G373" s="39" t="s">
        <v>3018</v>
      </c>
      <c r="H373" s="28" t="s">
        <v>3017</v>
      </c>
      <c r="I373" s="38" t="s">
        <v>120</v>
      </c>
      <c r="J373" s="28" t="s">
        <v>3016</v>
      </c>
      <c r="K373" s="28" t="s">
        <v>3015</v>
      </c>
    </row>
    <row r="374" spans="1:11" x14ac:dyDescent="0.35">
      <c r="A374" s="34"/>
      <c r="B374" s="10"/>
      <c r="C374" s="10"/>
      <c r="D374" s="9"/>
      <c r="E374" s="9"/>
      <c r="F374" s="9"/>
      <c r="G374" s="39" t="s">
        <v>3014</v>
      </c>
      <c r="H374" s="28" t="s">
        <v>3013</v>
      </c>
      <c r="I374" s="38" t="s">
        <v>120</v>
      </c>
      <c r="J374" s="28" t="s">
        <v>3012</v>
      </c>
      <c r="K374" s="28" t="s">
        <v>3011</v>
      </c>
    </row>
    <row r="375" spans="1:11" x14ac:dyDescent="0.35">
      <c r="A375" s="34"/>
      <c r="B375" s="10"/>
      <c r="C375" s="10"/>
      <c r="D375" s="32" t="s">
        <v>3010</v>
      </c>
      <c r="E375" s="33" t="s">
        <v>3009</v>
      </c>
      <c r="F375" s="32" t="s">
        <v>244</v>
      </c>
      <c r="G375" s="39" t="s">
        <v>3008</v>
      </c>
      <c r="H375" s="28" t="s">
        <v>3007</v>
      </c>
      <c r="I375" s="38" t="s">
        <v>120</v>
      </c>
      <c r="J375" s="28" t="s">
        <v>3006</v>
      </c>
      <c r="K375" s="28" t="s">
        <v>3005</v>
      </c>
    </row>
    <row r="376" spans="1:11" x14ac:dyDescent="0.35">
      <c r="A376" s="34"/>
      <c r="B376" s="10"/>
      <c r="C376" s="10"/>
      <c r="D376" s="9"/>
      <c r="E376" s="9"/>
      <c r="F376" s="9"/>
      <c r="G376" s="39" t="s">
        <v>3004</v>
      </c>
      <c r="H376" s="28" t="s">
        <v>3003</v>
      </c>
      <c r="I376" s="38" t="s">
        <v>120</v>
      </c>
      <c r="J376" s="28" t="s">
        <v>3002</v>
      </c>
      <c r="K376" s="28" t="s">
        <v>3001</v>
      </c>
    </row>
    <row r="377" spans="1:11" x14ac:dyDescent="0.35">
      <c r="A377" s="34"/>
      <c r="B377" s="10"/>
      <c r="C377" s="10"/>
      <c r="D377" s="32" t="s">
        <v>3000</v>
      </c>
      <c r="E377" s="33" t="s">
        <v>2999</v>
      </c>
      <c r="F377" s="32" t="s">
        <v>65</v>
      </c>
      <c r="G377" s="39" t="s">
        <v>2998</v>
      </c>
      <c r="H377" s="28" t="s">
        <v>2997</v>
      </c>
      <c r="I377" s="38" t="s">
        <v>120</v>
      </c>
      <c r="J377" s="28" t="s">
        <v>2996</v>
      </c>
      <c r="K377" s="28" t="s">
        <v>2995</v>
      </c>
    </row>
    <row r="378" spans="1:11" x14ac:dyDescent="0.35">
      <c r="A378" s="34"/>
      <c r="B378" s="10"/>
      <c r="C378" s="10"/>
      <c r="D378" s="9"/>
      <c r="E378" s="9"/>
      <c r="F378" s="9"/>
      <c r="G378" s="39" t="s">
        <v>2994</v>
      </c>
      <c r="H378" s="28" t="s">
        <v>2993</v>
      </c>
      <c r="I378" s="38" t="s">
        <v>120</v>
      </c>
      <c r="J378" s="28" t="s">
        <v>2992</v>
      </c>
      <c r="K378" s="28" t="s">
        <v>2991</v>
      </c>
    </row>
    <row r="379" spans="1:11" x14ac:dyDescent="0.35">
      <c r="A379" s="34"/>
      <c r="B379" s="10"/>
      <c r="C379" s="10"/>
      <c r="D379" s="32" t="s">
        <v>2990</v>
      </c>
      <c r="E379" s="33" t="s">
        <v>2989</v>
      </c>
      <c r="F379" s="32" t="s">
        <v>65</v>
      </c>
      <c r="G379" s="39" t="s">
        <v>2988</v>
      </c>
      <c r="H379" s="28" t="s">
        <v>2987</v>
      </c>
      <c r="I379" s="38" t="s">
        <v>120</v>
      </c>
      <c r="J379" s="28" t="s">
        <v>2986</v>
      </c>
      <c r="K379" s="28" t="s">
        <v>2985</v>
      </c>
    </row>
    <row r="380" spans="1:11" x14ac:dyDescent="0.35">
      <c r="A380" s="34"/>
      <c r="B380" s="10"/>
      <c r="C380" s="10"/>
      <c r="D380" s="9"/>
      <c r="E380" s="9"/>
      <c r="F380" s="9"/>
      <c r="G380" s="39" t="s">
        <v>2984</v>
      </c>
      <c r="H380" s="28" t="s">
        <v>2983</v>
      </c>
      <c r="I380" s="38" t="s">
        <v>120</v>
      </c>
      <c r="J380" s="28" t="s">
        <v>2982</v>
      </c>
      <c r="K380" s="28" t="s">
        <v>2981</v>
      </c>
    </row>
    <row r="381" spans="1:11" x14ac:dyDescent="0.35">
      <c r="A381" s="34"/>
      <c r="B381" s="10"/>
      <c r="C381" s="10"/>
      <c r="D381" s="32" t="s">
        <v>2980</v>
      </c>
      <c r="E381" s="33" t="s">
        <v>2979</v>
      </c>
      <c r="F381" s="32" t="s">
        <v>244</v>
      </c>
      <c r="G381" s="39" t="s">
        <v>2978</v>
      </c>
      <c r="H381" s="28" t="s">
        <v>2977</v>
      </c>
      <c r="I381" s="38" t="s">
        <v>120</v>
      </c>
      <c r="J381" s="28" t="s">
        <v>2976</v>
      </c>
      <c r="K381" s="28" t="s">
        <v>2975</v>
      </c>
    </row>
    <row r="382" spans="1:11" x14ac:dyDescent="0.35">
      <c r="A382" s="34"/>
      <c r="B382" s="10"/>
      <c r="C382" s="9"/>
      <c r="D382" s="9"/>
      <c r="E382" s="9"/>
      <c r="F382" s="9"/>
      <c r="G382" s="39" t="s">
        <v>2974</v>
      </c>
      <c r="H382" s="28" t="s">
        <v>2973</v>
      </c>
      <c r="I382" s="38" t="s">
        <v>120</v>
      </c>
      <c r="J382" s="28" t="s">
        <v>2972</v>
      </c>
      <c r="K382" s="28" t="s">
        <v>2971</v>
      </c>
    </row>
    <row r="383" spans="1:11" x14ac:dyDescent="0.35">
      <c r="A383" s="34"/>
      <c r="B383" s="10"/>
      <c r="C383" s="32" t="s">
        <v>2970</v>
      </c>
      <c r="D383" s="32" t="s">
        <v>2969</v>
      </c>
      <c r="E383" s="33" t="s">
        <v>2968</v>
      </c>
      <c r="F383" s="32" t="s">
        <v>244</v>
      </c>
      <c r="G383" s="39" t="s">
        <v>2967</v>
      </c>
      <c r="H383" s="28" t="s">
        <v>2966</v>
      </c>
      <c r="I383" s="40" t="s">
        <v>58</v>
      </c>
      <c r="J383" s="28" t="s">
        <v>2965</v>
      </c>
      <c r="K383" s="28" t="s">
        <v>2964</v>
      </c>
    </row>
    <row r="384" spans="1:11" x14ac:dyDescent="0.35">
      <c r="A384" s="34"/>
      <c r="B384" s="10"/>
      <c r="C384" s="10"/>
      <c r="D384" s="9"/>
      <c r="E384" s="9"/>
      <c r="F384" s="9"/>
      <c r="G384" s="39" t="s">
        <v>2963</v>
      </c>
      <c r="H384" s="28" t="s">
        <v>2962</v>
      </c>
      <c r="I384" s="40" t="s">
        <v>58</v>
      </c>
      <c r="J384" s="28" t="s">
        <v>2961</v>
      </c>
      <c r="K384" s="28" t="s">
        <v>2960</v>
      </c>
    </row>
    <row r="385" spans="1:11" x14ac:dyDescent="0.35">
      <c r="A385" s="34"/>
      <c r="B385" s="10"/>
      <c r="C385" s="10"/>
      <c r="D385" s="32" t="s">
        <v>2959</v>
      </c>
      <c r="E385" s="33" t="s">
        <v>2958</v>
      </c>
      <c r="F385" s="32" t="s">
        <v>65</v>
      </c>
      <c r="G385" s="39" t="s">
        <v>2957</v>
      </c>
      <c r="H385" s="28" t="s">
        <v>2956</v>
      </c>
      <c r="I385" s="40" t="s">
        <v>58</v>
      </c>
      <c r="J385" s="28" t="s">
        <v>2955</v>
      </c>
      <c r="K385" s="28" t="s">
        <v>2954</v>
      </c>
    </row>
    <row r="386" spans="1:11" x14ac:dyDescent="0.35">
      <c r="A386" s="34"/>
      <c r="B386" s="10"/>
      <c r="C386" s="10"/>
      <c r="D386" s="9"/>
      <c r="E386" s="9"/>
      <c r="F386" s="9"/>
      <c r="G386" s="39" t="s">
        <v>2953</v>
      </c>
      <c r="H386" s="28" t="s">
        <v>2952</v>
      </c>
      <c r="I386" s="40" t="s">
        <v>58</v>
      </c>
      <c r="J386" s="28" t="s">
        <v>2951</v>
      </c>
      <c r="K386" s="28" t="s">
        <v>2950</v>
      </c>
    </row>
    <row r="387" spans="1:11" x14ac:dyDescent="0.35">
      <c r="A387" s="34"/>
      <c r="B387" s="10"/>
      <c r="C387" s="10"/>
      <c r="D387" s="32" t="s">
        <v>2949</v>
      </c>
      <c r="E387" s="33" t="s">
        <v>2948</v>
      </c>
      <c r="F387" s="32" t="s">
        <v>65</v>
      </c>
      <c r="G387" s="39" t="s">
        <v>2947</v>
      </c>
      <c r="H387" s="28" t="s">
        <v>2946</v>
      </c>
      <c r="I387" s="40" t="s">
        <v>58</v>
      </c>
      <c r="J387" s="28" t="s">
        <v>2945</v>
      </c>
      <c r="K387" s="28" t="s">
        <v>2944</v>
      </c>
    </row>
    <row r="388" spans="1:11" x14ac:dyDescent="0.35">
      <c r="A388" s="34"/>
      <c r="B388" s="10"/>
      <c r="C388" s="10"/>
      <c r="D388" s="9"/>
      <c r="E388" s="9"/>
      <c r="F388" s="9"/>
      <c r="G388" s="39" t="s">
        <v>2943</v>
      </c>
      <c r="H388" s="28" t="s">
        <v>2942</v>
      </c>
      <c r="I388" s="40" t="s">
        <v>58</v>
      </c>
      <c r="J388" s="28" t="s">
        <v>2941</v>
      </c>
      <c r="K388" s="28" t="s">
        <v>2940</v>
      </c>
    </row>
    <row r="389" spans="1:11" x14ac:dyDescent="0.35">
      <c r="A389" s="34"/>
      <c r="B389" s="10"/>
      <c r="C389" s="10"/>
      <c r="D389" s="32" t="s">
        <v>2939</v>
      </c>
      <c r="E389" s="33" t="s">
        <v>2938</v>
      </c>
      <c r="F389" s="32" t="s">
        <v>244</v>
      </c>
      <c r="G389" s="39" t="s">
        <v>2937</v>
      </c>
      <c r="H389" s="28" t="s">
        <v>2936</v>
      </c>
      <c r="I389" s="40" t="s">
        <v>58</v>
      </c>
      <c r="J389" s="28" t="s">
        <v>2935</v>
      </c>
      <c r="K389" s="28" t="s">
        <v>2934</v>
      </c>
    </row>
    <row r="390" spans="1:11" x14ac:dyDescent="0.35">
      <c r="A390" s="34"/>
      <c r="B390" s="10"/>
      <c r="C390" s="10"/>
      <c r="D390" s="9"/>
      <c r="E390" s="9"/>
      <c r="F390" s="9"/>
      <c r="G390" s="39" t="s">
        <v>2933</v>
      </c>
      <c r="H390" s="28" t="s">
        <v>2932</v>
      </c>
      <c r="I390" s="40" t="s">
        <v>58</v>
      </c>
      <c r="J390" s="28" t="s">
        <v>2931</v>
      </c>
      <c r="K390" s="28" t="s">
        <v>2930</v>
      </c>
    </row>
    <row r="391" spans="1:11" x14ac:dyDescent="0.35">
      <c r="A391" s="34"/>
      <c r="B391" s="9"/>
      <c r="C391" s="10"/>
      <c r="D391" s="32" t="s">
        <v>2929</v>
      </c>
      <c r="E391" s="33" t="s">
        <v>2928</v>
      </c>
      <c r="F391" s="32" t="s">
        <v>65</v>
      </c>
      <c r="G391" s="39" t="s">
        <v>2927</v>
      </c>
      <c r="H391" s="28" t="s">
        <v>2926</v>
      </c>
      <c r="I391" s="40" t="s">
        <v>58</v>
      </c>
      <c r="J391" s="28" t="s">
        <v>2925</v>
      </c>
      <c r="K391" s="28" t="s">
        <v>2924</v>
      </c>
    </row>
    <row r="392" spans="1:11" x14ac:dyDescent="0.35">
      <c r="A392" s="34"/>
      <c r="B392" s="31"/>
      <c r="C392" s="9"/>
      <c r="D392" s="9"/>
      <c r="E392" s="9"/>
      <c r="F392" s="9"/>
      <c r="G392" s="39" t="s">
        <v>2923</v>
      </c>
      <c r="H392" s="28" t="s">
        <v>2922</v>
      </c>
      <c r="I392" s="40" t="s">
        <v>58</v>
      </c>
      <c r="J392" s="28" t="s">
        <v>2921</v>
      </c>
      <c r="K392" s="28" t="s">
        <v>2920</v>
      </c>
    </row>
    <row r="393" spans="1:11" x14ac:dyDescent="0.35">
      <c r="A393" s="34"/>
      <c r="B393" s="35" t="s">
        <v>2919</v>
      </c>
      <c r="C393" s="32" t="s">
        <v>2918</v>
      </c>
      <c r="D393" s="32" t="s">
        <v>2917</v>
      </c>
      <c r="E393" s="33" t="s">
        <v>2916</v>
      </c>
      <c r="F393" s="32" t="s">
        <v>65</v>
      </c>
      <c r="G393" s="39" t="s">
        <v>2915</v>
      </c>
      <c r="H393" s="28" t="s">
        <v>2914</v>
      </c>
      <c r="I393" s="40" t="s">
        <v>58</v>
      </c>
      <c r="J393" s="28" t="s">
        <v>2913</v>
      </c>
      <c r="K393" s="28" t="s">
        <v>2912</v>
      </c>
    </row>
    <row r="394" spans="1:11" x14ac:dyDescent="0.35">
      <c r="A394" s="34"/>
      <c r="B394" s="10"/>
      <c r="C394" s="10"/>
      <c r="D394" s="9"/>
      <c r="E394" s="9"/>
      <c r="F394" s="9"/>
      <c r="G394" s="39" t="s">
        <v>2911</v>
      </c>
      <c r="H394" s="28" t="s">
        <v>2910</v>
      </c>
      <c r="I394" s="40" t="s">
        <v>58</v>
      </c>
      <c r="J394" s="28" t="s">
        <v>2909</v>
      </c>
      <c r="K394" s="28" t="s">
        <v>2908</v>
      </c>
    </row>
    <row r="395" spans="1:11" x14ac:dyDescent="0.35">
      <c r="A395" s="34"/>
      <c r="B395" s="10"/>
      <c r="C395" s="10"/>
      <c r="D395" s="32" t="s">
        <v>2907</v>
      </c>
      <c r="E395" s="33" t="s">
        <v>2906</v>
      </c>
      <c r="F395" s="32" t="s">
        <v>244</v>
      </c>
      <c r="G395" s="39" t="s">
        <v>2905</v>
      </c>
      <c r="H395" s="28" t="s">
        <v>2904</v>
      </c>
      <c r="I395" s="40" t="s">
        <v>58</v>
      </c>
      <c r="J395" s="28" t="s">
        <v>2903</v>
      </c>
      <c r="K395" s="28" t="s">
        <v>2902</v>
      </c>
    </row>
    <row r="396" spans="1:11" x14ac:dyDescent="0.35">
      <c r="A396" s="34"/>
      <c r="B396" s="10"/>
      <c r="C396" s="10"/>
      <c r="D396" s="9"/>
      <c r="E396" s="9"/>
      <c r="F396" s="9"/>
      <c r="G396" s="39" t="s">
        <v>2901</v>
      </c>
      <c r="H396" s="28" t="s">
        <v>2900</v>
      </c>
      <c r="I396" s="40" t="s">
        <v>58</v>
      </c>
      <c r="J396" s="28" t="s">
        <v>2899</v>
      </c>
      <c r="K396" s="28" t="s">
        <v>2898</v>
      </c>
    </row>
    <row r="397" spans="1:11" x14ac:dyDescent="0.35">
      <c r="A397" s="34"/>
      <c r="B397" s="10"/>
      <c r="C397" s="10"/>
      <c r="D397" s="32" t="s">
        <v>2897</v>
      </c>
      <c r="E397" s="33" t="s">
        <v>2896</v>
      </c>
      <c r="F397" s="32" t="s">
        <v>244</v>
      </c>
      <c r="G397" s="39" t="s">
        <v>2895</v>
      </c>
      <c r="H397" s="28" t="s">
        <v>2894</v>
      </c>
      <c r="I397" s="40" t="s">
        <v>58</v>
      </c>
      <c r="J397" s="28" t="s">
        <v>2893</v>
      </c>
      <c r="K397" s="28" t="s">
        <v>2892</v>
      </c>
    </row>
    <row r="398" spans="1:11" x14ac:dyDescent="0.35">
      <c r="A398" s="34"/>
      <c r="B398" s="10"/>
      <c r="C398" s="10"/>
      <c r="D398" s="9"/>
      <c r="E398" s="9"/>
      <c r="F398" s="9"/>
      <c r="G398" s="39" t="s">
        <v>2891</v>
      </c>
      <c r="H398" s="28" t="s">
        <v>2890</v>
      </c>
      <c r="I398" s="40" t="s">
        <v>58</v>
      </c>
      <c r="J398" s="28" t="s">
        <v>2889</v>
      </c>
      <c r="K398" s="28" t="s">
        <v>2888</v>
      </c>
    </row>
    <row r="399" spans="1:11" x14ac:dyDescent="0.35">
      <c r="A399" s="34"/>
      <c r="B399" s="10"/>
      <c r="C399" s="10"/>
      <c r="D399" s="32" t="s">
        <v>2887</v>
      </c>
      <c r="E399" s="33" t="s">
        <v>2886</v>
      </c>
      <c r="F399" s="32" t="s">
        <v>2545</v>
      </c>
      <c r="G399" s="39" t="s">
        <v>2885</v>
      </c>
      <c r="H399" s="28" t="s">
        <v>2884</v>
      </c>
      <c r="I399" s="40" t="s">
        <v>58</v>
      </c>
      <c r="J399" s="28" t="s">
        <v>2883</v>
      </c>
      <c r="K399" s="28" t="s">
        <v>2882</v>
      </c>
    </row>
    <row r="400" spans="1:11" x14ac:dyDescent="0.35">
      <c r="A400" s="34"/>
      <c r="B400" s="10"/>
      <c r="C400" s="10"/>
      <c r="D400" s="9"/>
      <c r="E400" s="9"/>
      <c r="F400" s="9"/>
      <c r="G400" s="39" t="s">
        <v>2881</v>
      </c>
      <c r="H400" s="28" t="s">
        <v>2880</v>
      </c>
      <c r="I400" s="40" t="s">
        <v>58</v>
      </c>
      <c r="J400" s="28" t="s">
        <v>2879</v>
      </c>
      <c r="K400" s="28" t="s">
        <v>2878</v>
      </c>
    </row>
    <row r="401" spans="1:11" x14ac:dyDescent="0.35">
      <c r="A401" s="34"/>
      <c r="B401" s="10"/>
      <c r="C401" s="10"/>
      <c r="D401" s="32" t="s">
        <v>2877</v>
      </c>
      <c r="E401" s="33" t="s">
        <v>2876</v>
      </c>
      <c r="F401" s="32" t="s">
        <v>65</v>
      </c>
      <c r="G401" s="39" t="s">
        <v>2875</v>
      </c>
      <c r="H401" s="28" t="s">
        <v>2874</v>
      </c>
      <c r="I401" s="40" t="s">
        <v>58</v>
      </c>
      <c r="J401" s="28" t="s">
        <v>2873</v>
      </c>
      <c r="K401" s="28" t="s">
        <v>2872</v>
      </c>
    </row>
    <row r="402" spans="1:11" x14ac:dyDescent="0.35">
      <c r="A402" s="34"/>
      <c r="B402" s="10"/>
      <c r="C402" s="9"/>
      <c r="D402" s="9"/>
      <c r="E402" s="9"/>
      <c r="F402" s="9"/>
      <c r="G402" s="39" t="s">
        <v>2871</v>
      </c>
      <c r="H402" s="28" t="s">
        <v>2870</v>
      </c>
      <c r="I402" s="40" t="s">
        <v>58</v>
      </c>
      <c r="J402" s="28" t="s">
        <v>2869</v>
      </c>
      <c r="K402" s="28" t="s">
        <v>2868</v>
      </c>
    </row>
    <row r="403" spans="1:11" x14ac:dyDescent="0.35">
      <c r="A403" s="34"/>
      <c r="B403" s="10"/>
      <c r="C403" s="32" t="s">
        <v>2867</v>
      </c>
      <c r="D403" s="32" t="s">
        <v>2866</v>
      </c>
      <c r="E403" s="33" t="s">
        <v>2865</v>
      </c>
      <c r="F403" s="32" t="s">
        <v>65</v>
      </c>
      <c r="G403" s="39" t="s">
        <v>2864</v>
      </c>
      <c r="H403" s="28" t="s">
        <v>2863</v>
      </c>
      <c r="I403" s="40" t="s">
        <v>58</v>
      </c>
      <c r="J403" s="28" t="s">
        <v>2862</v>
      </c>
      <c r="K403" s="28" t="s">
        <v>2861</v>
      </c>
    </row>
    <row r="404" spans="1:11" x14ac:dyDescent="0.35">
      <c r="A404" s="34"/>
      <c r="B404" s="10"/>
      <c r="C404" s="10"/>
      <c r="D404" s="9"/>
      <c r="E404" s="9"/>
      <c r="F404" s="9"/>
      <c r="G404" s="39" t="s">
        <v>2860</v>
      </c>
      <c r="H404" s="28" t="s">
        <v>2859</v>
      </c>
      <c r="I404" s="40" t="s">
        <v>58</v>
      </c>
      <c r="J404" s="28" t="s">
        <v>2858</v>
      </c>
      <c r="K404" s="28" t="s">
        <v>2857</v>
      </c>
    </row>
    <row r="405" spans="1:11" x14ac:dyDescent="0.35">
      <c r="A405" s="34"/>
      <c r="B405" s="10"/>
      <c r="C405" s="10"/>
      <c r="D405" s="32" t="s">
        <v>2856</v>
      </c>
      <c r="E405" s="33" t="s">
        <v>2855</v>
      </c>
      <c r="F405" s="32" t="s">
        <v>2545</v>
      </c>
      <c r="G405" s="39" t="s">
        <v>2854</v>
      </c>
      <c r="H405" s="28" t="s">
        <v>2853</v>
      </c>
      <c r="I405" s="40" t="s">
        <v>58</v>
      </c>
      <c r="J405" s="28" t="s">
        <v>2852</v>
      </c>
      <c r="K405" s="28" t="s">
        <v>2851</v>
      </c>
    </row>
    <row r="406" spans="1:11" x14ac:dyDescent="0.35">
      <c r="A406" s="34"/>
      <c r="B406" s="10"/>
      <c r="C406" s="10"/>
      <c r="D406" s="9"/>
      <c r="E406" s="9"/>
      <c r="F406" s="9"/>
      <c r="G406" s="39" t="s">
        <v>2850</v>
      </c>
      <c r="H406" s="28" t="s">
        <v>2849</v>
      </c>
      <c r="I406" s="40" t="s">
        <v>58</v>
      </c>
      <c r="J406" s="28" t="s">
        <v>2848</v>
      </c>
      <c r="K406" s="28" t="s">
        <v>2847</v>
      </c>
    </row>
    <row r="407" spans="1:11" x14ac:dyDescent="0.35">
      <c r="A407" s="34"/>
      <c r="B407" s="10"/>
      <c r="C407" s="10"/>
      <c r="D407" s="32" t="s">
        <v>2846</v>
      </c>
      <c r="E407" s="33" t="s">
        <v>2845</v>
      </c>
      <c r="F407" s="32" t="s">
        <v>65</v>
      </c>
      <c r="G407" s="39" t="s">
        <v>2844</v>
      </c>
      <c r="H407" s="28" t="s">
        <v>2843</v>
      </c>
      <c r="I407" s="40" t="s">
        <v>58</v>
      </c>
      <c r="J407" s="28" t="s">
        <v>2842</v>
      </c>
      <c r="K407" s="28" t="s">
        <v>2841</v>
      </c>
    </row>
    <row r="408" spans="1:11" x14ac:dyDescent="0.35">
      <c r="A408" s="34"/>
      <c r="B408" s="10"/>
      <c r="C408" s="10"/>
      <c r="D408" s="9"/>
      <c r="E408" s="9"/>
      <c r="F408" s="9"/>
      <c r="G408" s="39" t="s">
        <v>2840</v>
      </c>
      <c r="H408" s="28" t="s">
        <v>2839</v>
      </c>
      <c r="I408" s="40" t="s">
        <v>58</v>
      </c>
      <c r="J408" s="28" t="s">
        <v>2838</v>
      </c>
      <c r="K408" s="28" t="s">
        <v>2837</v>
      </c>
    </row>
    <row r="409" spans="1:11" x14ac:dyDescent="0.35">
      <c r="A409" s="34"/>
      <c r="B409" s="10"/>
      <c r="C409" s="10"/>
      <c r="D409" s="32" t="s">
        <v>2836</v>
      </c>
      <c r="E409" s="33" t="s">
        <v>2835</v>
      </c>
      <c r="F409" s="32" t="s">
        <v>65</v>
      </c>
      <c r="G409" s="39" t="s">
        <v>2834</v>
      </c>
      <c r="H409" s="28" t="s">
        <v>2833</v>
      </c>
      <c r="I409" s="40" t="s">
        <v>58</v>
      </c>
      <c r="J409" s="28" t="s">
        <v>2832</v>
      </c>
      <c r="K409" s="28" t="s">
        <v>2831</v>
      </c>
    </row>
    <row r="410" spans="1:11" x14ac:dyDescent="0.35">
      <c r="A410" s="34"/>
      <c r="B410" s="10"/>
      <c r="C410" s="10"/>
      <c r="D410" s="9"/>
      <c r="E410" s="9"/>
      <c r="F410" s="9"/>
      <c r="G410" s="39" t="s">
        <v>2830</v>
      </c>
      <c r="H410" s="28" t="s">
        <v>2829</v>
      </c>
      <c r="I410" s="40" t="s">
        <v>58</v>
      </c>
      <c r="J410" s="28" t="s">
        <v>2828</v>
      </c>
      <c r="K410" s="28" t="s">
        <v>2827</v>
      </c>
    </row>
    <row r="411" spans="1:11" x14ac:dyDescent="0.35">
      <c r="A411" s="34"/>
      <c r="B411" s="10"/>
      <c r="C411" s="10"/>
      <c r="D411" s="32" t="s">
        <v>2826</v>
      </c>
      <c r="E411" s="33" t="s">
        <v>2825</v>
      </c>
      <c r="F411" s="32" t="s">
        <v>65</v>
      </c>
      <c r="G411" s="39" t="s">
        <v>2824</v>
      </c>
      <c r="H411" s="28" t="s">
        <v>2823</v>
      </c>
      <c r="I411" s="38" t="s">
        <v>120</v>
      </c>
      <c r="J411" s="28" t="s">
        <v>2822</v>
      </c>
      <c r="K411" s="28" t="s">
        <v>2821</v>
      </c>
    </row>
    <row r="412" spans="1:11" x14ac:dyDescent="0.35">
      <c r="A412" s="34"/>
      <c r="B412" s="10"/>
      <c r="C412" s="9"/>
      <c r="D412" s="9"/>
      <c r="E412" s="9"/>
      <c r="F412" s="9"/>
      <c r="G412" s="39" t="s">
        <v>2820</v>
      </c>
      <c r="H412" s="28" t="s">
        <v>2819</v>
      </c>
      <c r="I412" s="38" t="s">
        <v>120</v>
      </c>
      <c r="J412" s="28" t="s">
        <v>2818</v>
      </c>
      <c r="K412" s="28" t="s">
        <v>2817</v>
      </c>
    </row>
    <row r="413" spans="1:11" x14ac:dyDescent="0.35">
      <c r="A413" s="34"/>
      <c r="B413" s="10"/>
      <c r="C413" s="32" t="s">
        <v>2816</v>
      </c>
      <c r="D413" s="32" t="s">
        <v>2815</v>
      </c>
      <c r="E413" s="33" t="s">
        <v>2814</v>
      </c>
      <c r="F413" s="32" t="s">
        <v>65</v>
      </c>
      <c r="G413" s="39" t="s">
        <v>2813</v>
      </c>
      <c r="H413" s="28" t="s">
        <v>2812</v>
      </c>
      <c r="I413" s="38" t="s">
        <v>120</v>
      </c>
      <c r="J413" s="28" t="s">
        <v>2811</v>
      </c>
      <c r="K413" s="28" t="s">
        <v>2810</v>
      </c>
    </row>
    <row r="414" spans="1:11" x14ac:dyDescent="0.35">
      <c r="A414" s="34"/>
      <c r="B414" s="10"/>
      <c r="C414" s="10"/>
      <c r="D414" s="9"/>
      <c r="E414" s="9"/>
      <c r="F414" s="9"/>
      <c r="G414" s="39" t="s">
        <v>2809</v>
      </c>
      <c r="H414" s="28" t="s">
        <v>2808</v>
      </c>
      <c r="I414" s="38" t="s">
        <v>120</v>
      </c>
      <c r="J414" s="28" t="s">
        <v>2807</v>
      </c>
      <c r="K414" s="28" t="s">
        <v>2806</v>
      </c>
    </row>
    <row r="415" spans="1:11" x14ac:dyDescent="0.35">
      <c r="A415" s="34"/>
      <c r="B415" s="10"/>
      <c r="C415" s="10"/>
      <c r="D415" s="32" t="s">
        <v>2805</v>
      </c>
      <c r="E415" s="33" t="s">
        <v>2804</v>
      </c>
      <c r="F415" s="32" t="s">
        <v>65</v>
      </c>
      <c r="G415" s="39" t="s">
        <v>2803</v>
      </c>
      <c r="H415" s="28" t="s">
        <v>2802</v>
      </c>
      <c r="I415" s="38" t="s">
        <v>120</v>
      </c>
      <c r="J415" s="28" t="s">
        <v>2801</v>
      </c>
      <c r="K415" s="28" t="s">
        <v>2800</v>
      </c>
    </row>
    <row r="416" spans="1:11" x14ac:dyDescent="0.35">
      <c r="A416" s="34"/>
      <c r="B416" s="10"/>
      <c r="C416" s="10"/>
      <c r="D416" s="9"/>
      <c r="E416" s="9"/>
      <c r="F416" s="9"/>
      <c r="G416" s="39" t="s">
        <v>2799</v>
      </c>
      <c r="H416" s="28" t="s">
        <v>2798</v>
      </c>
      <c r="I416" s="38" t="s">
        <v>120</v>
      </c>
      <c r="J416" s="28" t="s">
        <v>2797</v>
      </c>
      <c r="K416" s="28" t="s">
        <v>2796</v>
      </c>
    </row>
    <row r="417" spans="1:11" x14ac:dyDescent="0.35">
      <c r="A417" s="34"/>
      <c r="B417" s="10"/>
      <c r="C417" s="10"/>
      <c r="D417" s="32" t="s">
        <v>2795</v>
      </c>
      <c r="E417" s="33" t="s">
        <v>2794</v>
      </c>
      <c r="F417" s="32" t="s">
        <v>244</v>
      </c>
      <c r="G417" s="39" t="s">
        <v>2793</v>
      </c>
      <c r="H417" s="28" t="s">
        <v>2792</v>
      </c>
      <c r="I417" s="38" t="s">
        <v>120</v>
      </c>
      <c r="J417" s="28" t="s">
        <v>2791</v>
      </c>
      <c r="K417" s="28" t="s">
        <v>2790</v>
      </c>
    </row>
    <row r="418" spans="1:11" x14ac:dyDescent="0.35">
      <c r="A418" s="34"/>
      <c r="B418" s="10"/>
      <c r="C418" s="10"/>
      <c r="D418" s="9"/>
      <c r="E418" s="9"/>
      <c r="F418" s="9"/>
      <c r="G418" s="39" t="s">
        <v>2789</v>
      </c>
      <c r="H418" s="28" t="s">
        <v>2788</v>
      </c>
      <c r="I418" s="38" t="s">
        <v>120</v>
      </c>
      <c r="J418" s="28" t="s">
        <v>2787</v>
      </c>
      <c r="K418" s="28" t="s">
        <v>2786</v>
      </c>
    </row>
    <row r="419" spans="1:11" x14ac:dyDescent="0.35">
      <c r="A419" s="34"/>
      <c r="B419" s="10"/>
      <c r="C419" s="10"/>
      <c r="D419" s="32" t="s">
        <v>2785</v>
      </c>
      <c r="E419" s="33" t="s">
        <v>2784</v>
      </c>
      <c r="F419" s="32" t="s">
        <v>244</v>
      </c>
      <c r="G419" s="39" t="s">
        <v>2783</v>
      </c>
      <c r="H419" s="28" t="s">
        <v>2782</v>
      </c>
      <c r="I419" s="38" t="s">
        <v>120</v>
      </c>
      <c r="J419" s="28" t="s">
        <v>2781</v>
      </c>
      <c r="K419" s="28" t="s">
        <v>2780</v>
      </c>
    </row>
    <row r="420" spans="1:11" x14ac:dyDescent="0.35">
      <c r="A420" s="34"/>
      <c r="B420" s="10"/>
      <c r="C420" s="10"/>
      <c r="D420" s="9"/>
      <c r="E420" s="9"/>
      <c r="F420" s="9"/>
      <c r="G420" s="39" t="s">
        <v>2779</v>
      </c>
      <c r="H420" s="28" t="s">
        <v>2778</v>
      </c>
      <c r="I420" s="38" t="s">
        <v>120</v>
      </c>
      <c r="J420" s="28" t="s">
        <v>2777</v>
      </c>
      <c r="K420" s="28" t="s">
        <v>2776</v>
      </c>
    </row>
    <row r="421" spans="1:11" x14ac:dyDescent="0.35">
      <c r="A421" s="34"/>
      <c r="B421" s="10"/>
      <c r="C421" s="10"/>
      <c r="D421" s="32" t="s">
        <v>2775</v>
      </c>
      <c r="E421" s="33" t="s">
        <v>2774</v>
      </c>
      <c r="F421" s="32" t="s">
        <v>65</v>
      </c>
      <c r="G421" s="39" t="s">
        <v>2773</v>
      </c>
      <c r="H421" s="28" t="s">
        <v>2772</v>
      </c>
      <c r="I421" s="38" t="s">
        <v>120</v>
      </c>
      <c r="J421" s="28" t="s">
        <v>2771</v>
      </c>
      <c r="K421" s="28" t="s">
        <v>2770</v>
      </c>
    </row>
    <row r="422" spans="1:11" x14ac:dyDescent="0.35">
      <c r="A422" s="34"/>
      <c r="B422" s="10"/>
      <c r="C422" s="9"/>
      <c r="D422" s="9"/>
      <c r="E422" s="9"/>
      <c r="F422" s="9"/>
      <c r="G422" s="39" t="s">
        <v>2769</v>
      </c>
      <c r="H422" s="28" t="s">
        <v>2768</v>
      </c>
      <c r="I422" s="38" t="s">
        <v>120</v>
      </c>
      <c r="J422" s="28" t="s">
        <v>2767</v>
      </c>
      <c r="K422" s="28" t="s">
        <v>2766</v>
      </c>
    </row>
    <row r="423" spans="1:11" x14ac:dyDescent="0.35">
      <c r="A423" s="34"/>
      <c r="B423" s="10"/>
      <c r="C423" s="32" t="s">
        <v>2765</v>
      </c>
      <c r="D423" s="32" t="s">
        <v>2764</v>
      </c>
      <c r="E423" s="33" t="s">
        <v>2763</v>
      </c>
      <c r="F423" s="32" t="s">
        <v>65</v>
      </c>
      <c r="G423" s="39" t="s">
        <v>2762</v>
      </c>
      <c r="H423" s="28" t="s">
        <v>2761</v>
      </c>
      <c r="I423" s="38" t="s">
        <v>120</v>
      </c>
      <c r="J423" s="28" t="s">
        <v>2760</v>
      </c>
      <c r="K423" s="28" t="s">
        <v>2759</v>
      </c>
    </row>
    <row r="424" spans="1:11" x14ac:dyDescent="0.35">
      <c r="A424" s="34"/>
      <c r="B424" s="10"/>
      <c r="C424" s="10"/>
      <c r="D424" s="9"/>
      <c r="E424" s="9"/>
      <c r="F424" s="9"/>
      <c r="G424" s="39" t="s">
        <v>2758</v>
      </c>
      <c r="H424" s="28" t="s">
        <v>2757</v>
      </c>
      <c r="I424" s="38" t="s">
        <v>120</v>
      </c>
      <c r="J424" s="28" t="s">
        <v>2756</v>
      </c>
      <c r="K424" s="28" t="s">
        <v>2755</v>
      </c>
    </row>
    <row r="425" spans="1:11" x14ac:dyDescent="0.35">
      <c r="A425" s="34"/>
      <c r="B425" s="10"/>
      <c r="C425" s="10"/>
      <c r="D425" s="32" t="s">
        <v>2754</v>
      </c>
      <c r="E425" s="33" t="s">
        <v>2753</v>
      </c>
      <c r="F425" s="32" t="s">
        <v>65</v>
      </c>
      <c r="G425" s="39" t="s">
        <v>2752</v>
      </c>
      <c r="H425" s="28" t="s">
        <v>2751</v>
      </c>
      <c r="I425" s="38" t="s">
        <v>120</v>
      </c>
      <c r="J425" s="28" t="s">
        <v>2750</v>
      </c>
      <c r="K425" s="28" t="s">
        <v>2749</v>
      </c>
    </row>
    <row r="426" spans="1:11" x14ac:dyDescent="0.35">
      <c r="A426" s="34"/>
      <c r="B426" s="10"/>
      <c r="C426" s="10"/>
      <c r="D426" s="9"/>
      <c r="E426" s="9"/>
      <c r="F426" s="9"/>
      <c r="G426" s="39" t="s">
        <v>2748</v>
      </c>
      <c r="H426" s="28" t="s">
        <v>2747</v>
      </c>
      <c r="I426" s="38" t="s">
        <v>120</v>
      </c>
      <c r="J426" s="28" t="s">
        <v>2746</v>
      </c>
      <c r="K426" s="28" t="s">
        <v>2745</v>
      </c>
    </row>
    <row r="427" spans="1:11" x14ac:dyDescent="0.35">
      <c r="A427" s="34"/>
      <c r="B427" s="10"/>
      <c r="C427" s="10"/>
      <c r="D427" s="32" t="s">
        <v>2744</v>
      </c>
      <c r="E427" s="33" t="s">
        <v>2743</v>
      </c>
      <c r="F427" s="32" t="s">
        <v>65</v>
      </c>
      <c r="G427" s="39" t="s">
        <v>2742</v>
      </c>
      <c r="H427" s="28" t="s">
        <v>2741</v>
      </c>
      <c r="I427" s="38" t="s">
        <v>120</v>
      </c>
      <c r="J427" s="28" t="s">
        <v>2740</v>
      </c>
      <c r="K427" s="28" t="s">
        <v>2739</v>
      </c>
    </row>
    <row r="428" spans="1:11" x14ac:dyDescent="0.35">
      <c r="A428" s="34"/>
      <c r="B428" s="10"/>
      <c r="C428" s="10"/>
      <c r="D428" s="9"/>
      <c r="E428" s="9"/>
      <c r="F428" s="9"/>
      <c r="G428" s="39" t="s">
        <v>2738</v>
      </c>
      <c r="H428" s="28" t="s">
        <v>2737</v>
      </c>
      <c r="I428" s="38" t="s">
        <v>120</v>
      </c>
      <c r="J428" s="28" t="s">
        <v>2736</v>
      </c>
      <c r="K428" s="28" t="s">
        <v>2735</v>
      </c>
    </row>
    <row r="429" spans="1:11" x14ac:dyDescent="0.35">
      <c r="A429" s="34"/>
      <c r="B429" s="10"/>
      <c r="C429" s="10"/>
      <c r="D429" s="32" t="s">
        <v>2734</v>
      </c>
      <c r="E429" s="33" t="s">
        <v>2733</v>
      </c>
      <c r="F429" s="32" t="s">
        <v>65</v>
      </c>
      <c r="G429" s="39" t="s">
        <v>2732</v>
      </c>
      <c r="H429" s="28" t="s">
        <v>2731</v>
      </c>
      <c r="I429" s="38" t="s">
        <v>120</v>
      </c>
      <c r="J429" s="28" t="s">
        <v>2730</v>
      </c>
      <c r="K429" s="28" t="s">
        <v>2729</v>
      </c>
    </row>
    <row r="430" spans="1:11" x14ac:dyDescent="0.35">
      <c r="A430" s="34"/>
      <c r="B430" s="10"/>
      <c r="C430" s="10"/>
      <c r="D430" s="9"/>
      <c r="E430" s="9"/>
      <c r="F430" s="9"/>
      <c r="G430" s="39" t="s">
        <v>2728</v>
      </c>
      <c r="H430" s="28" t="s">
        <v>2727</v>
      </c>
      <c r="I430" s="38" t="s">
        <v>120</v>
      </c>
      <c r="J430" s="28" t="s">
        <v>2726</v>
      </c>
      <c r="K430" s="28" t="s">
        <v>2725</v>
      </c>
    </row>
    <row r="431" spans="1:11" x14ac:dyDescent="0.35">
      <c r="A431" s="34"/>
      <c r="B431" s="10"/>
      <c r="C431" s="10"/>
      <c r="D431" s="32" t="s">
        <v>2724</v>
      </c>
      <c r="E431" s="33" t="s">
        <v>2723</v>
      </c>
      <c r="F431" s="32" t="s">
        <v>65</v>
      </c>
      <c r="G431" s="39" t="s">
        <v>2722</v>
      </c>
      <c r="H431" s="28" t="s">
        <v>2721</v>
      </c>
      <c r="I431" s="38" t="s">
        <v>120</v>
      </c>
      <c r="J431" s="28" t="s">
        <v>2720</v>
      </c>
      <c r="K431" s="28" t="s">
        <v>2719</v>
      </c>
    </row>
    <row r="432" spans="1:11" x14ac:dyDescent="0.35">
      <c r="A432" s="34"/>
      <c r="B432" s="10"/>
      <c r="C432" s="9"/>
      <c r="D432" s="9"/>
      <c r="E432" s="9"/>
      <c r="F432" s="9"/>
      <c r="G432" s="39" t="s">
        <v>2718</v>
      </c>
      <c r="H432" s="28" t="s">
        <v>2717</v>
      </c>
      <c r="I432" s="38" t="s">
        <v>120</v>
      </c>
      <c r="J432" s="28" t="s">
        <v>2716</v>
      </c>
      <c r="K432" s="28" t="s">
        <v>2715</v>
      </c>
    </row>
    <row r="433" spans="1:11" x14ac:dyDescent="0.35">
      <c r="A433" s="34"/>
      <c r="B433" s="10"/>
      <c r="C433" s="32" t="s">
        <v>2714</v>
      </c>
      <c r="D433" s="32" t="s">
        <v>2713</v>
      </c>
      <c r="E433" s="33" t="s">
        <v>2712</v>
      </c>
      <c r="F433" s="32" t="s">
        <v>65</v>
      </c>
      <c r="G433" s="39" t="s">
        <v>2711</v>
      </c>
      <c r="H433" s="28" t="s">
        <v>2710</v>
      </c>
      <c r="I433" s="38" t="s">
        <v>120</v>
      </c>
      <c r="J433" s="28" t="s">
        <v>2709</v>
      </c>
      <c r="K433" s="28" t="s">
        <v>2708</v>
      </c>
    </row>
    <row r="434" spans="1:11" x14ac:dyDescent="0.35">
      <c r="A434" s="34"/>
      <c r="B434" s="10"/>
      <c r="C434" s="10"/>
      <c r="D434" s="9"/>
      <c r="E434" s="9"/>
      <c r="F434" s="9"/>
      <c r="G434" s="39" t="s">
        <v>2707</v>
      </c>
      <c r="H434" s="28" t="s">
        <v>2706</v>
      </c>
      <c r="I434" s="38" t="s">
        <v>120</v>
      </c>
      <c r="J434" s="28" t="s">
        <v>2705</v>
      </c>
      <c r="K434" s="28" t="s">
        <v>2704</v>
      </c>
    </row>
    <row r="435" spans="1:11" x14ac:dyDescent="0.35">
      <c r="A435" s="34"/>
      <c r="B435" s="10"/>
      <c r="C435" s="10"/>
      <c r="D435" s="32" t="s">
        <v>2703</v>
      </c>
      <c r="E435" s="33" t="s">
        <v>2702</v>
      </c>
      <c r="F435" s="32" t="s">
        <v>65</v>
      </c>
      <c r="G435" s="39" t="s">
        <v>2701</v>
      </c>
      <c r="H435" s="28" t="s">
        <v>2700</v>
      </c>
      <c r="I435" s="38" t="s">
        <v>120</v>
      </c>
      <c r="J435" s="28" t="s">
        <v>2699</v>
      </c>
      <c r="K435" s="28" t="s">
        <v>2698</v>
      </c>
    </row>
    <row r="436" spans="1:11" x14ac:dyDescent="0.35">
      <c r="A436" s="34"/>
      <c r="B436" s="10"/>
      <c r="C436" s="10"/>
      <c r="D436" s="9"/>
      <c r="E436" s="9"/>
      <c r="F436" s="9"/>
      <c r="G436" s="39" t="s">
        <v>2697</v>
      </c>
      <c r="H436" s="28" t="s">
        <v>2696</v>
      </c>
      <c r="I436" s="38" t="s">
        <v>120</v>
      </c>
      <c r="J436" s="28" t="s">
        <v>2695</v>
      </c>
      <c r="K436" s="28" t="s">
        <v>2694</v>
      </c>
    </row>
    <row r="437" spans="1:11" x14ac:dyDescent="0.35">
      <c r="A437" s="34"/>
      <c r="B437" s="10"/>
      <c r="C437" s="10"/>
      <c r="D437" s="32" t="s">
        <v>2693</v>
      </c>
      <c r="E437" s="33" t="s">
        <v>2692</v>
      </c>
      <c r="F437" s="32" t="s">
        <v>244</v>
      </c>
      <c r="G437" s="39" t="s">
        <v>2691</v>
      </c>
      <c r="H437" s="28" t="s">
        <v>2690</v>
      </c>
      <c r="I437" s="38" t="s">
        <v>120</v>
      </c>
      <c r="J437" s="28" t="s">
        <v>2689</v>
      </c>
      <c r="K437" s="28" t="s">
        <v>2688</v>
      </c>
    </row>
    <row r="438" spans="1:11" x14ac:dyDescent="0.35">
      <c r="A438" s="34"/>
      <c r="B438" s="10"/>
      <c r="C438" s="10"/>
      <c r="D438" s="9"/>
      <c r="E438" s="9"/>
      <c r="F438" s="9"/>
      <c r="G438" s="39" t="s">
        <v>2687</v>
      </c>
      <c r="H438" s="28" t="s">
        <v>2686</v>
      </c>
      <c r="I438" s="38" t="s">
        <v>120</v>
      </c>
      <c r="J438" s="28" t="s">
        <v>2685</v>
      </c>
      <c r="K438" s="28" t="s">
        <v>2684</v>
      </c>
    </row>
    <row r="439" spans="1:11" x14ac:dyDescent="0.35">
      <c r="A439" s="34"/>
      <c r="B439" s="10"/>
      <c r="C439" s="10"/>
      <c r="D439" s="32" t="s">
        <v>2683</v>
      </c>
      <c r="E439" s="33" t="s">
        <v>2682</v>
      </c>
      <c r="F439" s="32" t="s">
        <v>65</v>
      </c>
      <c r="G439" s="39" t="s">
        <v>2681</v>
      </c>
      <c r="H439" s="28" t="s">
        <v>2680</v>
      </c>
      <c r="I439" s="38" t="s">
        <v>120</v>
      </c>
      <c r="J439" s="28" t="s">
        <v>2679</v>
      </c>
      <c r="K439" s="28" t="s">
        <v>2678</v>
      </c>
    </row>
    <row r="440" spans="1:11" x14ac:dyDescent="0.35">
      <c r="A440" s="34"/>
      <c r="B440" s="10"/>
      <c r="C440" s="10"/>
      <c r="D440" s="9"/>
      <c r="E440" s="9"/>
      <c r="F440" s="9"/>
      <c r="G440" s="39" t="s">
        <v>2677</v>
      </c>
      <c r="H440" s="28" t="s">
        <v>2676</v>
      </c>
      <c r="I440" s="38" t="s">
        <v>120</v>
      </c>
      <c r="J440" s="28" t="s">
        <v>2675</v>
      </c>
      <c r="K440" s="28" t="s">
        <v>2674</v>
      </c>
    </row>
    <row r="441" spans="1:11" x14ac:dyDescent="0.35">
      <c r="A441" s="34"/>
      <c r="B441" s="10"/>
      <c r="C441" s="10"/>
      <c r="D441" s="32" t="s">
        <v>2673</v>
      </c>
      <c r="E441" s="33" t="s">
        <v>2672</v>
      </c>
      <c r="F441" s="32" t="s">
        <v>65</v>
      </c>
      <c r="G441" s="39" t="s">
        <v>2671</v>
      </c>
      <c r="H441" s="28" t="s">
        <v>2670</v>
      </c>
      <c r="I441" s="38" t="s">
        <v>120</v>
      </c>
      <c r="J441" s="28" t="s">
        <v>2669</v>
      </c>
      <c r="K441" s="28" t="s">
        <v>2668</v>
      </c>
    </row>
    <row r="442" spans="1:11" x14ac:dyDescent="0.35">
      <c r="A442" s="34"/>
      <c r="B442" s="10"/>
      <c r="C442" s="9"/>
      <c r="D442" s="9"/>
      <c r="E442" s="9"/>
      <c r="F442" s="9"/>
      <c r="G442" s="39" t="s">
        <v>2667</v>
      </c>
      <c r="H442" s="28" t="s">
        <v>2666</v>
      </c>
      <c r="I442" s="38" t="s">
        <v>120</v>
      </c>
      <c r="J442" s="28" t="s">
        <v>2665</v>
      </c>
      <c r="K442" s="28" t="s">
        <v>2664</v>
      </c>
    </row>
    <row r="443" spans="1:11" x14ac:dyDescent="0.35">
      <c r="A443" s="34"/>
      <c r="B443" s="10"/>
      <c r="C443" s="32" t="s">
        <v>2663</v>
      </c>
      <c r="D443" s="32" t="s">
        <v>2662</v>
      </c>
      <c r="E443" s="33" t="s">
        <v>2661</v>
      </c>
      <c r="F443" s="32" t="s">
        <v>244</v>
      </c>
      <c r="G443" s="39" t="s">
        <v>2660</v>
      </c>
      <c r="H443" s="28" t="s">
        <v>2659</v>
      </c>
      <c r="I443" s="38" t="s">
        <v>120</v>
      </c>
      <c r="J443" s="28" t="s">
        <v>2658</v>
      </c>
      <c r="K443" s="28" t="s">
        <v>2657</v>
      </c>
    </row>
    <row r="444" spans="1:11" x14ac:dyDescent="0.35">
      <c r="A444" s="34"/>
      <c r="B444" s="10"/>
      <c r="C444" s="10"/>
      <c r="D444" s="9"/>
      <c r="E444" s="9"/>
      <c r="F444" s="9"/>
      <c r="G444" s="39" t="s">
        <v>2656</v>
      </c>
      <c r="H444" s="28" t="s">
        <v>2655</v>
      </c>
      <c r="I444" s="38" t="s">
        <v>120</v>
      </c>
      <c r="J444" s="28" t="s">
        <v>2654</v>
      </c>
      <c r="K444" s="28" t="s">
        <v>2653</v>
      </c>
    </row>
    <row r="445" spans="1:11" x14ac:dyDescent="0.35">
      <c r="A445" s="34"/>
      <c r="B445" s="10"/>
      <c r="C445" s="10"/>
      <c r="D445" s="32" t="s">
        <v>2652</v>
      </c>
      <c r="E445" s="33" t="s">
        <v>2651</v>
      </c>
      <c r="F445" s="32" t="s">
        <v>65</v>
      </c>
      <c r="G445" s="39" t="s">
        <v>2650</v>
      </c>
      <c r="H445" s="28" t="s">
        <v>2649</v>
      </c>
      <c r="I445" s="38" t="s">
        <v>120</v>
      </c>
      <c r="J445" s="28" t="s">
        <v>2648</v>
      </c>
      <c r="K445" s="28" t="s">
        <v>2647</v>
      </c>
    </row>
    <row r="446" spans="1:11" x14ac:dyDescent="0.35">
      <c r="A446" s="34"/>
      <c r="B446" s="10"/>
      <c r="C446" s="10"/>
      <c r="D446" s="9"/>
      <c r="E446" s="9"/>
      <c r="F446" s="9"/>
      <c r="G446" s="39" t="s">
        <v>2646</v>
      </c>
      <c r="H446" s="28" t="s">
        <v>2645</v>
      </c>
      <c r="I446" s="38" t="s">
        <v>120</v>
      </c>
      <c r="J446" s="28" t="s">
        <v>2644</v>
      </c>
      <c r="K446" s="28" t="s">
        <v>2643</v>
      </c>
    </row>
    <row r="447" spans="1:11" x14ac:dyDescent="0.35">
      <c r="A447" s="34"/>
      <c r="B447" s="10"/>
      <c r="C447" s="10"/>
      <c r="D447" s="32" t="s">
        <v>2642</v>
      </c>
      <c r="E447" s="33" t="s">
        <v>2641</v>
      </c>
      <c r="F447" s="32" t="s">
        <v>244</v>
      </c>
      <c r="G447" s="39" t="s">
        <v>2640</v>
      </c>
      <c r="H447" s="28" t="s">
        <v>2639</v>
      </c>
      <c r="I447" s="38" t="s">
        <v>120</v>
      </c>
      <c r="J447" s="28" t="s">
        <v>2638</v>
      </c>
      <c r="K447" s="28" t="s">
        <v>2637</v>
      </c>
    </row>
    <row r="448" spans="1:11" x14ac:dyDescent="0.35">
      <c r="A448" s="34"/>
      <c r="B448" s="10"/>
      <c r="C448" s="10"/>
      <c r="D448" s="9"/>
      <c r="E448" s="9"/>
      <c r="F448" s="9"/>
      <c r="G448" s="37" t="s">
        <v>2636</v>
      </c>
      <c r="H448" s="37" t="s">
        <v>2635</v>
      </c>
      <c r="I448" s="38" t="s">
        <v>120</v>
      </c>
      <c r="J448" s="37" t="s">
        <v>2634</v>
      </c>
      <c r="K448" s="37" t="s">
        <v>2633</v>
      </c>
    </row>
    <row r="449" spans="1:11" x14ac:dyDescent="0.35">
      <c r="A449" s="34"/>
      <c r="B449" s="10"/>
      <c r="C449" s="10"/>
      <c r="D449" s="32" t="s">
        <v>2632</v>
      </c>
      <c r="E449" s="33" t="s">
        <v>2631</v>
      </c>
      <c r="F449" s="32" t="s">
        <v>65</v>
      </c>
      <c r="G449" s="28" t="s">
        <v>2630</v>
      </c>
      <c r="H449" s="28" t="s">
        <v>2629</v>
      </c>
      <c r="I449" s="30" t="s">
        <v>58</v>
      </c>
      <c r="J449" s="28" t="s">
        <v>2628</v>
      </c>
      <c r="K449" s="28" t="s">
        <v>2627</v>
      </c>
    </row>
    <row r="450" spans="1:11" x14ac:dyDescent="0.35">
      <c r="A450" s="34"/>
      <c r="B450" s="10"/>
      <c r="C450" s="10"/>
      <c r="D450" s="9"/>
      <c r="E450" s="9"/>
      <c r="F450" s="9"/>
      <c r="G450" s="28" t="s">
        <v>2626</v>
      </c>
      <c r="H450" s="28" t="s">
        <v>2625</v>
      </c>
      <c r="I450" s="30" t="s">
        <v>58</v>
      </c>
      <c r="J450" s="28" t="s">
        <v>2624</v>
      </c>
      <c r="K450" s="28" t="s">
        <v>2623</v>
      </c>
    </row>
    <row r="451" spans="1:11" x14ac:dyDescent="0.35">
      <c r="A451" s="16"/>
      <c r="B451" s="9"/>
      <c r="C451" s="10"/>
      <c r="D451" s="32" t="s">
        <v>2622</v>
      </c>
      <c r="E451" s="33" t="s">
        <v>2621</v>
      </c>
      <c r="F451" s="32" t="s">
        <v>65</v>
      </c>
      <c r="G451" s="28" t="s">
        <v>2620</v>
      </c>
      <c r="H451" s="28" t="s">
        <v>2619</v>
      </c>
      <c r="I451" s="30" t="s">
        <v>58</v>
      </c>
      <c r="J451" s="28" t="s">
        <v>2615</v>
      </c>
      <c r="K451" s="28" t="s">
        <v>2618</v>
      </c>
    </row>
    <row r="452" spans="1:11" x14ac:dyDescent="0.35">
      <c r="A452" s="31"/>
      <c r="B452" s="31"/>
      <c r="C452" s="9"/>
      <c r="D452" s="9"/>
      <c r="E452" s="9"/>
      <c r="F452" s="9"/>
      <c r="G452" s="28" t="s">
        <v>2617</v>
      </c>
      <c r="H452" s="28" t="s">
        <v>2616</v>
      </c>
      <c r="I452" s="30" t="s">
        <v>58</v>
      </c>
      <c r="J452" s="28" t="s">
        <v>2615</v>
      </c>
      <c r="K452" s="28" t="s">
        <v>2614</v>
      </c>
    </row>
    <row r="453" spans="1:11" x14ac:dyDescent="0.35">
      <c r="A453" s="36" t="s">
        <v>2613</v>
      </c>
      <c r="B453" s="35" t="s">
        <v>2612</v>
      </c>
      <c r="C453" s="32" t="s">
        <v>2611</v>
      </c>
      <c r="D453" s="32" t="s">
        <v>2610</v>
      </c>
      <c r="E453" s="33" t="s">
        <v>2609</v>
      </c>
      <c r="F453" s="32" t="s">
        <v>2545</v>
      </c>
      <c r="G453" s="28" t="s">
        <v>2608</v>
      </c>
      <c r="H453" s="28" t="s">
        <v>2607</v>
      </c>
      <c r="I453" s="30" t="s">
        <v>58</v>
      </c>
      <c r="J453" s="28" t="s">
        <v>2606</v>
      </c>
      <c r="K453" s="28" t="s">
        <v>2605</v>
      </c>
    </row>
    <row r="454" spans="1:11" x14ac:dyDescent="0.35">
      <c r="A454" s="34"/>
      <c r="B454" s="10"/>
      <c r="C454" s="10"/>
      <c r="D454" s="9"/>
      <c r="E454" s="9"/>
      <c r="F454" s="9"/>
      <c r="G454" s="28" t="s">
        <v>2604</v>
      </c>
      <c r="H454" s="28" t="s">
        <v>2603</v>
      </c>
      <c r="I454" s="30" t="s">
        <v>58</v>
      </c>
      <c r="J454" s="29" t="s">
        <v>2602</v>
      </c>
      <c r="K454" s="28" t="s">
        <v>2601</v>
      </c>
    </row>
    <row r="455" spans="1:11" x14ac:dyDescent="0.35">
      <c r="A455" s="34"/>
      <c r="B455" s="10"/>
      <c r="C455" s="10"/>
      <c r="D455" s="32" t="s">
        <v>2600</v>
      </c>
      <c r="E455" s="33" t="s">
        <v>2599</v>
      </c>
      <c r="F455" s="32" t="s">
        <v>2545</v>
      </c>
      <c r="G455" s="28" t="s">
        <v>2598</v>
      </c>
      <c r="H455" s="28" t="s">
        <v>2597</v>
      </c>
      <c r="I455" s="30" t="s">
        <v>58</v>
      </c>
      <c r="J455" s="29" t="s">
        <v>2596</v>
      </c>
      <c r="K455" s="28" t="s">
        <v>2595</v>
      </c>
    </row>
    <row r="456" spans="1:11" x14ac:dyDescent="0.35">
      <c r="A456" s="34"/>
      <c r="B456" s="10"/>
      <c r="C456" s="10"/>
      <c r="D456" s="9"/>
      <c r="E456" s="9"/>
      <c r="F456" s="9"/>
      <c r="G456" s="28" t="s">
        <v>2594</v>
      </c>
      <c r="H456" s="28" t="s">
        <v>2593</v>
      </c>
      <c r="I456" s="30" t="s">
        <v>58</v>
      </c>
      <c r="J456" s="29" t="s">
        <v>2592</v>
      </c>
      <c r="K456" s="28" t="s">
        <v>2558</v>
      </c>
    </row>
    <row r="457" spans="1:11" x14ac:dyDescent="0.35">
      <c r="A457" s="34"/>
      <c r="B457" s="10"/>
      <c r="C457" s="10"/>
      <c r="D457" s="32" t="s">
        <v>2591</v>
      </c>
      <c r="E457" s="33" t="s">
        <v>2590</v>
      </c>
      <c r="F457" s="32" t="s">
        <v>65</v>
      </c>
      <c r="G457" s="28" t="s">
        <v>2589</v>
      </c>
      <c r="H457" s="28" t="s">
        <v>2588</v>
      </c>
      <c r="I457" s="30" t="s">
        <v>58</v>
      </c>
      <c r="J457" s="29" t="s">
        <v>2587</v>
      </c>
      <c r="K457" s="28" t="s">
        <v>2552</v>
      </c>
    </row>
    <row r="458" spans="1:11" x14ac:dyDescent="0.35">
      <c r="A458" s="34"/>
      <c r="B458" s="10"/>
      <c r="C458" s="10"/>
      <c r="D458" s="9"/>
      <c r="E458" s="9"/>
      <c r="F458" s="9"/>
      <c r="G458" s="28" t="s">
        <v>2586</v>
      </c>
      <c r="H458" s="28" t="s">
        <v>2585</v>
      </c>
      <c r="I458" s="30" t="s">
        <v>58</v>
      </c>
      <c r="J458" s="29" t="s">
        <v>2584</v>
      </c>
      <c r="K458" s="28" t="s">
        <v>2548</v>
      </c>
    </row>
    <row r="459" spans="1:11" x14ac:dyDescent="0.35">
      <c r="A459" s="34"/>
      <c r="B459" s="10"/>
      <c r="C459" s="10"/>
      <c r="D459" s="32" t="s">
        <v>2583</v>
      </c>
      <c r="E459" s="33" t="s">
        <v>2582</v>
      </c>
      <c r="F459" s="32" t="s">
        <v>65</v>
      </c>
      <c r="G459" s="28" t="s">
        <v>2581</v>
      </c>
      <c r="H459" s="28" t="s">
        <v>2580</v>
      </c>
      <c r="I459" s="30" t="s">
        <v>58</v>
      </c>
      <c r="J459" s="29" t="s">
        <v>2579</v>
      </c>
      <c r="K459" s="28" t="s">
        <v>2541</v>
      </c>
    </row>
    <row r="460" spans="1:11" x14ac:dyDescent="0.35">
      <c r="A460" s="34"/>
      <c r="B460" s="10"/>
      <c r="C460" s="10"/>
      <c r="D460" s="9"/>
      <c r="E460" s="9"/>
      <c r="F460" s="9"/>
      <c r="G460" s="28" t="s">
        <v>2578</v>
      </c>
      <c r="H460" s="28" t="s">
        <v>2577</v>
      </c>
      <c r="I460" s="30" t="s">
        <v>58</v>
      </c>
      <c r="J460" s="29" t="s">
        <v>2576</v>
      </c>
      <c r="K460" s="28" t="s">
        <v>2537</v>
      </c>
    </row>
    <row r="461" spans="1:11" x14ac:dyDescent="0.35">
      <c r="A461" s="34"/>
      <c r="B461" s="10"/>
      <c r="C461" s="10"/>
      <c r="D461" s="32" t="s">
        <v>2575</v>
      </c>
      <c r="E461" s="33" t="s">
        <v>2574</v>
      </c>
      <c r="F461" s="32" t="s">
        <v>244</v>
      </c>
      <c r="G461" s="28" t="s">
        <v>2573</v>
      </c>
      <c r="H461" s="28" t="s">
        <v>2572</v>
      </c>
      <c r="I461" s="30" t="s">
        <v>58</v>
      </c>
      <c r="J461" s="29" t="s">
        <v>2571</v>
      </c>
      <c r="K461" s="28" t="s">
        <v>2531</v>
      </c>
    </row>
    <row r="462" spans="1:11" x14ac:dyDescent="0.35">
      <c r="A462" s="34"/>
      <c r="B462" s="10"/>
      <c r="C462" s="9"/>
      <c r="D462" s="9"/>
      <c r="E462" s="9"/>
      <c r="F462" s="9"/>
      <c r="G462" s="28" t="s">
        <v>2570</v>
      </c>
      <c r="H462" s="28" t="s">
        <v>2569</v>
      </c>
      <c r="I462" s="30" t="s">
        <v>58</v>
      </c>
      <c r="J462" s="29" t="s">
        <v>2568</v>
      </c>
      <c r="K462" s="28" t="s">
        <v>2527</v>
      </c>
    </row>
    <row r="463" spans="1:11" x14ac:dyDescent="0.35">
      <c r="A463" s="34"/>
      <c r="B463" s="10"/>
      <c r="C463" s="32" t="s">
        <v>2567</v>
      </c>
      <c r="D463" s="32" t="s">
        <v>2566</v>
      </c>
      <c r="E463" s="33" t="s">
        <v>2565</v>
      </c>
      <c r="F463" s="32" t="s">
        <v>244</v>
      </c>
      <c r="G463" s="28" t="s">
        <v>2564</v>
      </c>
      <c r="H463" s="28" t="s">
        <v>2563</v>
      </c>
      <c r="I463" s="30" t="s">
        <v>58</v>
      </c>
      <c r="J463" s="29" t="s">
        <v>2562</v>
      </c>
      <c r="K463" s="28" t="s">
        <v>2518</v>
      </c>
    </row>
    <row r="464" spans="1:11" x14ac:dyDescent="0.35">
      <c r="A464" s="34"/>
      <c r="B464" s="10"/>
      <c r="C464" s="10"/>
      <c r="D464" s="9"/>
      <c r="E464" s="9"/>
      <c r="F464" s="9"/>
      <c r="G464" s="28" t="s">
        <v>2561</v>
      </c>
      <c r="H464" s="28" t="s">
        <v>2560</v>
      </c>
      <c r="I464" s="30" t="s">
        <v>58</v>
      </c>
      <c r="J464" s="29" t="s">
        <v>2559</v>
      </c>
      <c r="K464" s="28" t="s">
        <v>2558</v>
      </c>
    </row>
    <row r="465" spans="1:11" x14ac:dyDescent="0.35">
      <c r="A465" s="34"/>
      <c r="B465" s="10"/>
      <c r="C465" s="10"/>
      <c r="D465" s="32" t="s">
        <v>2557</v>
      </c>
      <c r="E465" s="33" t="s">
        <v>2556</v>
      </c>
      <c r="F465" s="32" t="s">
        <v>65</v>
      </c>
      <c r="G465" s="28" t="s">
        <v>2555</v>
      </c>
      <c r="H465" s="28" t="s">
        <v>2554</v>
      </c>
      <c r="I465" s="30" t="s">
        <v>58</v>
      </c>
      <c r="J465" s="29" t="s">
        <v>2553</v>
      </c>
      <c r="K465" s="28" t="s">
        <v>2552</v>
      </c>
    </row>
    <row r="466" spans="1:11" x14ac:dyDescent="0.35">
      <c r="A466" s="34"/>
      <c r="B466" s="10"/>
      <c r="C466" s="10"/>
      <c r="D466" s="9"/>
      <c r="E466" s="9"/>
      <c r="F466" s="9"/>
      <c r="G466" s="28" t="s">
        <v>2551</v>
      </c>
      <c r="H466" s="28" t="s">
        <v>2550</v>
      </c>
      <c r="I466" s="30" t="s">
        <v>58</v>
      </c>
      <c r="J466" s="29" t="s">
        <v>2549</v>
      </c>
      <c r="K466" s="28" t="s">
        <v>2548</v>
      </c>
    </row>
    <row r="467" spans="1:11" x14ac:dyDescent="0.35">
      <c r="A467" s="34"/>
      <c r="B467" s="10"/>
      <c r="C467" s="10"/>
      <c r="D467" s="32" t="s">
        <v>2547</v>
      </c>
      <c r="E467" s="33" t="s">
        <v>2546</v>
      </c>
      <c r="F467" s="32" t="s">
        <v>2545</v>
      </c>
      <c r="G467" s="28" t="s">
        <v>2544</v>
      </c>
      <c r="H467" s="28" t="s">
        <v>2543</v>
      </c>
      <c r="I467" s="30" t="s">
        <v>58</v>
      </c>
      <c r="J467" s="29" t="s">
        <v>2542</v>
      </c>
      <c r="K467" s="28" t="s">
        <v>2541</v>
      </c>
    </row>
    <row r="468" spans="1:11" x14ac:dyDescent="0.35">
      <c r="A468" s="34"/>
      <c r="B468" s="10"/>
      <c r="C468" s="10"/>
      <c r="D468" s="9"/>
      <c r="E468" s="9"/>
      <c r="F468" s="9"/>
      <c r="G468" s="28" t="s">
        <v>2540</v>
      </c>
      <c r="H468" s="28" t="s">
        <v>2539</v>
      </c>
      <c r="I468" s="30" t="s">
        <v>58</v>
      </c>
      <c r="J468" s="29" t="s">
        <v>2538</v>
      </c>
      <c r="K468" s="28" t="s">
        <v>2537</v>
      </c>
    </row>
    <row r="469" spans="1:11" x14ac:dyDescent="0.35">
      <c r="A469" s="34"/>
      <c r="B469" s="10"/>
      <c r="C469" s="10"/>
      <c r="D469" s="32" t="s">
        <v>2536</v>
      </c>
      <c r="E469" s="33" t="s">
        <v>2535</v>
      </c>
      <c r="F469" s="32" t="s">
        <v>65</v>
      </c>
      <c r="G469" s="28" t="s">
        <v>2534</v>
      </c>
      <c r="H469" s="28" t="s">
        <v>2533</v>
      </c>
      <c r="I469" s="30" t="s">
        <v>58</v>
      </c>
      <c r="J469" s="29" t="s">
        <v>2532</v>
      </c>
      <c r="K469" s="28" t="s">
        <v>2531</v>
      </c>
    </row>
    <row r="470" spans="1:11" x14ac:dyDescent="0.35">
      <c r="A470" s="34"/>
      <c r="B470" s="10"/>
      <c r="C470" s="10"/>
      <c r="D470" s="9"/>
      <c r="E470" s="9"/>
      <c r="F470" s="9"/>
      <c r="G470" s="28" t="s">
        <v>2530</v>
      </c>
      <c r="H470" s="28" t="s">
        <v>2529</v>
      </c>
      <c r="I470" s="30" t="s">
        <v>58</v>
      </c>
      <c r="J470" s="29" t="s">
        <v>2528</v>
      </c>
      <c r="K470" s="28" t="s">
        <v>2527</v>
      </c>
    </row>
    <row r="471" spans="1:11" x14ac:dyDescent="0.35">
      <c r="A471" s="34"/>
      <c r="B471" s="10"/>
      <c r="C471" s="9"/>
      <c r="D471" s="32" t="s">
        <v>2526</v>
      </c>
      <c r="E471" s="33" t="s">
        <v>2525</v>
      </c>
      <c r="F471" s="32" t="s">
        <v>65</v>
      </c>
      <c r="G471" s="28" t="s">
        <v>2524</v>
      </c>
      <c r="H471" s="28" t="s">
        <v>2523</v>
      </c>
      <c r="I471" s="30" t="s">
        <v>58</v>
      </c>
      <c r="J471" s="29" t="s">
        <v>2522</v>
      </c>
      <c r="K471" s="28" t="s">
        <v>2518</v>
      </c>
    </row>
    <row r="472" spans="1:11" x14ac:dyDescent="0.35">
      <c r="A472" s="16"/>
      <c r="B472" s="9"/>
      <c r="C472" s="31"/>
      <c r="D472" s="9"/>
      <c r="E472" s="9"/>
      <c r="F472" s="9"/>
      <c r="G472" s="28" t="s">
        <v>2521</v>
      </c>
      <c r="H472" s="28" t="s">
        <v>2520</v>
      </c>
      <c r="I472" s="30" t="s">
        <v>58</v>
      </c>
      <c r="J472" s="29" t="s">
        <v>2519</v>
      </c>
      <c r="K472" s="28" t="s">
        <v>2518</v>
      </c>
    </row>
    <row r="473" spans="1:11" ht="15.5" x14ac:dyDescent="0.35">
      <c r="A473" s="13"/>
      <c r="B473" s="13"/>
      <c r="C473" s="26" t="s">
        <v>2517</v>
      </c>
      <c r="D473" s="26" t="s">
        <v>2241</v>
      </c>
      <c r="E473" s="26" t="s">
        <v>2240</v>
      </c>
      <c r="F473" s="26" t="s">
        <v>244</v>
      </c>
      <c r="G473" s="26" t="s">
        <v>2516</v>
      </c>
      <c r="H473" s="26" t="s">
        <v>2515</v>
      </c>
      <c r="I473" s="27" t="s">
        <v>250</v>
      </c>
      <c r="J473" s="26" t="s">
        <v>2514</v>
      </c>
      <c r="K473" s="25" t="s">
        <v>2513</v>
      </c>
    </row>
    <row r="474" spans="1:11" ht="15.5" x14ac:dyDescent="0.35">
      <c r="A474" s="10"/>
      <c r="B474" s="10"/>
      <c r="C474" s="10"/>
      <c r="D474" s="10"/>
      <c r="E474" s="10"/>
      <c r="F474" s="10"/>
      <c r="G474" s="9"/>
      <c r="H474" s="9"/>
      <c r="I474" s="9"/>
      <c r="J474" s="9"/>
      <c r="K474" s="8" t="s">
        <v>2512</v>
      </c>
    </row>
    <row r="475" spans="1:11" ht="15.5" x14ac:dyDescent="0.35">
      <c r="A475" s="10"/>
      <c r="B475" s="10"/>
      <c r="C475" s="10"/>
      <c r="D475" s="10"/>
      <c r="E475" s="10"/>
      <c r="F475" s="10"/>
      <c r="G475" s="11" t="s">
        <v>2511</v>
      </c>
      <c r="H475" s="11" t="s">
        <v>2510</v>
      </c>
      <c r="I475" s="14" t="s">
        <v>120</v>
      </c>
      <c r="J475" s="11" t="s">
        <v>2509</v>
      </c>
      <c r="K475" s="8" t="s">
        <v>2508</v>
      </c>
    </row>
    <row r="476" spans="1:11" ht="15.5" x14ac:dyDescent="0.35">
      <c r="A476" s="10"/>
      <c r="B476" s="10"/>
      <c r="C476" s="10"/>
      <c r="D476" s="9"/>
      <c r="E476" s="9"/>
      <c r="F476" s="9"/>
      <c r="G476" s="9"/>
      <c r="H476" s="9"/>
      <c r="I476" s="9"/>
      <c r="J476" s="9"/>
      <c r="K476" s="8" t="s">
        <v>2507</v>
      </c>
    </row>
    <row r="477" spans="1:11" ht="15.5" x14ac:dyDescent="0.35">
      <c r="A477" s="10"/>
      <c r="B477" s="10"/>
      <c r="C477" s="10"/>
      <c r="D477" s="11" t="s">
        <v>2230</v>
      </c>
      <c r="E477" s="11" t="s">
        <v>2229</v>
      </c>
      <c r="F477" s="11" t="s">
        <v>65</v>
      </c>
      <c r="G477" s="11" t="s">
        <v>2506</v>
      </c>
      <c r="H477" s="11" t="s">
        <v>2505</v>
      </c>
      <c r="I477" s="12" t="s">
        <v>58</v>
      </c>
      <c r="J477" s="11" t="s">
        <v>2504</v>
      </c>
      <c r="K477" s="8" t="s">
        <v>2503</v>
      </c>
    </row>
    <row r="478" spans="1:11" ht="15.5" x14ac:dyDescent="0.35">
      <c r="A478" s="10"/>
      <c r="B478" s="10"/>
      <c r="C478" s="10"/>
      <c r="D478" s="10"/>
      <c r="E478" s="10"/>
      <c r="F478" s="10"/>
      <c r="G478" s="9"/>
      <c r="H478" s="9"/>
      <c r="I478" s="9"/>
      <c r="J478" s="9"/>
      <c r="K478" s="8" t="s">
        <v>2502</v>
      </c>
    </row>
    <row r="479" spans="1:11" ht="15.5" x14ac:dyDescent="0.35">
      <c r="A479" s="10"/>
      <c r="B479" s="10"/>
      <c r="C479" s="10"/>
      <c r="D479" s="10"/>
      <c r="E479" s="10"/>
      <c r="F479" s="10"/>
      <c r="G479" s="11" t="s">
        <v>2501</v>
      </c>
      <c r="H479" s="11" t="s">
        <v>2500</v>
      </c>
      <c r="I479" s="14" t="s">
        <v>120</v>
      </c>
      <c r="J479" s="11" t="s">
        <v>2499</v>
      </c>
      <c r="K479" s="8" t="s">
        <v>2498</v>
      </c>
    </row>
    <row r="480" spans="1:11" ht="15.5" x14ac:dyDescent="0.35">
      <c r="A480" s="10"/>
      <c r="B480" s="10"/>
      <c r="C480" s="10"/>
      <c r="D480" s="9"/>
      <c r="E480" s="9"/>
      <c r="F480" s="9"/>
      <c r="G480" s="9"/>
      <c r="H480" s="9"/>
      <c r="I480" s="9"/>
      <c r="J480" s="9"/>
      <c r="K480" s="8" t="s">
        <v>2497</v>
      </c>
    </row>
    <row r="481" spans="1:11" ht="15.5" x14ac:dyDescent="0.35">
      <c r="A481" s="10"/>
      <c r="B481" s="10"/>
      <c r="C481" s="10"/>
      <c r="D481" s="11" t="s">
        <v>2218</v>
      </c>
      <c r="E481" s="11" t="s">
        <v>2217</v>
      </c>
      <c r="F481" s="11" t="s">
        <v>244</v>
      </c>
      <c r="G481" s="11" t="s">
        <v>2496</v>
      </c>
      <c r="H481" s="11" t="s">
        <v>2495</v>
      </c>
      <c r="I481" s="14" t="s">
        <v>120</v>
      </c>
      <c r="J481" s="11" t="s">
        <v>2494</v>
      </c>
      <c r="K481" s="8" t="s">
        <v>2493</v>
      </c>
    </row>
    <row r="482" spans="1:11" ht="15.5" x14ac:dyDescent="0.35">
      <c r="A482" s="10"/>
      <c r="B482" s="10"/>
      <c r="C482" s="10"/>
      <c r="D482" s="10"/>
      <c r="E482" s="10"/>
      <c r="F482" s="10"/>
      <c r="G482" s="9"/>
      <c r="H482" s="9"/>
      <c r="I482" s="9"/>
      <c r="J482" s="9"/>
      <c r="K482" s="8" t="s">
        <v>2492</v>
      </c>
    </row>
    <row r="483" spans="1:11" ht="15.5" x14ac:dyDescent="0.35">
      <c r="A483" s="10"/>
      <c r="B483" s="10"/>
      <c r="C483" s="10"/>
      <c r="D483" s="10"/>
      <c r="E483" s="10"/>
      <c r="F483" s="10"/>
      <c r="G483" s="11" t="s">
        <v>2491</v>
      </c>
      <c r="H483" s="11" t="s">
        <v>2490</v>
      </c>
      <c r="I483" s="24" t="s">
        <v>58</v>
      </c>
      <c r="J483" s="11" t="s">
        <v>2489</v>
      </c>
      <c r="K483" s="8" t="s">
        <v>2488</v>
      </c>
    </row>
    <row r="484" spans="1:11" ht="15.5" x14ac:dyDescent="0.35">
      <c r="A484" s="10"/>
      <c r="B484" s="10"/>
      <c r="C484" s="10"/>
      <c r="D484" s="9"/>
      <c r="E484" s="9"/>
      <c r="F484" s="9"/>
      <c r="G484" s="9"/>
      <c r="H484" s="9"/>
      <c r="I484" s="9"/>
      <c r="J484" s="9"/>
      <c r="K484" s="8" t="s">
        <v>2487</v>
      </c>
    </row>
    <row r="485" spans="1:11" ht="15.5" x14ac:dyDescent="0.35">
      <c r="A485" s="10"/>
      <c r="B485" s="10"/>
      <c r="C485" s="10"/>
      <c r="D485" s="11" t="s">
        <v>2206</v>
      </c>
      <c r="E485" s="11" t="s">
        <v>2205</v>
      </c>
      <c r="F485" s="11" t="s">
        <v>65</v>
      </c>
      <c r="G485" s="11" t="s">
        <v>2486</v>
      </c>
      <c r="H485" s="11" t="s">
        <v>2485</v>
      </c>
      <c r="I485" s="24" t="s">
        <v>58</v>
      </c>
      <c r="J485" s="11" t="s">
        <v>2484</v>
      </c>
      <c r="K485" s="8" t="s">
        <v>2483</v>
      </c>
    </row>
    <row r="486" spans="1:11" ht="15.5" x14ac:dyDescent="0.35">
      <c r="A486" s="10"/>
      <c r="B486" s="10"/>
      <c r="C486" s="10"/>
      <c r="D486" s="10"/>
      <c r="E486" s="10"/>
      <c r="F486" s="10"/>
      <c r="G486" s="9"/>
      <c r="H486" s="9"/>
      <c r="I486" s="9"/>
      <c r="J486" s="9"/>
      <c r="K486" s="8" t="s">
        <v>2482</v>
      </c>
    </row>
    <row r="487" spans="1:11" ht="15.5" x14ac:dyDescent="0.35">
      <c r="A487" s="10"/>
      <c r="B487" s="10"/>
      <c r="C487" s="10"/>
      <c r="D487" s="10"/>
      <c r="E487" s="10"/>
      <c r="F487" s="10"/>
      <c r="G487" s="11" t="s">
        <v>2481</v>
      </c>
      <c r="H487" s="11" t="s">
        <v>2480</v>
      </c>
      <c r="I487" s="24" t="s">
        <v>58</v>
      </c>
      <c r="J487" s="11" t="s">
        <v>2479</v>
      </c>
      <c r="K487" s="8" t="s">
        <v>2478</v>
      </c>
    </row>
    <row r="488" spans="1:11" ht="15.5" x14ac:dyDescent="0.35">
      <c r="A488" s="10"/>
      <c r="B488" s="10"/>
      <c r="C488" s="10"/>
      <c r="D488" s="9"/>
      <c r="E488" s="9"/>
      <c r="F488" s="9"/>
      <c r="G488" s="9"/>
      <c r="H488" s="9"/>
      <c r="I488" s="9"/>
      <c r="J488" s="9"/>
      <c r="K488" s="8" t="s">
        <v>2477</v>
      </c>
    </row>
    <row r="489" spans="1:11" ht="15.5" x14ac:dyDescent="0.35">
      <c r="A489" s="10"/>
      <c r="B489" s="10"/>
      <c r="C489" s="10"/>
      <c r="D489" s="11" t="s">
        <v>2195</v>
      </c>
      <c r="E489" s="11" t="s">
        <v>2194</v>
      </c>
      <c r="F489" s="11" t="s">
        <v>65</v>
      </c>
      <c r="G489" s="11" t="s">
        <v>2476</v>
      </c>
      <c r="H489" s="11" t="s">
        <v>2475</v>
      </c>
      <c r="I489" s="24" t="s">
        <v>58</v>
      </c>
      <c r="J489" s="11" t="s">
        <v>2474</v>
      </c>
      <c r="K489" s="8" t="s">
        <v>2473</v>
      </c>
    </row>
    <row r="490" spans="1:11" ht="15.5" x14ac:dyDescent="0.35">
      <c r="A490" s="10"/>
      <c r="B490" s="10"/>
      <c r="C490" s="10"/>
      <c r="D490" s="10"/>
      <c r="E490" s="10"/>
      <c r="F490" s="10"/>
      <c r="G490" s="9"/>
      <c r="H490" s="9"/>
      <c r="I490" s="9"/>
      <c r="J490" s="9"/>
      <c r="K490" s="8" t="s">
        <v>2472</v>
      </c>
    </row>
    <row r="491" spans="1:11" ht="15.5" x14ac:dyDescent="0.35">
      <c r="A491" s="10"/>
      <c r="B491" s="10"/>
      <c r="C491" s="10"/>
      <c r="D491" s="10"/>
      <c r="E491" s="10"/>
      <c r="F491" s="10"/>
      <c r="G491" s="11" t="s">
        <v>2471</v>
      </c>
      <c r="H491" s="11" t="s">
        <v>2470</v>
      </c>
      <c r="I491" s="24" t="s">
        <v>58</v>
      </c>
      <c r="J491" s="11" t="s">
        <v>2178</v>
      </c>
      <c r="K491" s="8" t="s">
        <v>2469</v>
      </c>
    </row>
    <row r="492" spans="1:11" ht="15.5" x14ac:dyDescent="0.35">
      <c r="A492" s="10"/>
      <c r="B492" s="10"/>
      <c r="C492" s="9"/>
      <c r="D492" s="9"/>
      <c r="E492" s="9"/>
      <c r="F492" s="9"/>
      <c r="G492" s="9"/>
      <c r="H492" s="9"/>
      <c r="I492" s="9"/>
      <c r="J492" s="9"/>
      <c r="K492" s="8" t="s">
        <v>2468</v>
      </c>
    </row>
    <row r="493" spans="1:11" ht="15.5" x14ac:dyDescent="0.35">
      <c r="A493" s="10"/>
      <c r="B493" s="10"/>
      <c r="C493" s="13" t="s">
        <v>2467</v>
      </c>
      <c r="D493" s="11" t="s">
        <v>2466</v>
      </c>
      <c r="E493" s="11" t="s">
        <v>2465</v>
      </c>
      <c r="F493" s="11" t="s">
        <v>65</v>
      </c>
      <c r="G493" s="11" t="s">
        <v>2464</v>
      </c>
      <c r="H493" s="11" t="s">
        <v>2463</v>
      </c>
      <c r="I493" s="24" t="s">
        <v>58</v>
      </c>
      <c r="J493" s="11" t="s">
        <v>2462</v>
      </c>
      <c r="K493" s="8" t="s">
        <v>2461</v>
      </c>
    </row>
    <row r="494" spans="1:11" ht="15.5" x14ac:dyDescent="0.35">
      <c r="A494" s="10"/>
      <c r="B494" s="10"/>
      <c r="C494" s="10"/>
      <c r="D494" s="10"/>
      <c r="E494" s="10"/>
      <c r="F494" s="10"/>
      <c r="G494" s="9"/>
      <c r="H494" s="9"/>
      <c r="I494" s="9"/>
      <c r="J494" s="9"/>
      <c r="K494" s="8" t="s">
        <v>2460</v>
      </c>
    </row>
    <row r="495" spans="1:11" ht="15.5" x14ac:dyDescent="0.35">
      <c r="A495" s="10"/>
      <c r="B495" s="10"/>
      <c r="C495" s="10"/>
      <c r="D495" s="10"/>
      <c r="E495" s="10"/>
      <c r="F495" s="10"/>
      <c r="G495" s="11" t="s">
        <v>2459</v>
      </c>
      <c r="H495" s="11" t="s">
        <v>2458</v>
      </c>
      <c r="I495" s="24" t="s">
        <v>58</v>
      </c>
      <c r="J495" s="11" t="s">
        <v>2457</v>
      </c>
      <c r="K495" s="8" t="s">
        <v>2456</v>
      </c>
    </row>
    <row r="496" spans="1:11" ht="15.5" x14ac:dyDescent="0.35">
      <c r="A496" s="10"/>
      <c r="B496" s="10"/>
      <c r="C496" s="10"/>
      <c r="D496" s="9"/>
      <c r="E496" s="9"/>
      <c r="F496" s="9"/>
      <c r="G496" s="9"/>
      <c r="H496" s="9"/>
      <c r="I496" s="9"/>
      <c r="J496" s="9"/>
      <c r="K496" s="8" t="s">
        <v>2455</v>
      </c>
    </row>
    <row r="497" spans="1:11" ht="15.5" x14ac:dyDescent="0.35">
      <c r="A497" s="10"/>
      <c r="B497" s="10"/>
      <c r="C497" s="10"/>
      <c r="D497" s="11" t="s">
        <v>2182</v>
      </c>
      <c r="E497" s="11" t="s">
        <v>2181</v>
      </c>
      <c r="F497" s="11" t="s">
        <v>65</v>
      </c>
      <c r="G497" s="11" t="s">
        <v>2454</v>
      </c>
      <c r="H497" s="11" t="s">
        <v>2453</v>
      </c>
      <c r="I497" s="24" t="s">
        <v>58</v>
      </c>
      <c r="J497" s="11" t="s">
        <v>2452</v>
      </c>
      <c r="K497" s="8" t="s">
        <v>2451</v>
      </c>
    </row>
    <row r="498" spans="1:11" ht="15.5" x14ac:dyDescent="0.35">
      <c r="A498" s="10"/>
      <c r="B498" s="10"/>
      <c r="C498" s="10"/>
      <c r="D498" s="10"/>
      <c r="E498" s="10"/>
      <c r="F498" s="10"/>
      <c r="G498" s="9"/>
      <c r="H498" s="9"/>
      <c r="I498" s="9"/>
      <c r="J498" s="9"/>
      <c r="K498" s="8" t="s">
        <v>2450</v>
      </c>
    </row>
    <row r="499" spans="1:11" ht="15.5" x14ac:dyDescent="0.35">
      <c r="A499" s="10"/>
      <c r="B499" s="10"/>
      <c r="C499" s="10"/>
      <c r="D499" s="10"/>
      <c r="E499" s="10"/>
      <c r="F499" s="10"/>
      <c r="G499" s="11" t="s">
        <v>2449</v>
      </c>
      <c r="H499" s="11" t="s">
        <v>2448</v>
      </c>
      <c r="I499" s="24" t="s">
        <v>58</v>
      </c>
      <c r="J499" s="11" t="s">
        <v>1200</v>
      </c>
      <c r="K499" s="8" t="s">
        <v>2447</v>
      </c>
    </row>
    <row r="500" spans="1:11" ht="15.5" x14ac:dyDescent="0.35">
      <c r="A500" s="10"/>
      <c r="B500" s="10"/>
      <c r="C500" s="10"/>
      <c r="D500" s="9"/>
      <c r="E500" s="9"/>
      <c r="F500" s="9"/>
      <c r="G500" s="9"/>
      <c r="H500" s="9"/>
      <c r="I500" s="9"/>
      <c r="J500" s="9"/>
      <c r="K500" s="8" t="s">
        <v>2446</v>
      </c>
    </row>
    <row r="501" spans="1:11" ht="15.5" x14ac:dyDescent="0.35">
      <c r="A501" s="10"/>
      <c r="B501" s="10"/>
      <c r="C501" s="10"/>
      <c r="D501" s="11" t="s">
        <v>2170</v>
      </c>
      <c r="E501" s="11" t="s">
        <v>2169</v>
      </c>
      <c r="F501" s="11" t="s">
        <v>65</v>
      </c>
      <c r="G501" s="11" t="s">
        <v>2445</v>
      </c>
      <c r="H501" s="11" t="s">
        <v>2444</v>
      </c>
      <c r="I501" s="23" t="s">
        <v>120</v>
      </c>
      <c r="J501" s="11" t="s">
        <v>2443</v>
      </c>
      <c r="K501" s="8" t="s">
        <v>2442</v>
      </c>
    </row>
    <row r="502" spans="1:11" ht="15.5" x14ac:dyDescent="0.35">
      <c r="A502" s="10"/>
      <c r="B502" s="10"/>
      <c r="C502" s="10"/>
      <c r="D502" s="10"/>
      <c r="E502" s="10"/>
      <c r="F502" s="10"/>
      <c r="G502" s="9"/>
      <c r="H502" s="9"/>
      <c r="I502" s="9"/>
      <c r="J502" s="9"/>
      <c r="K502" s="8" t="s">
        <v>2441</v>
      </c>
    </row>
    <row r="503" spans="1:11" ht="15.5" x14ac:dyDescent="0.35">
      <c r="A503" s="10"/>
      <c r="B503" s="10"/>
      <c r="C503" s="10"/>
      <c r="D503" s="10"/>
      <c r="E503" s="10"/>
      <c r="F503" s="10"/>
      <c r="G503" s="11" t="s">
        <v>2440</v>
      </c>
      <c r="H503" s="11" t="s">
        <v>2439</v>
      </c>
      <c r="I503" s="12" t="s">
        <v>58</v>
      </c>
      <c r="J503" s="11" t="s">
        <v>2438</v>
      </c>
      <c r="K503" s="8" t="s">
        <v>2437</v>
      </c>
    </row>
    <row r="504" spans="1:11" ht="15.5" x14ac:dyDescent="0.35">
      <c r="A504" s="10"/>
      <c r="B504" s="10"/>
      <c r="C504" s="10"/>
      <c r="D504" s="9"/>
      <c r="E504" s="9"/>
      <c r="F504" s="9"/>
      <c r="G504" s="9"/>
      <c r="H504" s="9"/>
      <c r="I504" s="9"/>
      <c r="J504" s="9"/>
      <c r="K504" s="8" t="s">
        <v>2436</v>
      </c>
    </row>
    <row r="505" spans="1:11" ht="15.5" x14ac:dyDescent="0.35">
      <c r="A505" s="10"/>
      <c r="B505" s="10"/>
      <c r="C505" s="10"/>
      <c r="D505" s="11" t="s">
        <v>2147</v>
      </c>
      <c r="E505" s="11" t="s">
        <v>2146</v>
      </c>
      <c r="F505" s="11" t="s">
        <v>65</v>
      </c>
      <c r="G505" s="11" t="s">
        <v>2435</v>
      </c>
      <c r="H505" s="11" t="s">
        <v>2434</v>
      </c>
      <c r="I505" s="12" t="s">
        <v>58</v>
      </c>
      <c r="J505" s="11" t="s">
        <v>2433</v>
      </c>
      <c r="K505" s="8" t="s">
        <v>2432</v>
      </c>
    </row>
    <row r="506" spans="1:11" ht="15.5" x14ac:dyDescent="0.35">
      <c r="A506" s="10"/>
      <c r="B506" s="10"/>
      <c r="C506" s="10"/>
      <c r="D506" s="10"/>
      <c r="E506" s="10"/>
      <c r="F506" s="10"/>
      <c r="G506" s="9"/>
      <c r="H506" s="9"/>
      <c r="I506" s="9"/>
      <c r="J506" s="9"/>
      <c r="K506" s="8" t="s">
        <v>2431</v>
      </c>
    </row>
    <row r="507" spans="1:11" ht="15.5" x14ac:dyDescent="0.35">
      <c r="A507" s="10"/>
      <c r="B507" s="10"/>
      <c r="C507" s="10"/>
      <c r="D507" s="10"/>
      <c r="E507" s="10"/>
      <c r="F507" s="10"/>
      <c r="G507" s="11" t="s">
        <v>2430</v>
      </c>
      <c r="H507" s="11" t="s">
        <v>2429</v>
      </c>
      <c r="I507" s="12" t="s">
        <v>58</v>
      </c>
      <c r="J507" s="11" t="s">
        <v>2428</v>
      </c>
      <c r="K507" s="8" t="s">
        <v>2427</v>
      </c>
    </row>
    <row r="508" spans="1:11" ht="15.5" x14ac:dyDescent="0.35">
      <c r="A508" s="10"/>
      <c r="B508" s="10"/>
      <c r="C508" s="10"/>
      <c r="D508" s="9"/>
      <c r="E508" s="9"/>
      <c r="F508" s="9"/>
      <c r="G508" s="9"/>
      <c r="H508" s="9"/>
      <c r="I508" s="9"/>
      <c r="J508" s="9"/>
      <c r="K508" s="8" t="s">
        <v>2426</v>
      </c>
    </row>
    <row r="509" spans="1:11" ht="15.5" x14ac:dyDescent="0.35">
      <c r="A509" s="10"/>
      <c r="B509" s="10"/>
      <c r="C509" s="10"/>
      <c r="D509" s="11" t="s">
        <v>2138</v>
      </c>
      <c r="E509" s="11" t="s">
        <v>2137</v>
      </c>
      <c r="F509" s="11" t="s">
        <v>65</v>
      </c>
      <c r="G509" s="11" t="s">
        <v>2425</v>
      </c>
      <c r="H509" s="11" t="s">
        <v>2424</v>
      </c>
      <c r="I509" s="23" t="s">
        <v>120</v>
      </c>
      <c r="J509" s="11" t="s">
        <v>2423</v>
      </c>
      <c r="K509" s="8" t="s">
        <v>2422</v>
      </c>
    </row>
    <row r="510" spans="1:11" ht="15.5" x14ac:dyDescent="0.35">
      <c r="A510" s="10"/>
      <c r="B510" s="10"/>
      <c r="C510" s="10"/>
      <c r="D510" s="10"/>
      <c r="E510" s="10"/>
      <c r="F510" s="10"/>
      <c r="G510" s="9"/>
      <c r="H510" s="9"/>
      <c r="I510" s="9"/>
      <c r="J510" s="9"/>
      <c r="K510" s="8" t="s">
        <v>2421</v>
      </c>
    </row>
    <row r="511" spans="1:11" ht="15.5" x14ac:dyDescent="0.35">
      <c r="A511" s="10"/>
      <c r="B511" s="10"/>
      <c r="C511" s="10"/>
      <c r="D511" s="10"/>
      <c r="E511" s="10"/>
      <c r="F511" s="10"/>
      <c r="G511" s="11" t="s">
        <v>2420</v>
      </c>
      <c r="H511" s="11" t="s">
        <v>2419</v>
      </c>
      <c r="I511" s="12" t="s">
        <v>58</v>
      </c>
      <c r="J511" s="11" t="s">
        <v>2418</v>
      </c>
      <c r="K511" s="8" t="s">
        <v>2417</v>
      </c>
    </row>
    <row r="512" spans="1:11" ht="15.5" x14ac:dyDescent="0.35">
      <c r="A512" s="10"/>
      <c r="B512" s="10"/>
      <c r="C512" s="9"/>
      <c r="D512" s="9"/>
      <c r="E512" s="9"/>
      <c r="F512" s="9"/>
      <c r="G512" s="9"/>
      <c r="H512" s="9"/>
      <c r="I512" s="9"/>
      <c r="J512" s="9"/>
      <c r="K512" s="8" t="s">
        <v>2416</v>
      </c>
    </row>
    <row r="513" spans="1:11" ht="15.5" x14ac:dyDescent="0.35">
      <c r="A513" s="10"/>
      <c r="B513" s="10"/>
      <c r="C513" s="13" t="s">
        <v>2415</v>
      </c>
      <c r="D513" s="11" t="s">
        <v>2125</v>
      </c>
      <c r="E513" s="11" t="s">
        <v>2124</v>
      </c>
      <c r="F513" s="11" t="s">
        <v>65</v>
      </c>
      <c r="G513" s="11" t="s">
        <v>2414</v>
      </c>
      <c r="H513" s="11" t="s">
        <v>2413</v>
      </c>
      <c r="I513" s="22" t="s">
        <v>58</v>
      </c>
      <c r="J513" s="11" t="s">
        <v>2412</v>
      </c>
      <c r="K513" s="8" t="s">
        <v>2411</v>
      </c>
    </row>
    <row r="514" spans="1:11" ht="15.5" x14ac:dyDescent="0.35">
      <c r="A514" s="10"/>
      <c r="B514" s="10"/>
      <c r="C514" s="10"/>
      <c r="D514" s="10"/>
      <c r="E514" s="10"/>
      <c r="F514" s="10"/>
      <c r="G514" s="9"/>
      <c r="H514" s="9"/>
      <c r="I514" s="9"/>
      <c r="J514" s="9"/>
      <c r="K514" s="8" t="s">
        <v>2410</v>
      </c>
    </row>
    <row r="515" spans="1:11" ht="15.5" x14ac:dyDescent="0.35">
      <c r="A515" s="10"/>
      <c r="B515" s="10"/>
      <c r="C515" s="10"/>
      <c r="D515" s="10"/>
      <c r="E515" s="10"/>
      <c r="F515" s="10"/>
      <c r="G515" s="11" t="s">
        <v>2409</v>
      </c>
      <c r="H515" s="11" t="s">
        <v>2408</v>
      </c>
      <c r="I515" s="22" t="s">
        <v>58</v>
      </c>
      <c r="J515" s="11" t="s">
        <v>2407</v>
      </c>
      <c r="K515" s="8" t="s">
        <v>2406</v>
      </c>
    </row>
    <row r="516" spans="1:11" ht="15.5" x14ac:dyDescent="0.35">
      <c r="A516" s="10"/>
      <c r="B516" s="10"/>
      <c r="C516" s="10"/>
      <c r="D516" s="9"/>
      <c r="E516" s="9"/>
      <c r="F516" s="9"/>
      <c r="G516" s="9"/>
      <c r="H516" s="9"/>
      <c r="I516" s="9"/>
      <c r="J516" s="9"/>
      <c r="K516" s="8" t="s">
        <v>2405</v>
      </c>
    </row>
    <row r="517" spans="1:11" ht="15.5" x14ac:dyDescent="0.35">
      <c r="A517" s="10"/>
      <c r="B517" s="10"/>
      <c r="C517" s="10"/>
      <c r="D517" s="11" t="s">
        <v>2114</v>
      </c>
      <c r="E517" s="11" t="s">
        <v>2113</v>
      </c>
      <c r="F517" s="11" t="s">
        <v>65</v>
      </c>
      <c r="G517" s="11" t="s">
        <v>2404</v>
      </c>
      <c r="H517" s="11" t="s">
        <v>2403</v>
      </c>
      <c r="I517" s="22" t="s">
        <v>58</v>
      </c>
      <c r="J517" s="11" t="s">
        <v>2402</v>
      </c>
      <c r="K517" s="8" t="s">
        <v>2401</v>
      </c>
    </row>
    <row r="518" spans="1:11" ht="15.5" x14ac:dyDescent="0.35">
      <c r="A518" s="10"/>
      <c r="B518" s="10"/>
      <c r="C518" s="10"/>
      <c r="D518" s="10"/>
      <c r="E518" s="10"/>
      <c r="F518" s="10"/>
      <c r="G518" s="9"/>
      <c r="H518" s="9"/>
      <c r="I518" s="9"/>
      <c r="J518" s="9"/>
      <c r="K518" s="8" t="s">
        <v>2400</v>
      </c>
    </row>
    <row r="519" spans="1:11" ht="15.5" x14ac:dyDescent="0.35">
      <c r="A519" s="10"/>
      <c r="B519" s="10"/>
      <c r="C519" s="10"/>
      <c r="D519" s="10"/>
      <c r="E519" s="10"/>
      <c r="F519" s="10"/>
      <c r="G519" s="11" t="s">
        <v>2399</v>
      </c>
      <c r="H519" s="11" t="s">
        <v>2398</v>
      </c>
      <c r="I519" s="22" t="s">
        <v>58</v>
      </c>
      <c r="J519" s="11" t="s">
        <v>2397</v>
      </c>
      <c r="K519" s="8" t="s">
        <v>2396</v>
      </c>
    </row>
    <row r="520" spans="1:11" ht="15.5" x14ac:dyDescent="0.35">
      <c r="A520" s="10"/>
      <c r="B520" s="10"/>
      <c r="C520" s="10"/>
      <c r="D520" s="9"/>
      <c r="E520" s="9"/>
      <c r="F520" s="9"/>
      <c r="G520" s="9"/>
      <c r="H520" s="9"/>
      <c r="I520" s="9"/>
      <c r="J520" s="9"/>
      <c r="K520" s="8" t="s">
        <v>2395</v>
      </c>
    </row>
    <row r="521" spans="1:11" ht="15.5" x14ac:dyDescent="0.35">
      <c r="A521" s="10"/>
      <c r="B521" s="10"/>
      <c r="C521" s="10"/>
      <c r="D521" s="11" t="s">
        <v>2102</v>
      </c>
      <c r="E521" s="11" t="s">
        <v>2101</v>
      </c>
      <c r="F521" s="11" t="s">
        <v>65</v>
      </c>
      <c r="G521" s="11" t="s">
        <v>2394</v>
      </c>
      <c r="H521" s="11" t="s">
        <v>2393</v>
      </c>
      <c r="I521" s="22" t="s">
        <v>58</v>
      </c>
      <c r="J521" s="11" t="s">
        <v>2392</v>
      </c>
      <c r="K521" s="8" t="s">
        <v>2391</v>
      </c>
    </row>
    <row r="522" spans="1:11" ht="15.5" x14ac:dyDescent="0.35">
      <c r="A522" s="10"/>
      <c r="B522" s="10"/>
      <c r="C522" s="10"/>
      <c r="D522" s="10"/>
      <c r="E522" s="10"/>
      <c r="F522" s="10"/>
      <c r="G522" s="9"/>
      <c r="H522" s="9"/>
      <c r="I522" s="9"/>
      <c r="J522" s="9"/>
      <c r="K522" s="8" t="s">
        <v>2390</v>
      </c>
    </row>
    <row r="523" spans="1:11" ht="15.5" x14ac:dyDescent="0.35">
      <c r="A523" s="10"/>
      <c r="B523" s="10"/>
      <c r="C523" s="10"/>
      <c r="D523" s="10"/>
      <c r="E523" s="10"/>
      <c r="F523" s="10"/>
      <c r="G523" s="11" t="s">
        <v>2389</v>
      </c>
      <c r="H523" s="11" t="s">
        <v>2388</v>
      </c>
      <c r="I523" s="22" t="s">
        <v>58</v>
      </c>
      <c r="J523" s="11" t="s">
        <v>2387</v>
      </c>
      <c r="K523" s="8" t="s">
        <v>2386</v>
      </c>
    </row>
    <row r="524" spans="1:11" ht="15.5" x14ac:dyDescent="0.35">
      <c r="A524" s="10"/>
      <c r="B524" s="10"/>
      <c r="C524" s="10"/>
      <c r="D524" s="9"/>
      <c r="E524" s="9"/>
      <c r="F524" s="9"/>
      <c r="G524" s="9"/>
      <c r="H524" s="9"/>
      <c r="I524" s="9"/>
      <c r="J524" s="9"/>
      <c r="K524" s="8" t="s">
        <v>2385</v>
      </c>
    </row>
    <row r="525" spans="1:11" ht="15.5" x14ac:dyDescent="0.35">
      <c r="A525" s="10"/>
      <c r="B525" s="10"/>
      <c r="C525" s="10"/>
      <c r="D525" s="11" t="s">
        <v>2090</v>
      </c>
      <c r="E525" s="11" t="s">
        <v>2089</v>
      </c>
      <c r="F525" s="11" t="s">
        <v>65</v>
      </c>
      <c r="G525" s="11" t="s">
        <v>2384</v>
      </c>
      <c r="H525" s="11" t="s">
        <v>2383</v>
      </c>
      <c r="I525" s="22" t="s">
        <v>58</v>
      </c>
      <c r="J525" s="11" t="s">
        <v>2382</v>
      </c>
      <c r="K525" s="8" t="s">
        <v>2381</v>
      </c>
    </row>
    <row r="526" spans="1:11" ht="15.5" x14ac:dyDescent="0.35">
      <c r="A526" s="10"/>
      <c r="B526" s="10"/>
      <c r="C526" s="10"/>
      <c r="D526" s="10"/>
      <c r="E526" s="10"/>
      <c r="F526" s="10"/>
      <c r="G526" s="9"/>
      <c r="H526" s="9"/>
      <c r="I526" s="9"/>
      <c r="J526" s="9"/>
      <c r="K526" s="8" t="s">
        <v>2380</v>
      </c>
    </row>
    <row r="527" spans="1:11" ht="15.5" x14ac:dyDescent="0.35">
      <c r="A527" s="10"/>
      <c r="B527" s="10"/>
      <c r="C527" s="10"/>
      <c r="D527" s="10"/>
      <c r="E527" s="10"/>
      <c r="F527" s="10"/>
      <c r="G527" s="11" t="s">
        <v>2379</v>
      </c>
      <c r="H527" s="11" t="s">
        <v>2378</v>
      </c>
      <c r="I527" s="22" t="s">
        <v>58</v>
      </c>
      <c r="J527" s="11" t="s">
        <v>2377</v>
      </c>
      <c r="K527" s="8" t="s">
        <v>2376</v>
      </c>
    </row>
    <row r="528" spans="1:11" ht="15.5" x14ac:dyDescent="0.35">
      <c r="A528" s="10"/>
      <c r="B528" s="10"/>
      <c r="C528" s="10"/>
      <c r="D528" s="9"/>
      <c r="E528" s="9"/>
      <c r="F528" s="9"/>
      <c r="G528" s="9"/>
      <c r="H528" s="9"/>
      <c r="I528" s="9"/>
      <c r="J528" s="9"/>
      <c r="K528" s="8" t="s">
        <v>2375</v>
      </c>
    </row>
    <row r="529" spans="1:11" ht="15.5" x14ac:dyDescent="0.35">
      <c r="A529" s="10"/>
      <c r="B529" s="10"/>
      <c r="C529" s="10"/>
      <c r="D529" s="11" t="s">
        <v>2078</v>
      </c>
      <c r="E529" s="11" t="s">
        <v>2077</v>
      </c>
      <c r="F529" s="11" t="s">
        <v>244</v>
      </c>
      <c r="G529" s="11" t="s">
        <v>2374</v>
      </c>
      <c r="H529" s="11" t="s">
        <v>2373</v>
      </c>
      <c r="I529" s="14" t="s">
        <v>120</v>
      </c>
      <c r="J529" s="11" t="s">
        <v>2372</v>
      </c>
      <c r="K529" s="8" t="s">
        <v>2371</v>
      </c>
    </row>
    <row r="530" spans="1:11" ht="15.5" x14ac:dyDescent="0.35">
      <c r="A530" s="10"/>
      <c r="B530" s="10"/>
      <c r="C530" s="10"/>
      <c r="D530" s="10"/>
      <c r="E530" s="10"/>
      <c r="F530" s="10"/>
      <c r="G530" s="9"/>
      <c r="H530" s="9"/>
      <c r="I530" s="9"/>
      <c r="J530" s="9"/>
      <c r="K530" s="8" t="s">
        <v>2370</v>
      </c>
    </row>
    <row r="531" spans="1:11" ht="15.5" x14ac:dyDescent="0.35">
      <c r="A531" s="10"/>
      <c r="B531" s="10"/>
      <c r="C531" s="10"/>
      <c r="D531" s="10"/>
      <c r="E531" s="10"/>
      <c r="F531" s="10"/>
      <c r="G531" s="11" t="s">
        <v>2369</v>
      </c>
      <c r="H531" s="11" t="s">
        <v>2368</v>
      </c>
      <c r="I531" s="21" t="s">
        <v>58</v>
      </c>
      <c r="J531" s="11" t="s">
        <v>2367</v>
      </c>
      <c r="K531" s="8" t="s">
        <v>2366</v>
      </c>
    </row>
    <row r="532" spans="1:11" ht="15.5" x14ac:dyDescent="0.35">
      <c r="A532" s="10"/>
      <c r="B532" s="9"/>
      <c r="C532" s="9"/>
      <c r="D532" s="9"/>
      <c r="E532" s="9"/>
      <c r="F532" s="9"/>
      <c r="G532" s="9"/>
      <c r="H532" s="9"/>
      <c r="I532" s="9"/>
      <c r="J532" s="9"/>
      <c r="K532" s="8" t="s">
        <v>2365</v>
      </c>
    </row>
    <row r="533" spans="1:11" ht="15.5" x14ac:dyDescent="0.35">
      <c r="A533" s="10"/>
      <c r="B533" s="13" t="s">
        <v>2364</v>
      </c>
      <c r="C533" s="13" t="s">
        <v>2363</v>
      </c>
      <c r="D533" s="11" t="s">
        <v>2362</v>
      </c>
      <c r="E533" s="11" t="s">
        <v>2361</v>
      </c>
      <c r="F533" s="11" t="s">
        <v>65</v>
      </c>
      <c r="G533" s="11" t="s">
        <v>2360</v>
      </c>
      <c r="H533" s="11" t="s">
        <v>2359</v>
      </c>
      <c r="I533" s="21" t="s">
        <v>58</v>
      </c>
      <c r="J533" s="11" t="s">
        <v>2358</v>
      </c>
      <c r="K533" s="8" t="s">
        <v>2357</v>
      </c>
    </row>
    <row r="534" spans="1:11" ht="15.5" x14ac:dyDescent="0.35">
      <c r="A534" s="10"/>
      <c r="B534" s="10"/>
      <c r="C534" s="10"/>
      <c r="D534" s="10"/>
      <c r="E534" s="10"/>
      <c r="F534" s="10"/>
      <c r="G534" s="9"/>
      <c r="H534" s="9"/>
      <c r="I534" s="9"/>
      <c r="J534" s="9"/>
      <c r="K534" s="8" t="s">
        <v>2356</v>
      </c>
    </row>
    <row r="535" spans="1:11" ht="15.5" x14ac:dyDescent="0.35">
      <c r="A535" s="10"/>
      <c r="B535" s="10"/>
      <c r="C535" s="10"/>
      <c r="D535" s="10"/>
      <c r="E535" s="10"/>
      <c r="F535" s="10"/>
      <c r="G535" s="11" t="s">
        <v>2355</v>
      </c>
      <c r="H535" s="11" t="s">
        <v>2354</v>
      </c>
      <c r="I535" s="21" t="s">
        <v>58</v>
      </c>
      <c r="J535" s="11" t="s">
        <v>2353</v>
      </c>
      <c r="K535" s="8" t="s">
        <v>2352</v>
      </c>
    </row>
    <row r="536" spans="1:11" ht="15.5" x14ac:dyDescent="0.35">
      <c r="A536" s="10"/>
      <c r="B536" s="10"/>
      <c r="C536" s="10"/>
      <c r="D536" s="9"/>
      <c r="E536" s="9"/>
      <c r="F536" s="9"/>
      <c r="G536" s="9"/>
      <c r="H536" s="9"/>
      <c r="I536" s="9"/>
      <c r="J536" s="9"/>
      <c r="K536" s="8" t="s">
        <v>2351</v>
      </c>
    </row>
    <row r="537" spans="1:11" ht="15.5" x14ac:dyDescent="0.35">
      <c r="A537" s="10"/>
      <c r="B537" s="10"/>
      <c r="C537" s="10"/>
      <c r="D537" s="11" t="s">
        <v>2350</v>
      </c>
      <c r="E537" s="11" t="s">
        <v>2349</v>
      </c>
      <c r="F537" s="11" t="s">
        <v>65</v>
      </c>
      <c r="G537" s="11" t="s">
        <v>2348</v>
      </c>
      <c r="H537" s="11" t="s">
        <v>2347</v>
      </c>
      <c r="I537" s="21" t="s">
        <v>58</v>
      </c>
      <c r="J537" s="11" t="s">
        <v>2346</v>
      </c>
      <c r="K537" s="8" t="s">
        <v>2345</v>
      </c>
    </row>
    <row r="538" spans="1:11" ht="15.5" x14ac:dyDescent="0.35">
      <c r="A538" s="10"/>
      <c r="B538" s="10"/>
      <c r="C538" s="10"/>
      <c r="D538" s="10"/>
      <c r="E538" s="10"/>
      <c r="F538" s="10"/>
      <c r="G538" s="9"/>
      <c r="H538" s="9"/>
      <c r="I538" s="9"/>
      <c r="J538" s="9"/>
      <c r="K538" s="8" t="s">
        <v>2344</v>
      </c>
    </row>
    <row r="539" spans="1:11" ht="15.5" x14ac:dyDescent="0.35">
      <c r="A539" s="10"/>
      <c r="B539" s="10"/>
      <c r="C539" s="10"/>
      <c r="D539" s="10"/>
      <c r="E539" s="10"/>
      <c r="F539" s="10"/>
      <c r="G539" s="11" t="s">
        <v>2343</v>
      </c>
      <c r="H539" s="11" t="s">
        <v>2342</v>
      </c>
      <c r="I539" s="21" t="s">
        <v>58</v>
      </c>
      <c r="J539" s="11" t="s">
        <v>2341</v>
      </c>
      <c r="K539" s="8" t="s">
        <v>2340</v>
      </c>
    </row>
    <row r="540" spans="1:11" ht="15.5" x14ac:dyDescent="0.35">
      <c r="A540" s="10"/>
      <c r="B540" s="10"/>
      <c r="C540" s="10"/>
      <c r="D540" s="9"/>
      <c r="E540" s="9"/>
      <c r="F540" s="9"/>
      <c r="G540" s="9"/>
      <c r="H540" s="9"/>
      <c r="I540" s="9"/>
      <c r="J540" s="9"/>
      <c r="K540" s="8" t="s">
        <v>2339</v>
      </c>
    </row>
    <row r="541" spans="1:11" ht="15.5" x14ac:dyDescent="0.35">
      <c r="A541" s="10"/>
      <c r="B541" s="10"/>
      <c r="C541" s="10"/>
      <c r="D541" s="11" t="s">
        <v>2338</v>
      </c>
      <c r="E541" s="11" t="s">
        <v>2337</v>
      </c>
      <c r="F541" s="11" t="s">
        <v>65</v>
      </c>
      <c r="G541" s="11" t="s">
        <v>2336</v>
      </c>
      <c r="H541" s="11" t="s">
        <v>2335</v>
      </c>
      <c r="I541" s="21" t="s">
        <v>58</v>
      </c>
      <c r="J541" s="11" t="s">
        <v>2334</v>
      </c>
      <c r="K541" s="8" t="s">
        <v>2333</v>
      </c>
    </row>
    <row r="542" spans="1:11" ht="15.5" x14ac:dyDescent="0.35">
      <c r="A542" s="10"/>
      <c r="B542" s="10"/>
      <c r="C542" s="10"/>
      <c r="D542" s="10"/>
      <c r="E542" s="10"/>
      <c r="F542" s="10"/>
      <c r="G542" s="9"/>
      <c r="H542" s="9"/>
      <c r="I542" s="9"/>
      <c r="J542" s="9"/>
      <c r="K542" s="8" t="s">
        <v>2332</v>
      </c>
    </row>
    <row r="543" spans="1:11" ht="15.5" x14ac:dyDescent="0.35">
      <c r="A543" s="10"/>
      <c r="B543" s="10"/>
      <c r="C543" s="10"/>
      <c r="D543" s="10"/>
      <c r="E543" s="10"/>
      <c r="F543" s="10"/>
      <c r="G543" s="11" t="s">
        <v>2331</v>
      </c>
      <c r="H543" s="11" t="s">
        <v>2330</v>
      </c>
      <c r="I543" s="21" t="s">
        <v>58</v>
      </c>
      <c r="J543" s="11" t="s">
        <v>2329</v>
      </c>
      <c r="K543" s="8" t="s">
        <v>2328</v>
      </c>
    </row>
    <row r="544" spans="1:11" ht="15.5" x14ac:dyDescent="0.35">
      <c r="A544" s="10"/>
      <c r="B544" s="10"/>
      <c r="C544" s="10"/>
      <c r="D544" s="9"/>
      <c r="E544" s="9"/>
      <c r="F544" s="9"/>
      <c r="G544" s="9"/>
      <c r="H544" s="9"/>
      <c r="I544" s="9"/>
      <c r="J544" s="9"/>
      <c r="K544" s="8" t="s">
        <v>2327</v>
      </c>
    </row>
    <row r="545" spans="1:11" ht="15.5" x14ac:dyDescent="0.35">
      <c r="A545" s="10"/>
      <c r="B545" s="10"/>
      <c r="C545" s="10"/>
      <c r="D545" s="11" t="s">
        <v>2326</v>
      </c>
      <c r="E545" s="11" t="s">
        <v>2325</v>
      </c>
      <c r="F545" s="11" t="s">
        <v>65</v>
      </c>
      <c r="G545" s="11" t="s">
        <v>2324</v>
      </c>
      <c r="H545" s="11" t="s">
        <v>2323</v>
      </c>
      <c r="I545" s="21" t="s">
        <v>58</v>
      </c>
      <c r="J545" s="11" t="s">
        <v>2322</v>
      </c>
      <c r="K545" s="8" t="s">
        <v>2321</v>
      </c>
    </row>
    <row r="546" spans="1:11" ht="15.5" x14ac:dyDescent="0.35">
      <c r="A546" s="10"/>
      <c r="B546" s="10"/>
      <c r="C546" s="10"/>
      <c r="D546" s="10"/>
      <c r="E546" s="10"/>
      <c r="F546" s="10"/>
      <c r="G546" s="9"/>
      <c r="H546" s="9"/>
      <c r="I546" s="9"/>
      <c r="J546" s="9"/>
      <c r="K546" s="8" t="s">
        <v>2320</v>
      </c>
    </row>
    <row r="547" spans="1:11" ht="15.5" x14ac:dyDescent="0.35">
      <c r="A547" s="10"/>
      <c r="B547" s="10"/>
      <c r="C547" s="10"/>
      <c r="D547" s="10"/>
      <c r="E547" s="10"/>
      <c r="F547" s="10"/>
      <c r="G547" s="11" t="s">
        <v>2319</v>
      </c>
      <c r="H547" s="11" t="s">
        <v>2318</v>
      </c>
      <c r="I547" s="21" t="s">
        <v>58</v>
      </c>
      <c r="J547" s="11" t="s">
        <v>2317</v>
      </c>
      <c r="K547" s="8" t="s">
        <v>2316</v>
      </c>
    </row>
    <row r="548" spans="1:11" ht="15.5" x14ac:dyDescent="0.35">
      <c r="A548" s="10"/>
      <c r="B548" s="10"/>
      <c r="C548" s="10"/>
      <c r="D548" s="9"/>
      <c r="E548" s="9"/>
      <c r="F548" s="9"/>
      <c r="G548" s="9"/>
      <c r="H548" s="9"/>
      <c r="I548" s="9"/>
      <c r="J548" s="9"/>
      <c r="K548" s="8" t="s">
        <v>2315</v>
      </c>
    </row>
    <row r="549" spans="1:11" ht="15.5" x14ac:dyDescent="0.35">
      <c r="A549" s="10"/>
      <c r="B549" s="10"/>
      <c r="C549" s="10"/>
      <c r="D549" s="11" t="s">
        <v>2314</v>
      </c>
      <c r="E549" s="11" t="s">
        <v>2313</v>
      </c>
      <c r="F549" s="11" t="s">
        <v>65</v>
      </c>
      <c r="G549" s="11" t="s">
        <v>2312</v>
      </c>
      <c r="H549" s="11" t="s">
        <v>2311</v>
      </c>
      <c r="I549" s="21" t="s">
        <v>58</v>
      </c>
      <c r="J549" s="11" t="s">
        <v>2310</v>
      </c>
      <c r="K549" s="8" t="s">
        <v>2309</v>
      </c>
    </row>
    <row r="550" spans="1:11" ht="15.5" x14ac:dyDescent="0.35">
      <c r="A550" s="10"/>
      <c r="B550" s="10"/>
      <c r="C550" s="10"/>
      <c r="D550" s="10"/>
      <c r="E550" s="10"/>
      <c r="F550" s="10"/>
      <c r="G550" s="9"/>
      <c r="H550" s="9"/>
      <c r="I550" s="9"/>
      <c r="J550" s="9"/>
      <c r="K550" s="8" t="s">
        <v>2308</v>
      </c>
    </row>
    <row r="551" spans="1:11" ht="15.5" x14ac:dyDescent="0.35">
      <c r="A551" s="10"/>
      <c r="B551" s="10"/>
      <c r="C551" s="10"/>
      <c r="D551" s="10"/>
      <c r="E551" s="10"/>
      <c r="F551" s="10"/>
      <c r="G551" s="11" t="s">
        <v>2307</v>
      </c>
      <c r="H551" s="11" t="s">
        <v>2306</v>
      </c>
      <c r="I551" s="21" t="s">
        <v>58</v>
      </c>
      <c r="J551" s="11" t="s">
        <v>2305</v>
      </c>
      <c r="K551" s="8" t="s">
        <v>2304</v>
      </c>
    </row>
    <row r="552" spans="1:11" ht="15.5" x14ac:dyDescent="0.35">
      <c r="A552" s="10"/>
      <c r="B552" s="10"/>
      <c r="C552" s="9"/>
      <c r="D552" s="9"/>
      <c r="E552" s="9"/>
      <c r="F552" s="9"/>
      <c r="G552" s="9"/>
      <c r="H552" s="9"/>
      <c r="I552" s="9"/>
      <c r="J552" s="9"/>
      <c r="K552" s="8" t="s">
        <v>2303</v>
      </c>
    </row>
    <row r="553" spans="1:11" ht="15.5" x14ac:dyDescent="0.35">
      <c r="A553" s="10"/>
      <c r="B553" s="10"/>
      <c r="C553" s="13" t="s">
        <v>2302</v>
      </c>
      <c r="D553" s="11" t="s">
        <v>2301</v>
      </c>
      <c r="E553" s="11" t="s">
        <v>2300</v>
      </c>
      <c r="F553" s="11" t="s">
        <v>65</v>
      </c>
      <c r="G553" s="11" t="s">
        <v>2299</v>
      </c>
      <c r="H553" s="11" t="s">
        <v>2298</v>
      </c>
      <c r="I553" s="21" t="s">
        <v>58</v>
      </c>
      <c r="J553" s="11" t="s">
        <v>2297</v>
      </c>
      <c r="K553" s="8" t="s">
        <v>2296</v>
      </c>
    </row>
    <row r="554" spans="1:11" ht="15.5" x14ac:dyDescent="0.35">
      <c r="A554" s="10"/>
      <c r="B554" s="10"/>
      <c r="C554" s="10"/>
      <c r="D554" s="10"/>
      <c r="E554" s="10"/>
      <c r="F554" s="10"/>
      <c r="G554" s="9"/>
      <c r="H554" s="9"/>
      <c r="I554" s="9"/>
      <c r="J554" s="9"/>
      <c r="K554" s="8" t="s">
        <v>2295</v>
      </c>
    </row>
    <row r="555" spans="1:11" ht="15.5" x14ac:dyDescent="0.35">
      <c r="A555" s="10"/>
      <c r="B555" s="10"/>
      <c r="C555" s="10"/>
      <c r="D555" s="10"/>
      <c r="E555" s="10"/>
      <c r="F555" s="10"/>
      <c r="G555" s="11" t="s">
        <v>2294</v>
      </c>
      <c r="H555" s="11" t="s">
        <v>2293</v>
      </c>
      <c r="I555" s="21" t="s">
        <v>58</v>
      </c>
      <c r="J555" s="11" t="s">
        <v>2292</v>
      </c>
      <c r="K555" s="8" t="s">
        <v>2291</v>
      </c>
    </row>
    <row r="556" spans="1:11" ht="15.5" x14ac:dyDescent="0.35">
      <c r="A556" s="10"/>
      <c r="B556" s="10"/>
      <c r="C556" s="10"/>
      <c r="D556" s="9"/>
      <c r="E556" s="9"/>
      <c r="F556" s="9"/>
      <c r="G556" s="9"/>
      <c r="H556" s="9"/>
      <c r="I556" s="9"/>
      <c r="J556" s="9"/>
      <c r="K556" s="8" t="s">
        <v>2290</v>
      </c>
    </row>
    <row r="557" spans="1:11" ht="15.5" x14ac:dyDescent="0.35">
      <c r="A557" s="10"/>
      <c r="B557" s="10"/>
      <c r="C557" s="10"/>
      <c r="D557" s="11" t="s">
        <v>2289</v>
      </c>
      <c r="E557" s="11" t="s">
        <v>2288</v>
      </c>
      <c r="F557" s="11" t="s">
        <v>65</v>
      </c>
      <c r="G557" s="11" t="s">
        <v>2287</v>
      </c>
      <c r="H557" s="11" t="s">
        <v>2286</v>
      </c>
      <c r="I557" s="21" t="s">
        <v>58</v>
      </c>
      <c r="J557" s="11" t="s">
        <v>183</v>
      </c>
      <c r="K557" s="8" t="s">
        <v>2285</v>
      </c>
    </row>
    <row r="558" spans="1:11" ht="15.5" x14ac:dyDescent="0.35">
      <c r="A558" s="10"/>
      <c r="B558" s="10"/>
      <c r="C558" s="10"/>
      <c r="D558" s="10"/>
      <c r="E558" s="10"/>
      <c r="F558" s="10"/>
      <c r="G558" s="9"/>
      <c r="H558" s="9"/>
      <c r="I558" s="9"/>
      <c r="J558" s="9"/>
      <c r="K558" s="8" t="s">
        <v>2284</v>
      </c>
    </row>
    <row r="559" spans="1:11" ht="15.5" x14ac:dyDescent="0.35">
      <c r="A559" s="10"/>
      <c r="B559" s="10"/>
      <c r="C559" s="10"/>
      <c r="D559" s="10"/>
      <c r="E559" s="10"/>
      <c r="F559" s="10"/>
      <c r="G559" s="11" t="s">
        <v>2283</v>
      </c>
      <c r="H559" s="11" t="s">
        <v>2282</v>
      </c>
      <c r="I559" s="21" t="s">
        <v>58</v>
      </c>
      <c r="J559" s="11" t="s">
        <v>2281</v>
      </c>
      <c r="K559" s="8" t="s">
        <v>2280</v>
      </c>
    </row>
    <row r="560" spans="1:11" ht="15.5" x14ac:dyDescent="0.35">
      <c r="A560" s="10"/>
      <c r="B560" s="10"/>
      <c r="C560" s="10"/>
      <c r="D560" s="9"/>
      <c r="E560" s="9"/>
      <c r="F560" s="9"/>
      <c r="G560" s="9"/>
      <c r="H560" s="9"/>
      <c r="I560" s="9"/>
      <c r="J560" s="9"/>
      <c r="K560" s="8" t="s">
        <v>2279</v>
      </c>
    </row>
    <row r="561" spans="1:11" ht="15.5" x14ac:dyDescent="0.35">
      <c r="A561" s="10"/>
      <c r="B561" s="10"/>
      <c r="C561" s="10"/>
      <c r="D561" s="11" t="s">
        <v>2278</v>
      </c>
      <c r="E561" s="11" t="s">
        <v>2277</v>
      </c>
      <c r="F561" s="11" t="s">
        <v>65</v>
      </c>
      <c r="G561" s="11" t="s">
        <v>2276</v>
      </c>
      <c r="H561" s="11" t="s">
        <v>2275</v>
      </c>
      <c r="I561" s="21" t="s">
        <v>58</v>
      </c>
      <c r="J561" s="11" t="s">
        <v>2274</v>
      </c>
      <c r="K561" s="8" t="s">
        <v>2273</v>
      </c>
    </row>
    <row r="562" spans="1:11" ht="15.5" x14ac:dyDescent="0.35">
      <c r="A562" s="10"/>
      <c r="B562" s="10"/>
      <c r="C562" s="10"/>
      <c r="D562" s="10"/>
      <c r="E562" s="10"/>
      <c r="F562" s="10"/>
      <c r="G562" s="10"/>
      <c r="H562" s="9"/>
      <c r="I562" s="9"/>
      <c r="J562" s="9"/>
      <c r="K562" s="8" t="s">
        <v>2272</v>
      </c>
    </row>
    <row r="563" spans="1:11" ht="15.5" x14ac:dyDescent="0.35">
      <c r="A563" s="10"/>
      <c r="B563" s="10"/>
      <c r="C563" s="10"/>
      <c r="D563" s="10"/>
      <c r="E563" s="10"/>
      <c r="F563" s="10"/>
      <c r="G563" s="11" t="s">
        <v>2271</v>
      </c>
      <c r="H563" s="11" t="s">
        <v>2270</v>
      </c>
      <c r="I563" s="21" t="s">
        <v>58</v>
      </c>
      <c r="J563" s="11" t="s">
        <v>2269</v>
      </c>
      <c r="K563" s="8" t="s">
        <v>2268</v>
      </c>
    </row>
    <row r="564" spans="1:11" ht="15.5" x14ac:dyDescent="0.35">
      <c r="A564" s="10"/>
      <c r="B564" s="10"/>
      <c r="C564" s="10"/>
      <c r="D564" s="9"/>
      <c r="E564" s="9"/>
      <c r="F564" s="9"/>
      <c r="G564" s="9"/>
      <c r="H564" s="9"/>
      <c r="I564" s="9"/>
      <c r="J564" s="9"/>
      <c r="K564" s="8" t="s">
        <v>2267</v>
      </c>
    </row>
    <row r="565" spans="1:11" ht="15.5" x14ac:dyDescent="0.35">
      <c r="A565" s="10"/>
      <c r="B565" s="10"/>
      <c r="C565" s="10"/>
      <c r="D565" s="11" t="s">
        <v>2266</v>
      </c>
      <c r="E565" s="11" t="s">
        <v>2265</v>
      </c>
      <c r="F565" s="11" t="s">
        <v>65</v>
      </c>
      <c r="G565" s="11" t="s">
        <v>2264</v>
      </c>
      <c r="H565" s="11" t="s">
        <v>2263</v>
      </c>
      <c r="I565" s="21" t="s">
        <v>58</v>
      </c>
      <c r="J565" s="11" t="s">
        <v>2262</v>
      </c>
      <c r="K565" s="8" t="s">
        <v>2261</v>
      </c>
    </row>
    <row r="566" spans="1:11" ht="15.5" x14ac:dyDescent="0.35">
      <c r="A566" s="10"/>
      <c r="B566" s="10"/>
      <c r="C566" s="10"/>
      <c r="D566" s="10"/>
      <c r="E566" s="10"/>
      <c r="F566" s="10"/>
      <c r="G566" s="9"/>
      <c r="H566" s="9"/>
      <c r="I566" s="9"/>
      <c r="J566" s="9"/>
      <c r="K566" s="8" t="s">
        <v>2260</v>
      </c>
    </row>
    <row r="567" spans="1:11" ht="15.5" x14ac:dyDescent="0.35">
      <c r="A567" s="10"/>
      <c r="B567" s="10"/>
      <c r="C567" s="10"/>
      <c r="D567" s="10"/>
      <c r="E567" s="10"/>
      <c r="F567" s="10"/>
      <c r="G567" s="11" t="s">
        <v>2259</v>
      </c>
      <c r="H567" s="11" t="s">
        <v>2258</v>
      </c>
      <c r="I567" s="21" t="s">
        <v>58</v>
      </c>
      <c r="J567" s="11" t="s">
        <v>2257</v>
      </c>
      <c r="K567" s="8" t="s">
        <v>2256</v>
      </c>
    </row>
    <row r="568" spans="1:11" ht="15.5" x14ac:dyDescent="0.35">
      <c r="A568" s="10"/>
      <c r="B568" s="10"/>
      <c r="C568" s="10"/>
      <c r="D568" s="9"/>
      <c r="E568" s="9"/>
      <c r="F568" s="9"/>
      <c r="G568" s="9"/>
      <c r="H568" s="9"/>
      <c r="I568" s="9"/>
      <c r="J568" s="9"/>
      <c r="K568" s="8" t="s">
        <v>2255</v>
      </c>
    </row>
    <row r="569" spans="1:11" ht="15.5" x14ac:dyDescent="0.35">
      <c r="A569" s="10"/>
      <c r="B569" s="10"/>
      <c r="C569" s="10"/>
      <c r="D569" s="11" t="s">
        <v>2254</v>
      </c>
      <c r="E569" s="11" t="s">
        <v>2253</v>
      </c>
      <c r="F569" s="11" t="s">
        <v>65</v>
      </c>
      <c r="G569" s="11" t="s">
        <v>2252</v>
      </c>
      <c r="H569" s="11" t="s">
        <v>2251</v>
      </c>
      <c r="I569" s="14" t="s">
        <v>120</v>
      </c>
      <c r="J569" s="11" t="s">
        <v>2250</v>
      </c>
      <c r="K569" s="8" t="s">
        <v>2249</v>
      </c>
    </row>
    <row r="570" spans="1:11" ht="15.5" x14ac:dyDescent="0.35">
      <c r="A570" s="10"/>
      <c r="B570" s="10"/>
      <c r="C570" s="10"/>
      <c r="D570" s="10"/>
      <c r="E570" s="10"/>
      <c r="F570" s="10"/>
      <c r="G570" s="9"/>
      <c r="H570" s="9"/>
      <c r="I570" s="9"/>
      <c r="J570" s="9"/>
      <c r="K570" s="8" t="s">
        <v>2248</v>
      </c>
    </row>
    <row r="571" spans="1:11" ht="15.5" x14ac:dyDescent="0.35">
      <c r="A571" s="10"/>
      <c r="B571" s="10"/>
      <c r="C571" s="10"/>
      <c r="D571" s="10"/>
      <c r="E571" s="10"/>
      <c r="F571" s="10"/>
      <c r="G571" s="11" t="s">
        <v>2247</v>
      </c>
      <c r="H571" s="11" t="s">
        <v>2246</v>
      </c>
      <c r="I571" s="14" t="s">
        <v>120</v>
      </c>
      <c r="J571" s="11" t="s">
        <v>2245</v>
      </c>
      <c r="K571" s="8" t="s">
        <v>2244</v>
      </c>
    </row>
    <row r="572" spans="1:11" ht="15.5" x14ac:dyDescent="0.35">
      <c r="A572" s="10"/>
      <c r="B572" s="10"/>
      <c r="C572" s="9"/>
      <c r="D572" s="9"/>
      <c r="E572" s="9"/>
      <c r="F572" s="9"/>
      <c r="G572" s="9"/>
      <c r="H572" s="9"/>
      <c r="I572" s="9"/>
      <c r="J572" s="9"/>
      <c r="K572" s="8" t="s">
        <v>2243</v>
      </c>
    </row>
    <row r="573" spans="1:11" ht="15.5" x14ac:dyDescent="0.35">
      <c r="A573" s="10"/>
      <c r="B573" s="10"/>
      <c r="C573" s="13" t="s">
        <v>2242</v>
      </c>
      <c r="D573" s="11" t="s">
        <v>2241</v>
      </c>
      <c r="E573" s="11" t="s">
        <v>2240</v>
      </c>
      <c r="F573" s="11" t="s">
        <v>65</v>
      </c>
      <c r="G573" s="11" t="s">
        <v>2239</v>
      </c>
      <c r="H573" s="11" t="s">
        <v>2238</v>
      </c>
      <c r="I573" s="14" t="s">
        <v>120</v>
      </c>
      <c r="J573" s="11" t="s">
        <v>2237</v>
      </c>
      <c r="K573" s="8" t="s">
        <v>2236</v>
      </c>
    </row>
    <row r="574" spans="1:11" ht="15.5" x14ac:dyDescent="0.35">
      <c r="A574" s="10"/>
      <c r="B574" s="10"/>
      <c r="C574" s="10"/>
      <c r="D574" s="10"/>
      <c r="E574" s="10"/>
      <c r="F574" s="10"/>
      <c r="G574" s="9"/>
      <c r="H574" s="9"/>
      <c r="I574" s="9"/>
      <c r="J574" s="9"/>
      <c r="K574" s="8" t="s">
        <v>370</v>
      </c>
    </row>
    <row r="575" spans="1:11" ht="15.5" x14ac:dyDescent="0.35">
      <c r="A575" s="10"/>
      <c r="B575" s="10"/>
      <c r="C575" s="10"/>
      <c r="D575" s="10"/>
      <c r="E575" s="10"/>
      <c r="F575" s="10"/>
      <c r="G575" s="11" t="s">
        <v>2235</v>
      </c>
      <c r="H575" s="11" t="s">
        <v>2234</v>
      </c>
      <c r="I575" s="14" t="s">
        <v>120</v>
      </c>
      <c r="J575" s="11" t="s">
        <v>2233</v>
      </c>
      <c r="K575" s="8" t="s">
        <v>2232</v>
      </c>
    </row>
    <row r="576" spans="1:11" ht="15.5" x14ac:dyDescent="0.35">
      <c r="A576" s="10"/>
      <c r="B576" s="10"/>
      <c r="C576" s="10"/>
      <c r="D576" s="9"/>
      <c r="E576" s="9"/>
      <c r="F576" s="9"/>
      <c r="G576" s="9"/>
      <c r="H576" s="9"/>
      <c r="I576" s="9"/>
      <c r="J576" s="9"/>
      <c r="K576" s="8" t="s">
        <v>2231</v>
      </c>
    </row>
    <row r="577" spans="1:11" ht="15.5" x14ac:dyDescent="0.35">
      <c r="A577" s="10"/>
      <c r="B577" s="10"/>
      <c r="C577" s="10"/>
      <c r="D577" s="11" t="s">
        <v>2230</v>
      </c>
      <c r="E577" s="11" t="s">
        <v>2229</v>
      </c>
      <c r="F577" s="11" t="s">
        <v>65</v>
      </c>
      <c r="G577" s="11" t="s">
        <v>2228</v>
      </c>
      <c r="H577" s="11" t="s">
        <v>2227</v>
      </c>
      <c r="I577" s="14" t="s">
        <v>120</v>
      </c>
      <c r="J577" s="11" t="s">
        <v>2226</v>
      </c>
      <c r="K577" s="8" t="s">
        <v>2225</v>
      </c>
    </row>
    <row r="578" spans="1:11" ht="15.5" x14ac:dyDescent="0.35">
      <c r="A578" s="10"/>
      <c r="B578" s="10"/>
      <c r="C578" s="10"/>
      <c r="D578" s="10"/>
      <c r="E578" s="10"/>
      <c r="F578" s="10"/>
      <c r="G578" s="9"/>
      <c r="H578" s="9"/>
      <c r="I578" s="9"/>
      <c r="J578" s="9"/>
      <c r="K578" s="8" t="s">
        <v>2224</v>
      </c>
    </row>
    <row r="579" spans="1:11" ht="15.5" x14ac:dyDescent="0.35">
      <c r="A579" s="10"/>
      <c r="B579" s="10"/>
      <c r="C579" s="10"/>
      <c r="D579" s="10"/>
      <c r="E579" s="10"/>
      <c r="F579" s="10"/>
      <c r="G579" s="11" t="s">
        <v>2223</v>
      </c>
      <c r="H579" s="11" t="s">
        <v>2222</v>
      </c>
      <c r="I579" s="14" t="s">
        <v>120</v>
      </c>
      <c r="J579" s="11" t="s">
        <v>2221</v>
      </c>
      <c r="K579" s="8" t="s">
        <v>2220</v>
      </c>
    </row>
    <row r="580" spans="1:11" ht="15.5" x14ac:dyDescent="0.35">
      <c r="A580" s="10"/>
      <c r="B580" s="10"/>
      <c r="C580" s="10"/>
      <c r="D580" s="9"/>
      <c r="E580" s="9"/>
      <c r="F580" s="9"/>
      <c r="G580" s="9"/>
      <c r="H580" s="9"/>
      <c r="I580" s="9"/>
      <c r="J580" s="9"/>
      <c r="K580" s="8" t="s">
        <v>2219</v>
      </c>
    </row>
    <row r="581" spans="1:11" ht="15.5" x14ac:dyDescent="0.35">
      <c r="A581" s="10"/>
      <c r="B581" s="10"/>
      <c r="C581" s="10"/>
      <c r="D581" s="11" t="s">
        <v>2218</v>
      </c>
      <c r="E581" s="11" t="s">
        <v>2217</v>
      </c>
      <c r="F581" s="11" t="s">
        <v>244</v>
      </c>
      <c r="G581" s="11" t="s">
        <v>2216</v>
      </c>
      <c r="H581" s="11" t="s">
        <v>2215</v>
      </c>
      <c r="I581" s="14" t="s">
        <v>120</v>
      </c>
      <c r="J581" s="11" t="s">
        <v>2214</v>
      </c>
      <c r="K581" s="8" t="s">
        <v>2213</v>
      </c>
    </row>
    <row r="582" spans="1:11" ht="15.5" x14ac:dyDescent="0.35">
      <c r="A582" s="10"/>
      <c r="B582" s="10"/>
      <c r="C582" s="10"/>
      <c r="D582" s="10"/>
      <c r="E582" s="10"/>
      <c r="F582" s="10"/>
      <c r="G582" s="9"/>
      <c r="H582" s="9"/>
      <c r="I582" s="9"/>
      <c r="J582" s="9"/>
      <c r="K582" s="8" t="s">
        <v>2212</v>
      </c>
    </row>
    <row r="583" spans="1:11" ht="15.5" x14ac:dyDescent="0.35">
      <c r="A583" s="10"/>
      <c r="B583" s="10"/>
      <c r="C583" s="10"/>
      <c r="D583" s="10"/>
      <c r="E583" s="10"/>
      <c r="F583" s="10"/>
      <c r="G583" s="11" t="s">
        <v>2211</v>
      </c>
      <c r="H583" s="11" t="s">
        <v>2210</v>
      </c>
      <c r="I583" s="14" t="s">
        <v>120</v>
      </c>
      <c r="J583" s="11" t="s">
        <v>2209</v>
      </c>
      <c r="K583" s="8" t="s">
        <v>2208</v>
      </c>
    </row>
    <row r="584" spans="1:11" ht="15.5" x14ac:dyDescent="0.35">
      <c r="A584" s="10"/>
      <c r="B584" s="10"/>
      <c r="C584" s="10"/>
      <c r="D584" s="9"/>
      <c r="E584" s="9"/>
      <c r="F584" s="9"/>
      <c r="G584" s="9"/>
      <c r="H584" s="9"/>
      <c r="I584" s="9"/>
      <c r="J584" s="9"/>
      <c r="K584" s="8" t="s">
        <v>2207</v>
      </c>
    </row>
    <row r="585" spans="1:11" ht="15.5" x14ac:dyDescent="0.35">
      <c r="A585" s="10"/>
      <c r="B585" s="10"/>
      <c r="C585" s="10"/>
      <c r="D585" s="11" t="s">
        <v>2206</v>
      </c>
      <c r="E585" s="11" t="s">
        <v>2205</v>
      </c>
      <c r="F585" s="11" t="s">
        <v>65</v>
      </c>
      <c r="G585" s="11" t="s">
        <v>2204</v>
      </c>
      <c r="H585" s="11" t="s">
        <v>2203</v>
      </c>
      <c r="I585" s="14" t="s">
        <v>120</v>
      </c>
      <c r="J585" s="11" t="s">
        <v>2202</v>
      </c>
      <c r="K585" s="8" t="s">
        <v>1958</v>
      </c>
    </row>
    <row r="586" spans="1:11" ht="15.5" x14ac:dyDescent="0.35">
      <c r="A586" s="10"/>
      <c r="B586" s="10"/>
      <c r="C586" s="10"/>
      <c r="D586" s="10"/>
      <c r="E586" s="10"/>
      <c r="F586" s="10"/>
      <c r="G586" s="9"/>
      <c r="H586" s="9"/>
      <c r="I586" s="9"/>
      <c r="J586" s="9"/>
      <c r="K586" s="8" t="s">
        <v>2201</v>
      </c>
    </row>
    <row r="587" spans="1:11" ht="15.5" x14ac:dyDescent="0.35">
      <c r="A587" s="10"/>
      <c r="B587" s="10"/>
      <c r="C587" s="10"/>
      <c r="D587" s="10"/>
      <c r="E587" s="10"/>
      <c r="F587" s="10"/>
      <c r="G587" s="11" t="s">
        <v>2200</v>
      </c>
      <c r="H587" s="11" t="s">
        <v>2199</v>
      </c>
      <c r="I587" s="14" t="s">
        <v>120</v>
      </c>
      <c r="J587" s="11" t="s">
        <v>2198</v>
      </c>
      <c r="K587" s="8" t="s">
        <v>2197</v>
      </c>
    </row>
    <row r="588" spans="1:11" ht="15.5" x14ac:dyDescent="0.35">
      <c r="A588" s="10"/>
      <c r="B588" s="10"/>
      <c r="C588" s="10"/>
      <c r="D588" s="9"/>
      <c r="E588" s="9"/>
      <c r="F588" s="9"/>
      <c r="G588" s="9"/>
      <c r="H588" s="9"/>
      <c r="I588" s="9"/>
      <c r="J588" s="9"/>
      <c r="K588" s="8" t="s">
        <v>2196</v>
      </c>
    </row>
    <row r="589" spans="1:11" ht="15.5" x14ac:dyDescent="0.35">
      <c r="A589" s="10"/>
      <c r="B589" s="10"/>
      <c r="C589" s="10"/>
      <c r="D589" s="11" t="s">
        <v>2195</v>
      </c>
      <c r="E589" s="11" t="s">
        <v>2194</v>
      </c>
      <c r="F589" s="11" t="s">
        <v>65</v>
      </c>
      <c r="G589" s="11" t="s">
        <v>2193</v>
      </c>
      <c r="H589" s="11" t="s">
        <v>2192</v>
      </c>
      <c r="I589" s="14" t="s">
        <v>120</v>
      </c>
      <c r="J589" s="11" t="s">
        <v>2191</v>
      </c>
      <c r="K589" s="8" t="s">
        <v>2190</v>
      </c>
    </row>
    <row r="590" spans="1:11" ht="15.5" x14ac:dyDescent="0.35">
      <c r="A590" s="10"/>
      <c r="B590" s="10"/>
      <c r="C590" s="10"/>
      <c r="D590" s="10"/>
      <c r="E590" s="10"/>
      <c r="F590" s="10"/>
      <c r="G590" s="9"/>
      <c r="H590" s="9"/>
      <c r="I590" s="9"/>
      <c r="J590" s="9"/>
      <c r="K590" s="8" t="s">
        <v>2189</v>
      </c>
    </row>
    <row r="591" spans="1:11" ht="15.5" x14ac:dyDescent="0.35">
      <c r="A591" s="10"/>
      <c r="B591" s="10"/>
      <c r="C591" s="10"/>
      <c r="D591" s="10"/>
      <c r="E591" s="10"/>
      <c r="F591" s="10"/>
      <c r="G591" s="11" t="s">
        <v>2188</v>
      </c>
      <c r="H591" s="11" t="s">
        <v>2187</v>
      </c>
      <c r="I591" s="14" t="s">
        <v>120</v>
      </c>
      <c r="J591" s="11" t="s">
        <v>2186</v>
      </c>
      <c r="K591" s="8" t="s">
        <v>2185</v>
      </c>
    </row>
    <row r="592" spans="1:11" ht="15.5" x14ac:dyDescent="0.35">
      <c r="A592" s="10"/>
      <c r="B592" s="10"/>
      <c r="C592" s="9"/>
      <c r="D592" s="9"/>
      <c r="E592" s="9"/>
      <c r="F592" s="9"/>
      <c r="G592" s="9"/>
      <c r="H592" s="9"/>
      <c r="I592" s="9"/>
      <c r="J592" s="9"/>
      <c r="K592" s="8" t="s">
        <v>2184</v>
      </c>
    </row>
    <row r="593" spans="1:11" ht="15.5" x14ac:dyDescent="0.35">
      <c r="A593" s="10"/>
      <c r="B593" s="10"/>
      <c r="C593" s="13" t="s">
        <v>2183</v>
      </c>
      <c r="D593" s="11" t="s">
        <v>2182</v>
      </c>
      <c r="E593" s="11" t="s">
        <v>2181</v>
      </c>
      <c r="F593" s="11" t="s">
        <v>65</v>
      </c>
      <c r="G593" s="11" t="s">
        <v>2180</v>
      </c>
      <c r="H593" s="11" t="s">
        <v>2179</v>
      </c>
      <c r="I593" s="12" t="s">
        <v>58</v>
      </c>
      <c r="J593" s="11" t="s">
        <v>2178</v>
      </c>
      <c r="K593" s="8" t="s">
        <v>2177</v>
      </c>
    </row>
    <row r="594" spans="1:11" ht="15.5" x14ac:dyDescent="0.35">
      <c r="A594" s="10"/>
      <c r="B594" s="10"/>
      <c r="C594" s="10"/>
      <c r="D594" s="10"/>
      <c r="E594" s="10"/>
      <c r="F594" s="10"/>
      <c r="G594" s="9"/>
      <c r="H594" s="9"/>
      <c r="I594" s="9"/>
      <c r="J594" s="9"/>
      <c r="K594" s="8" t="s">
        <v>2176</v>
      </c>
    </row>
    <row r="595" spans="1:11" ht="15.5" x14ac:dyDescent="0.35">
      <c r="A595" s="10"/>
      <c r="B595" s="10"/>
      <c r="C595" s="10"/>
      <c r="D595" s="10"/>
      <c r="E595" s="10"/>
      <c r="F595" s="10"/>
      <c r="G595" s="11" t="s">
        <v>2175</v>
      </c>
      <c r="H595" s="11" t="s">
        <v>2174</v>
      </c>
      <c r="I595" s="12" t="s">
        <v>58</v>
      </c>
      <c r="J595" s="11" t="s">
        <v>2173</v>
      </c>
      <c r="K595" s="8" t="s">
        <v>2172</v>
      </c>
    </row>
    <row r="596" spans="1:11" ht="15.5" x14ac:dyDescent="0.35">
      <c r="A596" s="10"/>
      <c r="B596" s="10"/>
      <c r="C596" s="10"/>
      <c r="D596" s="9"/>
      <c r="E596" s="9"/>
      <c r="F596" s="9"/>
      <c r="G596" s="9"/>
      <c r="H596" s="9"/>
      <c r="I596" s="9"/>
      <c r="J596" s="9"/>
      <c r="K596" s="8" t="s">
        <v>2171</v>
      </c>
    </row>
    <row r="597" spans="1:11" ht="15.5" x14ac:dyDescent="0.35">
      <c r="A597" s="10"/>
      <c r="B597" s="10"/>
      <c r="C597" s="10"/>
      <c r="D597" s="11" t="s">
        <v>2170</v>
      </c>
      <c r="E597" s="11" t="s">
        <v>2169</v>
      </c>
      <c r="F597" s="11" t="s">
        <v>65</v>
      </c>
      <c r="G597" s="11" t="s">
        <v>2168</v>
      </c>
      <c r="H597" s="11" t="s">
        <v>2167</v>
      </c>
      <c r="I597" s="12" t="s">
        <v>58</v>
      </c>
      <c r="J597" s="11" t="s">
        <v>2166</v>
      </c>
      <c r="K597" s="8" t="s">
        <v>2165</v>
      </c>
    </row>
    <row r="598" spans="1:11" ht="15.5" x14ac:dyDescent="0.35">
      <c r="A598" s="10"/>
      <c r="B598" s="10"/>
      <c r="C598" s="10"/>
      <c r="D598" s="10"/>
      <c r="E598" s="10"/>
      <c r="F598" s="10"/>
      <c r="G598" s="9"/>
      <c r="H598" s="9"/>
      <c r="I598" s="9"/>
      <c r="J598" s="9"/>
      <c r="K598" s="8" t="s">
        <v>659</v>
      </c>
    </row>
    <row r="599" spans="1:11" ht="15.5" x14ac:dyDescent="0.35">
      <c r="A599" s="10"/>
      <c r="B599" s="10"/>
      <c r="C599" s="10"/>
      <c r="D599" s="10"/>
      <c r="E599" s="10"/>
      <c r="F599" s="10"/>
      <c r="G599" s="11" t="s">
        <v>2164</v>
      </c>
      <c r="H599" s="11" t="s">
        <v>2163</v>
      </c>
      <c r="I599" s="12" t="s">
        <v>58</v>
      </c>
      <c r="J599" s="11" t="s">
        <v>2162</v>
      </c>
      <c r="K599" s="8" t="s">
        <v>2161</v>
      </c>
    </row>
    <row r="600" spans="1:11" ht="15.5" x14ac:dyDescent="0.35">
      <c r="A600" s="10"/>
      <c r="B600" s="10"/>
      <c r="C600" s="10"/>
      <c r="D600" s="9"/>
      <c r="E600" s="9"/>
      <c r="F600" s="9"/>
      <c r="G600" s="9"/>
      <c r="H600" s="9"/>
      <c r="I600" s="9"/>
      <c r="J600" s="9"/>
      <c r="K600" s="8" t="s">
        <v>2160</v>
      </c>
    </row>
    <row r="601" spans="1:11" ht="15.5" x14ac:dyDescent="0.35">
      <c r="A601" s="10"/>
      <c r="B601" s="10"/>
      <c r="C601" s="10"/>
      <c r="D601" s="11" t="s">
        <v>2159</v>
      </c>
      <c r="E601" s="11" t="s">
        <v>2158</v>
      </c>
      <c r="F601" s="11" t="s">
        <v>65</v>
      </c>
      <c r="G601" s="11" t="s">
        <v>2157</v>
      </c>
      <c r="H601" s="11" t="s">
        <v>2156</v>
      </c>
      <c r="I601" s="12" t="s">
        <v>58</v>
      </c>
      <c r="J601" s="11" t="s">
        <v>2155</v>
      </c>
      <c r="K601" s="8" t="s">
        <v>2154</v>
      </c>
    </row>
    <row r="602" spans="1:11" ht="15.5" x14ac:dyDescent="0.35">
      <c r="A602" s="10"/>
      <c r="B602" s="10"/>
      <c r="C602" s="10"/>
      <c r="D602" s="10"/>
      <c r="E602" s="10"/>
      <c r="F602" s="10"/>
      <c r="G602" s="9"/>
      <c r="H602" s="9"/>
      <c r="I602" s="9"/>
      <c r="J602" s="9"/>
      <c r="K602" s="8" t="s">
        <v>2153</v>
      </c>
    </row>
    <row r="603" spans="1:11" ht="15.5" x14ac:dyDescent="0.35">
      <c r="A603" s="10"/>
      <c r="B603" s="10"/>
      <c r="C603" s="10"/>
      <c r="D603" s="10"/>
      <c r="E603" s="10"/>
      <c r="F603" s="10"/>
      <c r="G603" s="11" t="s">
        <v>2152</v>
      </c>
      <c r="H603" s="11" t="s">
        <v>2151</v>
      </c>
      <c r="I603" s="12" t="s">
        <v>58</v>
      </c>
      <c r="J603" s="11" t="s">
        <v>2150</v>
      </c>
      <c r="K603" s="8" t="s">
        <v>2149</v>
      </c>
    </row>
    <row r="604" spans="1:11" ht="15.5" x14ac:dyDescent="0.35">
      <c r="A604" s="10"/>
      <c r="B604" s="10"/>
      <c r="C604" s="10"/>
      <c r="D604" s="9"/>
      <c r="E604" s="9"/>
      <c r="F604" s="9"/>
      <c r="G604" s="9"/>
      <c r="H604" s="9"/>
      <c r="I604" s="9"/>
      <c r="J604" s="9"/>
      <c r="K604" s="8" t="s">
        <v>2148</v>
      </c>
    </row>
    <row r="605" spans="1:11" ht="15.5" x14ac:dyDescent="0.35">
      <c r="A605" s="10"/>
      <c r="B605" s="10"/>
      <c r="C605" s="10"/>
      <c r="D605" s="11" t="s">
        <v>2147</v>
      </c>
      <c r="E605" s="11" t="s">
        <v>2146</v>
      </c>
      <c r="F605" s="11" t="s">
        <v>244</v>
      </c>
      <c r="G605" s="11" t="s">
        <v>2145</v>
      </c>
      <c r="H605" s="11" t="s">
        <v>2144</v>
      </c>
      <c r="I605" s="12" t="s">
        <v>58</v>
      </c>
      <c r="J605" s="11" t="s">
        <v>1200</v>
      </c>
      <c r="K605" s="8" t="s">
        <v>1800</v>
      </c>
    </row>
    <row r="606" spans="1:11" ht="15.5" x14ac:dyDescent="0.35">
      <c r="A606" s="10"/>
      <c r="B606" s="10"/>
      <c r="C606" s="10"/>
      <c r="D606" s="10"/>
      <c r="E606" s="10"/>
      <c r="F606" s="10"/>
      <c r="G606" s="9"/>
      <c r="H606" s="9"/>
      <c r="I606" s="9"/>
      <c r="J606" s="9"/>
      <c r="K606" s="8" t="s">
        <v>2143</v>
      </c>
    </row>
    <row r="607" spans="1:11" ht="15.5" x14ac:dyDescent="0.35">
      <c r="A607" s="10"/>
      <c r="B607" s="10"/>
      <c r="C607" s="10"/>
      <c r="D607" s="10"/>
      <c r="E607" s="10"/>
      <c r="F607" s="10"/>
      <c r="G607" s="11" t="s">
        <v>2142</v>
      </c>
      <c r="H607" s="11" t="s">
        <v>2141</v>
      </c>
      <c r="I607" s="12" t="s">
        <v>58</v>
      </c>
      <c r="J607" s="11" t="s">
        <v>2140</v>
      </c>
      <c r="K607" s="8" t="s">
        <v>2139</v>
      </c>
    </row>
    <row r="608" spans="1:11" ht="15.5" x14ac:dyDescent="0.35">
      <c r="A608" s="10"/>
      <c r="B608" s="10"/>
      <c r="C608" s="10"/>
      <c r="D608" s="9"/>
      <c r="E608" s="9"/>
      <c r="F608" s="9"/>
      <c r="G608" s="9"/>
      <c r="H608" s="9"/>
      <c r="I608" s="9"/>
      <c r="J608" s="9"/>
      <c r="K608" s="8" t="s">
        <v>1588</v>
      </c>
    </row>
    <row r="609" spans="1:11" ht="15.5" x14ac:dyDescent="0.35">
      <c r="A609" s="10"/>
      <c r="B609" s="10"/>
      <c r="C609" s="10"/>
      <c r="D609" s="11" t="s">
        <v>2138</v>
      </c>
      <c r="E609" s="11" t="s">
        <v>2137</v>
      </c>
      <c r="F609" s="11" t="s">
        <v>244</v>
      </c>
      <c r="G609" s="11" t="s">
        <v>2136</v>
      </c>
      <c r="H609" s="11" t="s">
        <v>2135</v>
      </c>
      <c r="I609" s="12" t="s">
        <v>58</v>
      </c>
      <c r="J609" s="11" t="s">
        <v>2134</v>
      </c>
      <c r="K609" s="8" t="s">
        <v>2133</v>
      </c>
    </row>
    <row r="610" spans="1:11" ht="15.5" x14ac:dyDescent="0.35">
      <c r="A610" s="10"/>
      <c r="B610" s="10"/>
      <c r="C610" s="10"/>
      <c r="D610" s="10"/>
      <c r="E610" s="10"/>
      <c r="F610" s="10"/>
      <c r="G610" s="9"/>
      <c r="H610" s="9"/>
      <c r="I610" s="9"/>
      <c r="J610" s="9"/>
      <c r="K610" s="8" t="s">
        <v>2132</v>
      </c>
    </row>
    <row r="611" spans="1:11" ht="15.5" x14ac:dyDescent="0.35">
      <c r="A611" s="10"/>
      <c r="B611" s="10"/>
      <c r="C611" s="10"/>
      <c r="D611" s="10"/>
      <c r="E611" s="10"/>
      <c r="F611" s="10"/>
      <c r="G611" s="11" t="s">
        <v>2131</v>
      </c>
      <c r="H611" s="11" t="s">
        <v>2130</v>
      </c>
      <c r="I611" s="12" t="s">
        <v>58</v>
      </c>
      <c r="J611" s="11" t="s">
        <v>2129</v>
      </c>
      <c r="K611" s="8" t="s">
        <v>2128</v>
      </c>
    </row>
    <row r="612" spans="1:11" ht="15.5" x14ac:dyDescent="0.35">
      <c r="A612" s="10"/>
      <c r="B612" s="10"/>
      <c r="C612" s="9"/>
      <c r="D612" s="9"/>
      <c r="E612" s="9"/>
      <c r="F612" s="9"/>
      <c r="G612" s="9"/>
      <c r="H612" s="9"/>
      <c r="I612" s="9"/>
      <c r="J612" s="9"/>
      <c r="K612" s="8" t="s">
        <v>2127</v>
      </c>
    </row>
    <row r="613" spans="1:11" ht="15.5" x14ac:dyDescent="0.35">
      <c r="A613" s="10"/>
      <c r="B613" s="10"/>
      <c r="C613" s="13" t="s">
        <v>2126</v>
      </c>
      <c r="D613" s="11" t="s">
        <v>2125</v>
      </c>
      <c r="E613" s="11" t="s">
        <v>2124</v>
      </c>
      <c r="F613" s="11" t="s">
        <v>65</v>
      </c>
      <c r="G613" s="11" t="s">
        <v>2123</v>
      </c>
      <c r="H613" s="11" t="s">
        <v>2122</v>
      </c>
      <c r="I613" s="12" t="s">
        <v>58</v>
      </c>
      <c r="J613" s="11" t="s">
        <v>2121</v>
      </c>
      <c r="K613" s="8" t="s">
        <v>2120</v>
      </c>
    </row>
    <row r="614" spans="1:11" ht="15.5" x14ac:dyDescent="0.35">
      <c r="A614" s="10"/>
      <c r="B614" s="10"/>
      <c r="C614" s="10"/>
      <c r="D614" s="10"/>
      <c r="E614" s="10"/>
      <c r="F614" s="10"/>
      <c r="G614" s="9"/>
      <c r="H614" s="9"/>
      <c r="I614" s="9"/>
      <c r="J614" s="9"/>
      <c r="K614" s="8" t="s">
        <v>2119</v>
      </c>
    </row>
    <row r="615" spans="1:11" ht="15.5" x14ac:dyDescent="0.35">
      <c r="A615" s="10"/>
      <c r="B615" s="10"/>
      <c r="C615" s="10"/>
      <c r="D615" s="10"/>
      <c r="E615" s="10"/>
      <c r="F615" s="10"/>
      <c r="G615" s="11" t="s">
        <v>2016</v>
      </c>
      <c r="H615" s="11" t="s">
        <v>2118</v>
      </c>
      <c r="I615" s="12" t="s">
        <v>58</v>
      </c>
      <c r="J615" s="11" t="s">
        <v>2117</v>
      </c>
      <c r="K615" s="8" t="s">
        <v>2116</v>
      </c>
    </row>
    <row r="616" spans="1:11" ht="15.5" x14ac:dyDescent="0.35">
      <c r="A616" s="10"/>
      <c r="B616" s="10"/>
      <c r="C616" s="10"/>
      <c r="D616" s="9"/>
      <c r="E616" s="9"/>
      <c r="F616" s="9"/>
      <c r="G616" s="9"/>
      <c r="H616" s="9"/>
      <c r="I616" s="9"/>
      <c r="J616" s="9"/>
      <c r="K616" s="8" t="s">
        <v>2115</v>
      </c>
    </row>
    <row r="617" spans="1:11" ht="15.5" x14ac:dyDescent="0.35">
      <c r="A617" s="10"/>
      <c r="B617" s="10"/>
      <c r="C617" s="10"/>
      <c r="D617" s="11" t="s">
        <v>2114</v>
      </c>
      <c r="E617" s="11" t="s">
        <v>2113</v>
      </c>
      <c r="F617" s="11" t="s">
        <v>65</v>
      </c>
      <c r="G617" s="11" t="s">
        <v>2112</v>
      </c>
      <c r="H617" s="11" t="s">
        <v>2111</v>
      </c>
      <c r="I617" s="12" t="s">
        <v>58</v>
      </c>
      <c r="J617" s="11" t="s">
        <v>2110</v>
      </c>
      <c r="K617" s="8" t="s">
        <v>2109</v>
      </c>
    </row>
    <row r="618" spans="1:11" ht="15.5" x14ac:dyDescent="0.35">
      <c r="A618" s="10"/>
      <c r="B618" s="10"/>
      <c r="C618" s="10"/>
      <c r="D618" s="10"/>
      <c r="E618" s="10"/>
      <c r="F618" s="10"/>
      <c r="G618" s="9"/>
      <c r="H618" s="9"/>
      <c r="I618" s="9"/>
      <c r="J618" s="9"/>
      <c r="K618" s="8" t="s">
        <v>2108</v>
      </c>
    </row>
    <row r="619" spans="1:11" ht="15.5" x14ac:dyDescent="0.35">
      <c r="A619" s="10"/>
      <c r="B619" s="10"/>
      <c r="C619" s="10"/>
      <c r="D619" s="10"/>
      <c r="E619" s="10"/>
      <c r="F619" s="10"/>
      <c r="G619" s="11" t="s">
        <v>2107</v>
      </c>
      <c r="H619" s="11" t="s">
        <v>2106</v>
      </c>
      <c r="I619" s="12" t="s">
        <v>58</v>
      </c>
      <c r="J619" s="11" t="s">
        <v>2105</v>
      </c>
      <c r="K619" s="8" t="s">
        <v>2104</v>
      </c>
    </row>
    <row r="620" spans="1:11" ht="15.5" x14ac:dyDescent="0.35">
      <c r="A620" s="10"/>
      <c r="B620" s="10"/>
      <c r="C620" s="10"/>
      <c r="D620" s="9"/>
      <c r="E620" s="9"/>
      <c r="F620" s="9"/>
      <c r="G620" s="9"/>
      <c r="H620" s="9"/>
      <c r="I620" s="9"/>
      <c r="J620" s="9"/>
      <c r="K620" s="8" t="s">
        <v>2103</v>
      </c>
    </row>
    <row r="621" spans="1:11" ht="15.5" x14ac:dyDescent="0.35">
      <c r="A621" s="10"/>
      <c r="B621" s="10"/>
      <c r="C621" s="10"/>
      <c r="D621" s="11" t="s">
        <v>2102</v>
      </c>
      <c r="E621" s="11" t="s">
        <v>2101</v>
      </c>
      <c r="F621" s="11" t="s">
        <v>65</v>
      </c>
      <c r="G621" s="11" t="s">
        <v>2100</v>
      </c>
      <c r="H621" s="11" t="s">
        <v>2099</v>
      </c>
      <c r="I621" s="14" t="s">
        <v>120</v>
      </c>
      <c r="J621" s="11" t="s">
        <v>2098</v>
      </c>
      <c r="K621" s="8" t="s">
        <v>2097</v>
      </c>
    </row>
    <row r="622" spans="1:11" ht="15.5" x14ac:dyDescent="0.35">
      <c r="A622" s="10"/>
      <c r="B622" s="10"/>
      <c r="C622" s="10"/>
      <c r="D622" s="10"/>
      <c r="E622" s="10"/>
      <c r="F622" s="10"/>
      <c r="G622" s="9"/>
      <c r="H622" s="9"/>
      <c r="I622" s="9"/>
      <c r="J622" s="9"/>
      <c r="K622" s="8" t="s">
        <v>2096</v>
      </c>
    </row>
    <row r="623" spans="1:11" ht="15.5" x14ac:dyDescent="0.35">
      <c r="A623" s="10"/>
      <c r="B623" s="10"/>
      <c r="C623" s="10"/>
      <c r="D623" s="10"/>
      <c r="E623" s="10"/>
      <c r="F623" s="10"/>
      <c r="G623" s="11" t="s">
        <v>2095</v>
      </c>
      <c r="H623" s="11" t="s">
        <v>2094</v>
      </c>
      <c r="I623" s="14" t="s">
        <v>120</v>
      </c>
      <c r="J623" s="11" t="s">
        <v>2093</v>
      </c>
      <c r="K623" s="8" t="s">
        <v>2092</v>
      </c>
    </row>
    <row r="624" spans="1:11" ht="15.5" x14ac:dyDescent="0.35">
      <c r="A624" s="10"/>
      <c r="B624" s="10"/>
      <c r="C624" s="10"/>
      <c r="D624" s="9"/>
      <c r="E624" s="9"/>
      <c r="F624" s="9"/>
      <c r="G624" s="9"/>
      <c r="H624" s="9"/>
      <c r="I624" s="9"/>
      <c r="J624" s="9"/>
      <c r="K624" s="8" t="s">
        <v>2091</v>
      </c>
    </row>
    <row r="625" spans="1:11" ht="15.5" x14ac:dyDescent="0.35">
      <c r="A625" s="10"/>
      <c r="B625" s="10"/>
      <c r="C625" s="10"/>
      <c r="D625" s="11" t="s">
        <v>2090</v>
      </c>
      <c r="E625" s="11" t="s">
        <v>2089</v>
      </c>
      <c r="F625" s="11" t="s">
        <v>244</v>
      </c>
      <c r="G625" s="11" t="s">
        <v>2088</v>
      </c>
      <c r="H625" s="11" t="s">
        <v>2087</v>
      </c>
      <c r="I625" s="14" t="s">
        <v>120</v>
      </c>
      <c r="J625" s="11" t="s">
        <v>2086</v>
      </c>
      <c r="K625" s="8" t="s">
        <v>2085</v>
      </c>
    </row>
    <row r="626" spans="1:11" ht="15.5" x14ac:dyDescent="0.35">
      <c r="A626" s="10"/>
      <c r="B626" s="10"/>
      <c r="C626" s="10"/>
      <c r="D626" s="10"/>
      <c r="E626" s="10"/>
      <c r="F626" s="10"/>
      <c r="G626" s="9"/>
      <c r="H626" s="9"/>
      <c r="I626" s="9"/>
      <c r="J626" s="9"/>
      <c r="K626" s="8" t="s">
        <v>2084</v>
      </c>
    </row>
    <row r="627" spans="1:11" ht="15.5" x14ac:dyDescent="0.35">
      <c r="A627" s="10"/>
      <c r="B627" s="10"/>
      <c r="C627" s="10"/>
      <c r="D627" s="10"/>
      <c r="E627" s="10"/>
      <c r="F627" s="10"/>
      <c r="G627" s="11" t="s">
        <v>2083</v>
      </c>
      <c r="H627" s="11" t="s">
        <v>2082</v>
      </c>
      <c r="I627" s="14" t="s">
        <v>120</v>
      </c>
      <c r="J627" s="11" t="s">
        <v>2081</v>
      </c>
      <c r="K627" s="8" t="s">
        <v>2080</v>
      </c>
    </row>
    <row r="628" spans="1:11" ht="15.5" x14ac:dyDescent="0.35">
      <c r="A628" s="10"/>
      <c r="B628" s="10"/>
      <c r="C628" s="10"/>
      <c r="D628" s="9"/>
      <c r="E628" s="9"/>
      <c r="F628" s="9"/>
      <c r="G628" s="9"/>
      <c r="H628" s="9"/>
      <c r="I628" s="9"/>
      <c r="J628" s="9"/>
      <c r="K628" s="8" t="s">
        <v>2079</v>
      </c>
    </row>
    <row r="629" spans="1:11" ht="15.5" x14ac:dyDescent="0.35">
      <c r="A629" s="10"/>
      <c r="B629" s="10"/>
      <c r="C629" s="10"/>
      <c r="D629" s="11" t="s">
        <v>2078</v>
      </c>
      <c r="E629" s="11" t="s">
        <v>2077</v>
      </c>
      <c r="F629" s="11" t="s">
        <v>65</v>
      </c>
      <c r="G629" s="11" t="s">
        <v>2076</v>
      </c>
      <c r="H629" s="11" t="s">
        <v>2075</v>
      </c>
      <c r="I629" s="14" t="s">
        <v>120</v>
      </c>
      <c r="J629" s="11" t="s">
        <v>2074</v>
      </c>
      <c r="K629" s="8" t="s">
        <v>2073</v>
      </c>
    </row>
    <row r="630" spans="1:11" ht="15.5" x14ac:dyDescent="0.35">
      <c r="A630" s="10"/>
      <c r="B630" s="10"/>
      <c r="C630" s="10"/>
      <c r="D630" s="10"/>
      <c r="E630" s="10"/>
      <c r="F630" s="10"/>
      <c r="G630" s="9"/>
      <c r="H630" s="9"/>
      <c r="I630" s="9"/>
      <c r="J630" s="9"/>
      <c r="K630" s="8" t="s">
        <v>2072</v>
      </c>
    </row>
    <row r="631" spans="1:11" ht="15.5" x14ac:dyDescent="0.35">
      <c r="A631" s="10"/>
      <c r="B631" s="10"/>
      <c r="C631" s="10"/>
      <c r="D631" s="10"/>
      <c r="E631" s="10"/>
      <c r="F631" s="10"/>
      <c r="G631" s="11" t="s">
        <v>2071</v>
      </c>
      <c r="H631" s="11" t="s">
        <v>2070</v>
      </c>
      <c r="I631" s="14" t="s">
        <v>120</v>
      </c>
      <c r="J631" s="11" t="s">
        <v>2069</v>
      </c>
      <c r="K631" s="8" t="s">
        <v>2068</v>
      </c>
    </row>
    <row r="632" spans="1:11" ht="15.5" x14ac:dyDescent="0.35">
      <c r="A632" s="10"/>
      <c r="B632" s="10"/>
      <c r="C632" s="9"/>
      <c r="D632" s="9"/>
      <c r="E632" s="9"/>
      <c r="F632" s="9"/>
      <c r="G632" s="9"/>
      <c r="H632" s="9"/>
      <c r="I632" s="9"/>
      <c r="J632" s="9"/>
      <c r="K632" s="8" t="s">
        <v>2067</v>
      </c>
    </row>
    <row r="633" spans="1:11" ht="15.5" x14ac:dyDescent="0.35">
      <c r="A633" s="10"/>
      <c r="B633" s="10"/>
      <c r="C633" s="13" t="s">
        <v>2066</v>
      </c>
      <c r="D633" s="11" t="s">
        <v>2065</v>
      </c>
      <c r="E633" s="11" t="s">
        <v>2064</v>
      </c>
      <c r="F633" s="11" t="s">
        <v>65</v>
      </c>
      <c r="G633" s="11" t="s">
        <v>2063</v>
      </c>
      <c r="H633" s="11" t="s">
        <v>2062</v>
      </c>
      <c r="I633" s="14" t="s">
        <v>120</v>
      </c>
      <c r="J633" s="11" t="s">
        <v>2061</v>
      </c>
      <c r="K633" s="8" t="s">
        <v>2060</v>
      </c>
    </row>
    <row r="634" spans="1:11" ht="15.5" x14ac:dyDescent="0.35">
      <c r="A634" s="10"/>
      <c r="B634" s="10"/>
      <c r="C634" s="10"/>
      <c r="D634" s="10"/>
      <c r="E634" s="10"/>
      <c r="F634" s="10"/>
      <c r="G634" s="9"/>
      <c r="H634" s="9"/>
      <c r="I634" s="9"/>
      <c r="J634" s="9"/>
      <c r="K634" s="8" t="s">
        <v>2059</v>
      </c>
    </row>
    <row r="635" spans="1:11" ht="15.5" x14ac:dyDescent="0.35">
      <c r="A635" s="10"/>
      <c r="B635" s="10"/>
      <c r="C635" s="10"/>
      <c r="D635" s="10"/>
      <c r="E635" s="10"/>
      <c r="F635" s="10"/>
      <c r="G635" s="11" t="s">
        <v>2058</v>
      </c>
      <c r="H635" s="11" t="s">
        <v>2057</v>
      </c>
      <c r="I635" s="14" t="s">
        <v>120</v>
      </c>
      <c r="J635" s="11" t="s">
        <v>2056</v>
      </c>
      <c r="K635" s="8" t="s">
        <v>1183</v>
      </c>
    </row>
    <row r="636" spans="1:11" ht="15.5" x14ac:dyDescent="0.35">
      <c r="A636" s="10"/>
      <c r="B636" s="10"/>
      <c r="C636" s="10"/>
      <c r="D636" s="9"/>
      <c r="E636" s="9"/>
      <c r="F636" s="9"/>
      <c r="G636" s="9"/>
      <c r="H636" s="9"/>
      <c r="I636" s="9"/>
      <c r="J636" s="9"/>
      <c r="K636" s="8" t="s">
        <v>2055</v>
      </c>
    </row>
    <row r="637" spans="1:11" ht="15.5" x14ac:dyDescent="0.35">
      <c r="A637" s="10"/>
      <c r="B637" s="10"/>
      <c r="C637" s="10"/>
      <c r="D637" s="11" t="s">
        <v>2054</v>
      </c>
      <c r="E637" s="11" t="s">
        <v>2053</v>
      </c>
      <c r="F637" s="11" t="s">
        <v>65</v>
      </c>
      <c r="G637" s="11" t="s">
        <v>2052</v>
      </c>
      <c r="H637" s="11" t="s">
        <v>2051</v>
      </c>
      <c r="I637" s="14" t="s">
        <v>120</v>
      </c>
      <c r="J637" s="11" t="s">
        <v>2050</v>
      </c>
      <c r="K637" s="8" t="s">
        <v>2049</v>
      </c>
    </row>
    <row r="638" spans="1:11" ht="15.5" x14ac:dyDescent="0.35">
      <c r="A638" s="10"/>
      <c r="B638" s="10"/>
      <c r="C638" s="10"/>
      <c r="D638" s="10"/>
      <c r="E638" s="10"/>
      <c r="F638" s="10"/>
      <c r="G638" s="9"/>
      <c r="H638" s="9"/>
      <c r="I638" s="9"/>
      <c r="J638" s="9"/>
      <c r="K638" s="8" t="s">
        <v>2048</v>
      </c>
    </row>
    <row r="639" spans="1:11" ht="15.5" x14ac:dyDescent="0.35">
      <c r="A639" s="10"/>
      <c r="B639" s="10"/>
      <c r="C639" s="10"/>
      <c r="D639" s="10"/>
      <c r="E639" s="10"/>
      <c r="F639" s="10"/>
      <c r="G639" s="11" t="s">
        <v>2047</v>
      </c>
      <c r="H639" s="11" t="s">
        <v>2046</v>
      </c>
      <c r="I639" s="14" t="s">
        <v>120</v>
      </c>
      <c r="J639" s="11" t="s">
        <v>2045</v>
      </c>
      <c r="K639" s="8" t="s">
        <v>2044</v>
      </c>
    </row>
    <row r="640" spans="1:11" ht="15.5" x14ac:dyDescent="0.35">
      <c r="A640" s="10"/>
      <c r="B640" s="10"/>
      <c r="C640" s="10"/>
      <c r="D640" s="9"/>
      <c r="E640" s="9"/>
      <c r="F640" s="9"/>
      <c r="G640" s="9"/>
      <c r="H640" s="9"/>
      <c r="I640" s="9"/>
      <c r="J640" s="9"/>
      <c r="K640" s="8" t="s">
        <v>2043</v>
      </c>
    </row>
    <row r="641" spans="1:11" ht="15.5" x14ac:dyDescent="0.35">
      <c r="A641" s="10"/>
      <c r="B641" s="10"/>
      <c r="C641" s="10"/>
      <c r="D641" s="11" t="s">
        <v>2042</v>
      </c>
      <c r="E641" s="11" t="s">
        <v>2041</v>
      </c>
      <c r="F641" s="11" t="s">
        <v>65</v>
      </c>
      <c r="G641" s="11" t="s">
        <v>2040</v>
      </c>
      <c r="H641" s="11" t="s">
        <v>2039</v>
      </c>
      <c r="I641" s="14" t="s">
        <v>120</v>
      </c>
      <c r="J641" s="11" t="s">
        <v>2038</v>
      </c>
      <c r="K641" s="8" t="s">
        <v>2037</v>
      </c>
    </row>
    <row r="642" spans="1:11" ht="15.5" x14ac:dyDescent="0.35">
      <c r="A642" s="10"/>
      <c r="B642" s="10"/>
      <c r="C642" s="10"/>
      <c r="D642" s="10"/>
      <c r="E642" s="10"/>
      <c r="F642" s="10"/>
      <c r="G642" s="9"/>
      <c r="H642" s="9"/>
      <c r="I642" s="9"/>
      <c r="J642" s="9"/>
      <c r="K642" s="8" t="s">
        <v>2036</v>
      </c>
    </row>
    <row r="643" spans="1:11" ht="15.5" x14ac:dyDescent="0.35">
      <c r="A643" s="10"/>
      <c r="B643" s="10"/>
      <c r="C643" s="10"/>
      <c r="D643" s="10"/>
      <c r="E643" s="10"/>
      <c r="F643" s="10"/>
      <c r="G643" s="11" t="s">
        <v>2035</v>
      </c>
      <c r="H643" s="11" t="s">
        <v>2034</v>
      </c>
      <c r="I643" s="14" t="s">
        <v>120</v>
      </c>
      <c r="J643" s="11" t="s">
        <v>2033</v>
      </c>
      <c r="K643" s="8" t="s">
        <v>2032</v>
      </c>
    </row>
    <row r="644" spans="1:11" ht="15.5" x14ac:dyDescent="0.35">
      <c r="A644" s="10"/>
      <c r="B644" s="10"/>
      <c r="C644" s="10"/>
      <c r="D644" s="9"/>
      <c r="E644" s="9"/>
      <c r="F644" s="9"/>
      <c r="G644" s="9"/>
      <c r="H644" s="9"/>
      <c r="I644" s="9"/>
      <c r="J644" s="9"/>
      <c r="K644" s="8" t="s">
        <v>2031</v>
      </c>
    </row>
    <row r="645" spans="1:11" ht="15.5" x14ac:dyDescent="0.35">
      <c r="A645" s="10"/>
      <c r="B645" s="10"/>
      <c r="C645" s="10"/>
      <c r="D645" s="11" t="s">
        <v>2030</v>
      </c>
      <c r="E645" s="11" t="s">
        <v>2029</v>
      </c>
      <c r="F645" s="11" t="s">
        <v>65</v>
      </c>
      <c r="G645" s="11" t="s">
        <v>2028</v>
      </c>
      <c r="H645" s="11" t="s">
        <v>2027</v>
      </c>
      <c r="I645" s="14" t="s">
        <v>120</v>
      </c>
      <c r="J645" s="11" t="s">
        <v>2026</v>
      </c>
      <c r="K645" s="8" t="s">
        <v>2025</v>
      </c>
    </row>
    <row r="646" spans="1:11" ht="15.5" x14ac:dyDescent="0.35">
      <c r="A646" s="10"/>
      <c r="B646" s="10"/>
      <c r="C646" s="10"/>
      <c r="D646" s="10"/>
      <c r="E646" s="10"/>
      <c r="F646" s="10"/>
      <c r="G646" s="9"/>
      <c r="H646" s="9"/>
      <c r="I646" s="9"/>
      <c r="J646" s="9"/>
      <c r="K646" s="8" t="s">
        <v>2024</v>
      </c>
    </row>
    <row r="647" spans="1:11" ht="15.5" x14ac:dyDescent="0.35">
      <c r="A647" s="10"/>
      <c r="B647" s="10"/>
      <c r="C647" s="10"/>
      <c r="D647" s="10"/>
      <c r="E647" s="10"/>
      <c r="F647" s="10"/>
      <c r="G647" s="11" t="s">
        <v>2023</v>
      </c>
      <c r="H647" s="11" t="s">
        <v>2022</v>
      </c>
      <c r="I647" s="12" t="s">
        <v>58</v>
      </c>
      <c r="J647" s="11" t="s">
        <v>2021</v>
      </c>
      <c r="K647" s="8" t="s">
        <v>2020</v>
      </c>
    </row>
    <row r="648" spans="1:11" ht="15.5" x14ac:dyDescent="0.35">
      <c r="A648" s="10"/>
      <c r="B648" s="10"/>
      <c r="C648" s="10"/>
      <c r="D648" s="9"/>
      <c r="E648" s="9"/>
      <c r="F648" s="9"/>
      <c r="G648" s="9"/>
      <c r="H648" s="9"/>
      <c r="I648" s="9"/>
      <c r="J648" s="9"/>
      <c r="K648" s="8" t="s">
        <v>2019</v>
      </c>
    </row>
    <row r="649" spans="1:11" ht="15.5" x14ac:dyDescent="0.35">
      <c r="A649" s="10"/>
      <c r="B649" s="10"/>
      <c r="C649" s="10"/>
      <c r="D649" s="11" t="s">
        <v>2018</v>
      </c>
      <c r="E649" s="11" t="s">
        <v>2017</v>
      </c>
      <c r="F649" s="11" t="s">
        <v>244</v>
      </c>
      <c r="G649" s="11" t="s">
        <v>2016</v>
      </c>
      <c r="H649" s="11" t="s">
        <v>2015</v>
      </c>
      <c r="I649" s="12" t="s">
        <v>58</v>
      </c>
      <c r="J649" s="11" t="s">
        <v>2014</v>
      </c>
      <c r="K649" s="8" t="s">
        <v>2013</v>
      </c>
    </row>
    <row r="650" spans="1:11" ht="15.5" x14ac:dyDescent="0.35">
      <c r="A650" s="10"/>
      <c r="B650" s="10"/>
      <c r="C650" s="10"/>
      <c r="D650" s="10"/>
      <c r="E650" s="10"/>
      <c r="F650" s="10"/>
      <c r="G650" s="9"/>
      <c r="H650" s="9"/>
      <c r="I650" s="9"/>
      <c r="J650" s="9"/>
      <c r="K650" s="8" t="s">
        <v>2012</v>
      </c>
    </row>
    <row r="651" spans="1:11" ht="15.5" x14ac:dyDescent="0.35">
      <c r="A651" s="10"/>
      <c r="B651" s="10"/>
      <c r="C651" s="10"/>
      <c r="D651" s="10"/>
      <c r="E651" s="10"/>
      <c r="F651" s="10"/>
      <c r="G651" s="11" t="s">
        <v>2011</v>
      </c>
      <c r="H651" s="11" t="s">
        <v>2010</v>
      </c>
      <c r="I651" s="12" t="s">
        <v>58</v>
      </c>
      <c r="J651" s="11" t="s">
        <v>2009</v>
      </c>
      <c r="K651" s="8" t="s">
        <v>2008</v>
      </c>
    </row>
    <row r="652" spans="1:11" ht="15.5" x14ac:dyDescent="0.35">
      <c r="A652" s="10"/>
      <c r="B652" s="9"/>
      <c r="C652" s="9"/>
      <c r="D652" s="9"/>
      <c r="E652" s="9"/>
      <c r="F652" s="9"/>
      <c r="G652" s="9"/>
      <c r="H652" s="9"/>
      <c r="I652" s="9"/>
      <c r="J652" s="9"/>
      <c r="K652" s="8" t="s">
        <v>2007</v>
      </c>
    </row>
    <row r="653" spans="1:11" ht="15.5" x14ac:dyDescent="0.35">
      <c r="A653" s="10"/>
      <c r="B653" s="13" t="s">
        <v>2006</v>
      </c>
      <c r="C653" s="13" t="s">
        <v>2005</v>
      </c>
      <c r="D653" s="11" t="s">
        <v>2004</v>
      </c>
      <c r="E653" s="11" t="s">
        <v>2003</v>
      </c>
      <c r="F653" s="11"/>
      <c r="G653" s="11" t="s">
        <v>2002</v>
      </c>
      <c r="H653" s="11" t="s">
        <v>2001</v>
      </c>
      <c r="I653" s="12" t="s">
        <v>58</v>
      </c>
      <c r="J653" s="11" t="s">
        <v>2000</v>
      </c>
      <c r="K653" s="8" t="s">
        <v>1999</v>
      </c>
    </row>
    <row r="654" spans="1:11" ht="15.5" x14ac:dyDescent="0.35">
      <c r="A654" s="10"/>
      <c r="B654" s="10"/>
      <c r="C654" s="10"/>
      <c r="D654" s="10"/>
      <c r="E654" s="10"/>
      <c r="F654" s="10"/>
      <c r="G654" s="9"/>
      <c r="H654" s="9"/>
      <c r="I654" s="9"/>
      <c r="J654" s="9"/>
      <c r="K654" s="8" t="s">
        <v>1998</v>
      </c>
    </row>
    <row r="655" spans="1:11" ht="15.5" x14ac:dyDescent="0.35">
      <c r="A655" s="10"/>
      <c r="B655" s="10"/>
      <c r="C655" s="10"/>
      <c r="D655" s="10"/>
      <c r="E655" s="10"/>
      <c r="F655" s="10"/>
      <c r="G655" s="11" t="s">
        <v>1997</v>
      </c>
      <c r="H655" s="11" t="s">
        <v>1996</v>
      </c>
      <c r="I655" s="12" t="s">
        <v>58</v>
      </c>
      <c r="J655" s="11" t="s">
        <v>1995</v>
      </c>
      <c r="K655" s="8" t="s">
        <v>1994</v>
      </c>
    </row>
    <row r="656" spans="1:11" ht="15.5" x14ac:dyDescent="0.35">
      <c r="A656" s="10"/>
      <c r="B656" s="10"/>
      <c r="C656" s="10"/>
      <c r="D656" s="9"/>
      <c r="E656" s="9"/>
      <c r="F656" s="9"/>
      <c r="G656" s="9"/>
      <c r="H656" s="9"/>
      <c r="I656" s="9"/>
      <c r="J656" s="9"/>
      <c r="K656" s="8" t="s">
        <v>1993</v>
      </c>
    </row>
    <row r="657" spans="1:11" ht="15.5" x14ac:dyDescent="0.35">
      <c r="A657" s="10"/>
      <c r="B657" s="10"/>
      <c r="C657" s="10"/>
      <c r="D657" s="11" t="s">
        <v>1992</v>
      </c>
      <c r="E657" s="11" t="s">
        <v>1991</v>
      </c>
      <c r="F657" s="11" t="s">
        <v>244</v>
      </c>
      <c r="G657" s="11" t="s">
        <v>1990</v>
      </c>
      <c r="H657" s="11" t="s">
        <v>1989</v>
      </c>
      <c r="I657" s="12" t="s">
        <v>58</v>
      </c>
      <c r="J657" s="11" t="s">
        <v>1988</v>
      </c>
      <c r="K657" s="8" t="s">
        <v>1987</v>
      </c>
    </row>
    <row r="658" spans="1:11" ht="15.5" x14ac:dyDescent="0.35">
      <c r="A658" s="10"/>
      <c r="B658" s="10"/>
      <c r="C658" s="10"/>
      <c r="D658" s="10"/>
      <c r="E658" s="10"/>
      <c r="F658" s="10"/>
      <c r="G658" s="9"/>
      <c r="H658" s="9"/>
      <c r="I658" s="9"/>
      <c r="J658" s="9"/>
      <c r="K658" s="8" t="s">
        <v>1986</v>
      </c>
    </row>
    <row r="659" spans="1:11" ht="15.5" x14ac:dyDescent="0.35">
      <c r="A659" s="10"/>
      <c r="B659" s="10"/>
      <c r="C659" s="10"/>
      <c r="D659" s="10"/>
      <c r="E659" s="10"/>
      <c r="F659" s="10"/>
      <c r="G659" s="11" t="s">
        <v>1985</v>
      </c>
      <c r="H659" s="11" t="s">
        <v>1984</v>
      </c>
      <c r="I659" s="12" t="s">
        <v>58</v>
      </c>
      <c r="J659" s="11" t="s">
        <v>1983</v>
      </c>
      <c r="K659" s="8" t="s">
        <v>1982</v>
      </c>
    </row>
    <row r="660" spans="1:11" ht="15.5" x14ac:dyDescent="0.35">
      <c r="A660" s="10"/>
      <c r="B660" s="10"/>
      <c r="C660" s="10"/>
      <c r="D660" s="9"/>
      <c r="E660" s="9"/>
      <c r="F660" s="9"/>
      <c r="G660" s="9"/>
      <c r="H660" s="9"/>
      <c r="I660" s="9"/>
      <c r="J660" s="9"/>
      <c r="K660" s="8" t="s">
        <v>1981</v>
      </c>
    </row>
    <row r="661" spans="1:11" ht="15.5" x14ac:dyDescent="0.35">
      <c r="A661" s="10"/>
      <c r="B661" s="10"/>
      <c r="C661" s="10"/>
      <c r="D661" s="11" t="s">
        <v>1980</v>
      </c>
      <c r="E661" s="11" t="s">
        <v>1979</v>
      </c>
      <c r="F661" s="11" t="s">
        <v>244</v>
      </c>
      <c r="G661" s="11" t="s">
        <v>1978</v>
      </c>
      <c r="H661" s="11" t="s">
        <v>1977</v>
      </c>
      <c r="I661" s="12" t="s">
        <v>58</v>
      </c>
      <c r="J661" s="11" t="s">
        <v>1976</v>
      </c>
      <c r="K661" s="8" t="s">
        <v>1975</v>
      </c>
    </row>
    <row r="662" spans="1:11" ht="15.5" x14ac:dyDescent="0.35">
      <c r="A662" s="10"/>
      <c r="B662" s="10"/>
      <c r="C662" s="10"/>
      <c r="D662" s="10"/>
      <c r="E662" s="10"/>
      <c r="F662" s="10"/>
      <c r="G662" s="9"/>
      <c r="H662" s="9"/>
      <c r="I662" s="9"/>
      <c r="J662" s="9"/>
      <c r="K662" s="8" t="s">
        <v>1974</v>
      </c>
    </row>
    <row r="663" spans="1:11" ht="15.5" x14ac:dyDescent="0.35">
      <c r="A663" s="10"/>
      <c r="B663" s="10"/>
      <c r="C663" s="10"/>
      <c r="D663" s="10"/>
      <c r="E663" s="10"/>
      <c r="F663" s="10"/>
      <c r="G663" s="11" t="s">
        <v>1973</v>
      </c>
      <c r="H663" s="11" t="s">
        <v>1972</v>
      </c>
      <c r="I663" s="12" t="s">
        <v>58</v>
      </c>
      <c r="J663" s="11" t="s">
        <v>1971</v>
      </c>
      <c r="K663" s="8" t="s">
        <v>1970</v>
      </c>
    </row>
    <row r="664" spans="1:11" ht="15.5" x14ac:dyDescent="0.35">
      <c r="A664" s="10"/>
      <c r="B664" s="10"/>
      <c r="C664" s="10"/>
      <c r="D664" s="9"/>
      <c r="E664" s="9"/>
      <c r="F664" s="9"/>
      <c r="G664" s="9"/>
      <c r="H664" s="9"/>
      <c r="I664" s="9"/>
      <c r="J664" s="9"/>
      <c r="K664" s="8" t="s">
        <v>1969</v>
      </c>
    </row>
    <row r="665" spans="1:11" ht="15.5" x14ac:dyDescent="0.35">
      <c r="A665" s="10"/>
      <c r="B665" s="10"/>
      <c r="C665" s="10"/>
      <c r="D665" s="11" t="s">
        <v>1968</v>
      </c>
      <c r="E665" s="11" t="s">
        <v>1967</v>
      </c>
      <c r="F665" s="11" t="s">
        <v>244</v>
      </c>
      <c r="G665" s="11" t="s">
        <v>1966</v>
      </c>
      <c r="H665" s="11" t="s">
        <v>1965</v>
      </c>
      <c r="I665" s="12" t="s">
        <v>58</v>
      </c>
      <c r="J665" s="11" t="s">
        <v>1964</v>
      </c>
      <c r="K665" s="8" t="s">
        <v>1963</v>
      </c>
    </row>
    <row r="666" spans="1:11" ht="15.5" x14ac:dyDescent="0.35">
      <c r="A666" s="10"/>
      <c r="B666" s="10"/>
      <c r="C666" s="10"/>
      <c r="D666" s="10"/>
      <c r="E666" s="10"/>
      <c r="F666" s="10"/>
      <c r="G666" s="9"/>
      <c r="H666" s="9"/>
      <c r="I666" s="9"/>
      <c r="J666" s="9"/>
      <c r="K666" s="8" t="s">
        <v>1962</v>
      </c>
    </row>
    <row r="667" spans="1:11" ht="15.5" x14ac:dyDescent="0.35">
      <c r="A667" s="10"/>
      <c r="B667" s="10"/>
      <c r="C667" s="10"/>
      <c r="D667" s="10"/>
      <c r="E667" s="10"/>
      <c r="F667" s="10"/>
      <c r="G667" s="11" t="s">
        <v>1961</v>
      </c>
      <c r="H667" s="11" t="s">
        <v>1960</v>
      </c>
      <c r="I667" s="12" t="s">
        <v>58</v>
      </c>
      <c r="J667" s="11" t="s">
        <v>1959</v>
      </c>
      <c r="K667" s="8" t="s">
        <v>1958</v>
      </c>
    </row>
    <row r="668" spans="1:11" ht="15.5" x14ac:dyDescent="0.35">
      <c r="A668" s="10"/>
      <c r="B668" s="10"/>
      <c r="C668" s="10"/>
      <c r="D668" s="9"/>
      <c r="E668" s="9"/>
      <c r="F668" s="9"/>
      <c r="G668" s="9"/>
      <c r="H668" s="9"/>
      <c r="I668" s="9"/>
      <c r="J668" s="9"/>
      <c r="K668" s="8" t="s">
        <v>1957</v>
      </c>
    </row>
    <row r="669" spans="1:11" ht="15.5" x14ac:dyDescent="0.35">
      <c r="A669" s="10"/>
      <c r="B669" s="10"/>
      <c r="C669" s="10"/>
      <c r="D669" s="11" t="s">
        <v>1956</v>
      </c>
      <c r="E669" s="11" t="s">
        <v>1955</v>
      </c>
      <c r="F669" s="11" t="s">
        <v>244</v>
      </c>
      <c r="G669" s="11" t="s">
        <v>1954</v>
      </c>
      <c r="H669" s="11" t="s">
        <v>1953</v>
      </c>
      <c r="I669" s="14" t="s">
        <v>120</v>
      </c>
      <c r="J669" s="11" t="s">
        <v>1952</v>
      </c>
      <c r="K669" s="8" t="s">
        <v>1951</v>
      </c>
    </row>
    <row r="670" spans="1:11" ht="15.5" x14ac:dyDescent="0.35">
      <c r="A670" s="10"/>
      <c r="B670" s="10"/>
      <c r="C670" s="10"/>
      <c r="D670" s="10"/>
      <c r="E670" s="10"/>
      <c r="F670" s="10"/>
      <c r="G670" s="9"/>
      <c r="H670" s="9"/>
      <c r="I670" s="9"/>
      <c r="J670" s="9"/>
      <c r="K670" s="8" t="s">
        <v>1950</v>
      </c>
    </row>
    <row r="671" spans="1:11" ht="15.5" x14ac:dyDescent="0.35">
      <c r="A671" s="10"/>
      <c r="B671" s="10"/>
      <c r="C671" s="10"/>
      <c r="D671" s="10"/>
      <c r="E671" s="10"/>
      <c r="F671" s="10"/>
      <c r="G671" s="11" t="s">
        <v>1949</v>
      </c>
      <c r="H671" s="11" t="s">
        <v>1948</v>
      </c>
      <c r="I671" s="14" t="s">
        <v>120</v>
      </c>
      <c r="J671" s="11" t="s">
        <v>1947</v>
      </c>
      <c r="K671" s="8" t="s">
        <v>1946</v>
      </c>
    </row>
    <row r="672" spans="1:11" ht="15.5" x14ac:dyDescent="0.35">
      <c r="A672" s="10"/>
      <c r="B672" s="10"/>
      <c r="C672" s="9"/>
      <c r="D672" s="9"/>
      <c r="E672" s="9"/>
      <c r="F672" s="9"/>
      <c r="G672" s="9"/>
      <c r="H672" s="9"/>
      <c r="I672" s="9"/>
      <c r="J672" s="9"/>
      <c r="K672" s="8" t="s">
        <v>1945</v>
      </c>
    </row>
    <row r="673" spans="1:11" ht="15.5" x14ac:dyDescent="0.35">
      <c r="A673" s="10"/>
      <c r="B673" s="10"/>
      <c r="C673" s="13" t="s">
        <v>1944</v>
      </c>
      <c r="D673" s="11" t="s">
        <v>1943</v>
      </c>
      <c r="E673" s="11" t="s">
        <v>1942</v>
      </c>
      <c r="F673" s="11" t="s">
        <v>244</v>
      </c>
      <c r="G673" s="11" t="s">
        <v>1941</v>
      </c>
      <c r="H673" s="11" t="s">
        <v>1940</v>
      </c>
      <c r="I673" s="14" t="s">
        <v>120</v>
      </c>
      <c r="J673" s="11" t="s">
        <v>1939</v>
      </c>
      <c r="K673" s="8" t="s">
        <v>1938</v>
      </c>
    </row>
    <row r="674" spans="1:11" ht="15.5" x14ac:dyDescent="0.35">
      <c r="A674" s="10"/>
      <c r="B674" s="10"/>
      <c r="C674" s="10"/>
      <c r="D674" s="10"/>
      <c r="E674" s="10"/>
      <c r="F674" s="10"/>
      <c r="G674" s="9"/>
      <c r="H674" s="9"/>
      <c r="I674" s="9"/>
      <c r="J674" s="9"/>
      <c r="K674" s="8" t="s">
        <v>1937</v>
      </c>
    </row>
    <row r="675" spans="1:11" ht="15.5" x14ac:dyDescent="0.35">
      <c r="A675" s="10"/>
      <c r="B675" s="10"/>
      <c r="C675" s="10"/>
      <c r="D675" s="10"/>
      <c r="E675" s="10"/>
      <c r="F675" s="10"/>
      <c r="G675" s="11" t="s">
        <v>1936</v>
      </c>
      <c r="H675" s="11" t="s">
        <v>1935</v>
      </c>
      <c r="I675" s="12" t="s">
        <v>58</v>
      </c>
      <c r="J675" s="11" t="s">
        <v>1934</v>
      </c>
      <c r="K675" s="8" t="s">
        <v>1933</v>
      </c>
    </row>
    <row r="676" spans="1:11" ht="15.5" x14ac:dyDescent="0.35">
      <c r="A676" s="10"/>
      <c r="B676" s="10"/>
      <c r="C676" s="10"/>
      <c r="D676" s="9"/>
      <c r="E676" s="9"/>
      <c r="F676" s="9"/>
      <c r="G676" s="9"/>
      <c r="H676" s="9"/>
      <c r="I676" s="9"/>
      <c r="J676" s="9"/>
      <c r="K676" s="8" t="s">
        <v>1932</v>
      </c>
    </row>
    <row r="677" spans="1:11" ht="15.5" x14ac:dyDescent="0.35">
      <c r="A677" s="10"/>
      <c r="B677" s="10"/>
      <c r="C677" s="10"/>
      <c r="D677" s="11" t="s">
        <v>1931</v>
      </c>
      <c r="E677" s="11" t="s">
        <v>1930</v>
      </c>
      <c r="F677" s="11" t="s">
        <v>65</v>
      </c>
      <c r="G677" s="11" t="s">
        <v>1929</v>
      </c>
      <c r="H677" s="11" t="s">
        <v>1928</v>
      </c>
      <c r="I677" s="12" t="s">
        <v>58</v>
      </c>
      <c r="J677" s="11" t="s">
        <v>1927</v>
      </c>
      <c r="K677" s="8" t="s">
        <v>1926</v>
      </c>
    </row>
    <row r="678" spans="1:11" ht="15.5" x14ac:dyDescent="0.35">
      <c r="A678" s="10"/>
      <c r="B678" s="10"/>
      <c r="C678" s="10"/>
      <c r="D678" s="10"/>
      <c r="E678" s="10"/>
      <c r="F678" s="10"/>
      <c r="G678" s="9"/>
      <c r="H678" s="9"/>
      <c r="I678" s="9"/>
      <c r="J678" s="9"/>
      <c r="K678" s="8" t="s">
        <v>1925</v>
      </c>
    </row>
    <row r="679" spans="1:11" ht="15.5" x14ac:dyDescent="0.35">
      <c r="A679" s="10"/>
      <c r="B679" s="10"/>
      <c r="C679" s="10"/>
      <c r="D679" s="10"/>
      <c r="E679" s="10"/>
      <c r="F679" s="10"/>
      <c r="G679" s="11" t="s">
        <v>1924</v>
      </c>
      <c r="H679" s="11" t="s">
        <v>1923</v>
      </c>
      <c r="I679" s="12" t="s">
        <v>58</v>
      </c>
      <c r="J679" s="11" t="s">
        <v>1922</v>
      </c>
      <c r="K679" s="8" t="s">
        <v>1921</v>
      </c>
    </row>
    <row r="680" spans="1:11" ht="15.5" x14ac:dyDescent="0.35">
      <c r="A680" s="10"/>
      <c r="B680" s="10"/>
      <c r="C680" s="10"/>
      <c r="D680" s="9"/>
      <c r="E680" s="9"/>
      <c r="F680" s="9"/>
      <c r="G680" s="9"/>
      <c r="H680" s="9"/>
      <c r="I680" s="9"/>
      <c r="J680" s="9"/>
      <c r="K680" s="8" t="s">
        <v>1920</v>
      </c>
    </row>
    <row r="681" spans="1:11" ht="15.5" x14ac:dyDescent="0.35">
      <c r="A681" s="10"/>
      <c r="B681" s="10"/>
      <c r="C681" s="10"/>
      <c r="D681" s="11" t="s">
        <v>1919</v>
      </c>
      <c r="E681" s="11" t="s">
        <v>1918</v>
      </c>
      <c r="F681" s="11" t="s">
        <v>244</v>
      </c>
      <c r="G681" s="11" t="s">
        <v>1917</v>
      </c>
      <c r="H681" s="11" t="s">
        <v>1916</v>
      </c>
      <c r="I681" s="14" t="s">
        <v>120</v>
      </c>
      <c r="J681" s="11" t="s">
        <v>1915</v>
      </c>
      <c r="K681" s="8" t="s">
        <v>1914</v>
      </c>
    </row>
    <row r="682" spans="1:11" ht="15.5" x14ac:dyDescent="0.35">
      <c r="A682" s="10"/>
      <c r="B682" s="10"/>
      <c r="C682" s="10"/>
      <c r="D682" s="10"/>
      <c r="E682" s="10"/>
      <c r="F682" s="10"/>
      <c r="G682" s="9"/>
      <c r="H682" s="9"/>
      <c r="I682" s="9"/>
      <c r="J682" s="9"/>
      <c r="K682" s="8" t="s">
        <v>1913</v>
      </c>
    </row>
    <row r="683" spans="1:11" ht="15.5" x14ac:dyDescent="0.35">
      <c r="A683" s="10"/>
      <c r="B683" s="10"/>
      <c r="C683" s="10"/>
      <c r="D683" s="10"/>
      <c r="E683" s="10"/>
      <c r="F683" s="10"/>
      <c r="G683" s="11" t="s">
        <v>1912</v>
      </c>
      <c r="H683" s="11" t="s">
        <v>1911</v>
      </c>
      <c r="I683" s="14" t="s">
        <v>120</v>
      </c>
      <c r="J683" s="11" t="s">
        <v>1910</v>
      </c>
      <c r="K683" s="8" t="s">
        <v>1909</v>
      </c>
    </row>
    <row r="684" spans="1:11" ht="15.5" x14ac:dyDescent="0.35">
      <c r="A684" s="10"/>
      <c r="B684" s="10"/>
      <c r="C684" s="10"/>
      <c r="D684" s="9"/>
      <c r="E684" s="9"/>
      <c r="F684" s="9"/>
      <c r="G684" s="9"/>
      <c r="H684" s="9"/>
      <c r="I684" s="9"/>
      <c r="J684" s="9"/>
      <c r="K684" s="8" t="s">
        <v>1908</v>
      </c>
    </row>
    <row r="685" spans="1:11" ht="15.5" x14ac:dyDescent="0.35">
      <c r="A685" s="10"/>
      <c r="B685" s="10"/>
      <c r="C685" s="10"/>
      <c r="D685" s="11" t="s">
        <v>1907</v>
      </c>
      <c r="E685" s="11" t="s">
        <v>1906</v>
      </c>
      <c r="F685" s="11" t="s">
        <v>244</v>
      </c>
      <c r="G685" s="11" t="s">
        <v>1905</v>
      </c>
      <c r="H685" s="11" t="s">
        <v>1904</v>
      </c>
      <c r="I685" s="14" t="s">
        <v>120</v>
      </c>
      <c r="J685" s="11" t="s">
        <v>1903</v>
      </c>
      <c r="K685" s="8" t="s">
        <v>1902</v>
      </c>
    </row>
    <row r="686" spans="1:11" ht="15.5" x14ac:dyDescent="0.35">
      <c r="A686" s="10"/>
      <c r="B686" s="10"/>
      <c r="C686" s="10"/>
      <c r="D686" s="10"/>
      <c r="E686" s="10"/>
      <c r="F686" s="10"/>
      <c r="G686" s="9"/>
      <c r="H686" s="9"/>
      <c r="I686" s="9"/>
      <c r="J686" s="9"/>
      <c r="K686" s="8" t="s">
        <v>1901</v>
      </c>
    </row>
    <row r="687" spans="1:11" ht="15.5" x14ac:dyDescent="0.35">
      <c r="A687" s="10"/>
      <c r="B687" s="10"/>
      <c r="C687" s="10"/>
      <c r="D687" s="10"/>
      <c r="E687" s="10"/>
      <c r="F687" s="10"/>
      <c r="G687" s="11" t="s">
        <v>1900</v>
      </c>
      <c r="H687" s="11" t="s">
        <v>1899</v>
      </c>
      <c r="I687" s="14" t="s">
        <v>120</v>
      </c>
      <c r="J687" s="11" t="s">
        <v>1898</v>
      </c>
      <c r="K687" s="8" t="s">
        <v>1897</v>
      </c>
    </row>
    <row r="688" spans="1:11" ht="15.5" x14ac:dyDescent="0.35">
      <c r="A688" s="10"/>
      <c r="B688" s="10"/>
      <c r="C688" s="10"/>
      <c r="D688" s="9"/>
      <c r="E688" s="9"/>
      <c r="F688" s="9"/>
      <c r="G688" s="9"/>
      <c r="H688" s="9"/>
      <c r="I688" s="9"/>
      <c r="J688" s="9"/>
      <c r="K688" s="8" t="s">
        <v>1429</v>
      </c>
    </row>
    <row r="689" spans="1:11" ht="15.5" x14ac:dyDescent="0.35">
      <c r="A689" s="10"/>
      <c r="B689" s="10"/>
      <c r="C689" s="10"/>
      <c r="D689" s="11" t="s">
        <v>1896</v>
      </c>
      <c r="E689" s="11" t="s">
        <v>1895</v>
      </c>
      <c r="F689" s="11" t="s">
        <v>244</v>
      </c>
      <c r="G689" s="11" t="s">
        <v>1894</v>
      </c>
      <c r="H689" s="11" t="s">
        <v>1893</v>
      </c>
      <c r="I689" s="14" t="s">
        <v>120</v>
      </c>
      <c r="J689" s="11" t="s">
        <v>1892</v>
      </c>
      <c r="K689" s="8" t="s">
        <v>1891</v>
      </c>
    </row>
    <row r="690" spans="1:11" ht="15.5" x14ac:dyDescent="0.35">
      <c r="A690" s="10"/>
      <c r="B690" s="10"/>
      <c r="C690" s="10"/>
      <c r="D690" s="10"/>
      <c r="E690" s="10"/>
      <c r="F690" s="10"/>
      <c r="G690" s="9"/>
      <c r="H690" s="9"/>
      <c r="I690" s="9"/>
      <c r="J690" s="9"/>
      <c r="K690" s="8" t="s">
        <v>1890</v>
      </c>
    </row>
    <row r="691" spans="1:11" ht="15.5" x14ac:dyDescent="0.35">
      <c r="A691" s="10"/>
      <c r="B691" s="10"/>
      <c r="C691" s="10"/>
      <c r="D691" s="10"/>
      <c r="E691" s="10"/>
      <c r="F691" s="10"/>
      <c r="G691" s="11" t="s">
        <v>1889</v>
      </c>
      <c r="H691" s="11" t="s">
        <v>1888</v>
      </c>
      <c r="I691" s="14" t="s">
        <v>120</v>
      </c>
      <c r="J691" s="11" t="s">
        <v>1887</v>
      </c>
      <c r="K691" s="8" t="s">
        <v>1886</v>
      </c>
    </row>
    <row r="692" spans="1:11" ht="15.5" x14ac:dyDescent="0.35">
      <c r="A692" s="10"/>
      <c r="B692" s="10"/>
      <c r="C692" s="9"/>
      <c r="D692" s="9"/>
      <c r="E692" s="9"/>
      <c r="F692" s="9"/>
      <c r="G692" s="9"/>
      <c r="H692" s="9"/>
      <c r="I692" s="9"/>
      <c r="J692" s="9"/>
      <c r="K692" s="8" t="s">
        <v>1885</v>
      </c>
    </row>
    <row r="693" spans="1:11" ht="15.5" x14ac:dyDescent="0.35">
      <c r="A693" s="10"/>
      <c r="B693" s="10"/>
      <c r="C693" s="13" t="s">
        <v>1884</v>
      </c>
      <c r="D693" s="11" t="s">
        <v>1883</v>
      </c>
      <c r="E693" s="11" t="s">
        <v>1882</v>
      </c>
      <c r="F693" s="11" t="s">
        <v>65</v>
      </c>
      <c r="G693" s="11" t="s">
        <v>1881</v>
      </c>
      <c r="H693" s="11" t="s">
        <v>1880</v>
      </c>
      <c r="I693" s="14" t="s">
        <v>120</v>
      </c>
      <c r="J693" s="11" t="s">
        <v>1879</v>
      </c>
      <c r="K693" s="8" t="s">
        <v>1878</v>
      </c>
    </row>
    <row r="694" spans="1:11" ht="15.5" x14ac:dyDescent="0.35">
      <c r="A694" s="10"/>
      <c r="B694" s="10"/>
      <c r="C694" s="10"/>
      <c r="D694" s="10"/>
      <c r="E694" s="10"/>
      <c r="F694" s="10"/>
      <c r="G694" s="9"/>
      <c r="H694" s="9"/>
      <c r="I694" s="9"/>
      <c r="J694" s="9"/>
      <c r="K694" s="8" t="s">
        <v>1877</v>
      </c>
    </row>
    <row r="695" spans="1:11" ht="15.5" x14ac:dyDescent="0.35">
      <c r="A695" s="10"/>
      <c r="B695" s="10"/>
      <c r="C695" s="10"/>
      <c r="D695" s="10"/>
      <c r="E695" s="10"/>
      <c r="F695" s="10"/>
      <c r="G695" s="11" t="s">
        <v>1876</v>
      </c>
      <c r="H695" s="11" t="s">
        <v>1875</v>
      </c>
      <c r="I695" s="14" t="s">
        <v>120</v>
      </c>
      <c r="J695" s="11" t="s">
        <v>1874</v>
      </c>
      <c r="K695" s="8" t="s">
        <v>1873</v>
      </c>
    </row>
    <row r="696" spans="1:11" ht="15.5" x14ac:dyDescent="0.35">
      <c r="A696" s="10"/>
      <c r="B696" s="10"/>
      <c r="C696" s="10"/>
      <c r="D696" s="9"/>
      <c r="E696" s="9"/>
      <c r="F696" s="9"/>
      <c r="G696" s="9"/>
      <c r="H696" s="9"/>
      <c r="I696" s="9"/>
      <c r="J696" s="9"/>
      <c r="K696" s="8" t="s">
        <v>1872</v>
      </c>
    </row>
    <row r="697" spans="1:11" ht="15.5" x14ac:dyDescent="0.35">
      <c r="A697" s="10"/>
      <c r="B697" s="10"/>
      <c r="C697" s="10"/>
      <c r="D697" s="11" t="s">
        <v>1871</v>
      </c>
      <c r="E697" s="11" t="s">
        <v>1870</v>
      </c>
      <c r="F697" s="11" t="s">
        <v>65</v>
      </c>
      <c r="G697" s="11" t="s">
        <v>1869</v>
      </c>
      <c r="H697" s="11" t="s">
        <v>1868</v>
      </c>
      <c r="I697" s="14" t="s">
        <v>120</v>
      </c>
      <c r="J697" s="11" t="s">
        <v>1867</v>
      </c>
      <c r="K697" s="8" t="s">
        <v>1866</v>
      </c>
    </row>
    <row r="698" spans="1:11" ht="15.5" x14ac:dyDescent="0.35">
      <c r="A698" s="10"/>
      <c r="B698" s="10"/>
      <c r="C698" s="10"/>
      <c r="D698" s="10"/>
      <c r="E698" s="10"/>
      <c r="F698" s="10"/>
      <c r="G698" s="9"/>
      <c r="H698" s="9"/>
      <c r="I698" s="9"/>
      <c r="J698" s="9"/>
      <c r="K698" s="8" t="s">
        <v>1865</v>
      </c>
    </row>
    <row r="699" spans="1:11" ht="15.5" x14ac:dyDescent="0.35">
      <c r="A699" s="10"/>
      <c r="B699" s="10"/>
      <c r="C699" s="10"/>
      <c r="D699" s="10"/>
      <c r="E699" s="10"/>
      <c r="F699" s="10"/>
      <c r="G699" s="11" t="s">
        <v>1864</v>
      </c>
      <c r="H699" s="11" t="s">
        <v>1863</v>
      </c>
      <c r="I699" s="12" t="s">
        <v>58</v>
      </c>
      <c r="J699" s="11" t="s">
        <v>1862</v>
      </c>
      <c r="K699" s="8" t="s">
        <v>1861</v>
      </c>
    </row>
    <row r="700" spans="1:11" ht="15.5" x14ac:dyDescent="0.35">
      <c r="A700" s="10"/>
      <c r="B700" s="10"/>
      <c r="C700" s="10"/>
      <c r="D700" s="9"/>
      <c r="E700" s="9"/>
      <c r="F700" s="9"/>
      <c r="G700" s="9"/>
      <c r="H700" s="9"/>
      <c r="I700" s="9"/>
      <c r="J700" s="9"/>
      <c r="K700" s="8" t="s">
        <v>1860</v>
      </c>
    </row>
    <row r="701" spans="1:11" ht="15.5" x14ac:dyDescent="0.35">
      <c r="A701" s="10"/>
      <c r="B701" s="10"/>
      <c r="C701" s="10"/>
      <c r="D701" s="11" t="s">
        <v>1859</v>
      </c>
      <c r="E701" s="11" t="s">
        <v>1858</v>
      </c>
      <c r="F701" s="11" t="s">
        <v>65</v>
      </c>
      <c r="G701" s="11" t="s">
        <v>1857</v>
      </c>
      <c r="H701" s="11" t="s">
        <v>1856</v>
      </c>
      <c r="I701" s="12" t="s">
        <v>58</v>
      </c>
      <c r="J701" s="11" t="s">
        <v>1855</v>
      </c>
      <c r="K701" s="8" t="s">
        <v>1854</v>
      </c>
    </row>
    <row r="702" spans="1:11" ht="15.5" x14ac:dyDescent="0.35">
      <c r="A702" s="10"/>
      <c r="B702" s="10"/>
      <c r="C702" s="10"/>
      <c r="D702" s="10"/>
      <c r="E702" s="10"/>
      <c r="F702" s="10"/>
      <c r="G702" s="9"/>
      <c r="H702" s="9"/>
      <c r="I702" s="9"/>
      <c r="J702" s="9"/>
      <c r="K702" s="8" t="s">
        <v>1853</v>
      </c>
    </row>
    <row r="703" spans="1:11" ht="15.5" x14ac:dyDescent="0.35">
      <c r="A703" s="10"/>
      <c r="B703" s="10"/>
      <c r="C703" s="10"/>
      <c r="D703" s="10"/>
      <c r="E703" s="10"/>
      <c r="F703" s="10"/>
      <c r="G703" s="11" t="s">
        <v>1852</v>
      </c>
      <c r="H703" s="11" t="s">
        <v>1851</v>
      </c>
      <c r="I703" s="12" t="s">
        <v>58</v>
      </c>
      <c r="J703" s="11" t="s">
        <v>1850</v>
      </c>
      <c r="K703" s="8" t="s">
        <v>1849</v>
      </c>
    </row>
    <row r="704" spans="1:11" ht="15.5" x14ac:dyDescent="0.35">
      <c r="A704" s="10"/>
      <c r="B704" s="10"/>
      <c r="C704" s="10"/>
      <c r="D704" s="9"/>
      <c r="E704" s="9"/>
      <c r="F704" s="9"/>
      <c r="G704" s="9"/>
      <c r="H704" s="9"/>
      <c r="I704" s="9"/>
      <c r="J704" s="9"/>
      <c r="K704" s="8" t="s">
        <v>1848</v>
      </c>
    </row>
    <row r="705" spans="1:11" ht="15.5" x14ac:dyDescent="0.35">
      <c r="A705" s="10"/>
      <c r="B705" s="10"/>
      <c r="C705" s="10"/>
      <c r="D705" s="11" t="s">
        <v>1847</v>
      </c>
      <c r="E705" s="11" t="s">
        <v>1846</v>
      </c>
      <c r="F705" s="11" t="s">
        <v>65</v>
      </c>
      <c r="G705" s="11" t="s">
        <v>1845</v>
      </c>
      <c r="H705" s="11" t="s">
        <v>1844</v>
      </c>
      <c r="I705" s="12" t="s">
        <v>58</v>
      </c>
      <c r="J705" s="11" t="s">
        <v>1843</v>
      </c>
      <c r="K705" s="8" t="s">
        <v>1842</v>
      </c>
    </row>
    <row r="706" spans="1:11" ht="15.5" x14ac:dyDescent="0.35">
      <c r="A706" s="10"/>
      <c r="B706" s="10"/>
      <c r="C706" s="10"/>
      <c r="D706" s="10"/>
      <c r="E706" s="10"/>
      <c r="F706" s="10"/>
      <c r="G706" s="9"/>
      <c r="H706" s="9"/>
      <c r="I706" s="9"/>
      <c r="J706" s="9"/>
      <c r="K706" s="8" t="s">
        <v>1841</v>
      </c>
    </row>
    <row r="707" spans="1:11" ht="15.5" x14ac:dyDescent="0.35">
      <c r="A707" s="10"/>
      <c r="B707" s="10"/>
      <c r="C707" s="10"/>
      <c r="D707" s="10"/>
      <c r="E707" s="10"/>
      <c r="F707" s="10"/>
      <c r="G707" s="11" t="s">
        <v>1840</v>
      </c>
      <c r="H707" s="11" t="s">
        <v>1839</v>
      </c>
      <c r="I707" s="12" t="s">
        <v>58</v>
      </c>
      <c r="J707" s="11" t="s">
        <v>1838</v>
      </c>
      <c r="K707" s="8" t="s">
        <v>1837</v>
      </c>
    </row>
    <row r="708" spans="1:11" ht="15.5" x14ac:dyDescent="0.35">
      <c r="A708" s="10"/>
      <c r="B708" s="10"/>
      <c r="C708" s="10"/>
      <c r="D708" s="9"/>
      <c r="E708" s="9"/>
      <c r="F708" s="9"/>
      <c r="G708" s="9"/>
      <c r="H708" s="9"/>
      <c r="I708" s="9"/>
      <c r="J708" s="9"/>
      <c r="K708" s="8" t="s">
        <v>1836</v>
      </c>
    </row>
    <row r="709" spans="1:11" ht="15.5" x14ac:dyDescent="0.35">
      <c r="A709" s="10"/>
      <c r="B709" s="10"/>
      <c r="C709" s="10"/>
      <c r="D709" s="11" t="s">
        <v>1835</v>
      </c>
      <c r="E709" s="11" t="s">
        <v>1834</v>
      </c>
      <c r="F709" s="11" t="s">
        <v>65</v>
      </c>
      <c r="G709" s="11" t="s">
        <v>1833</v>
      </c>
      <c r="H709" s="11" t="s">
        <v>1832</v>
      </c>
      <c r="I709" s="12" t="s">
        <v>58</v>
      </c>
      <c r="J709" s="11" t="s">
        <v>1831</v>
      </c>
      <c r="K709" s="8" t="s">
        <v>1830</v>
      </c>
    </row>
    <row r="710" spans="1:11" ht="15.5" x14ac:dyDescent="0.35">
      <c r="A710" s="10"/>
      <c r="B710" s="10"/>
      <c r="C710" s="10"/>
      <c r="D710" s="10"/>
      <c r="E710" s="10"/>
      <c r="F710" s="10"/>
      <c r="G710" s="9"/>
      <c r="H710" s="9"/>
      <c r="I710" s="9"/>
      <c r="J710" s="9"/>
      <c r="K710" s="8" t="s">
        <v>1829</v>
      </c>
    </row>
    <row r="711" spans="1:11" ht="15.5" x14ac:dyDescent="0.35">
      <c r="A711" s="10"/>
      <c r="B711" s="10"/>
      <c r="C711" s="10"/>
      <c r="D711" s="10"/>
      <c r="E711" s="10"/>
      <c r="F711" s="10"/>
      <c r="G711" s="11" t="s">
        <v>1828</v>
      </c>
      <c r="H711" s="11" t="s">
        <v>1827</v>
      </c>
      <c r="I711" s="12" t="s">
        <v>58</v>
      </c>
      <c r="J711" s="11" t="s">
        <v>1826</v>
      </c>
      <c r="K711" s="8" t="s">
        <v>1825</v>
      </c>
    </row>
    <row r="712" spans="1:11" ht="15.5" x14ac:dyDescent="0.35">
      <c r="A712" s="10"/>
      <c r="B712" s="10"/>
      <c r="C712" s="9"/>
      <c r="D712" s="9"/>
      <c r="E712" s="9"/>
      <c r="F712" s="9"/>
      <c r="G712" s="9"/>
      <c r="H712" s="9"/>
      <c r="I712" s="9"/>
      <c r="J712" s="9"/>
      <c r="K712" s="8" t="s">
        <v>1824</v>
      </c>
    </row>
    <row r="713" spans="1:11" ht="15.5" x14ac:dyDescent="0.35">
      <c r="A713" s="10"/>
      <c r="B713" s="10"/>
      <c r="C713" s="13" t="s">
        <v>1823</v>
      </c>
      <c r="D713" s="11" t="s">
        <v>1822</v>
      </c>
      <c r="E713" s="11" t="s">
        <v>1821</v>
      </c>
      <c r="F713" s="11" t="s">
        <v>65</v>
      </c>
      <c r="G713" s="11" t="s">
        <v>1820</v>
      </c>
      <c r="H713" s="11" t="s">
        <v>1819</v>
      </c>
      <c r="I713" s="12" t="s">
        <v>58</v>
      </c>
      <c r="J713" s="11" t="s">
        <v>1818</v>
      </c>
      <c r="K713" s="8" t="s">
        <v>1817</v>
      </c>
    </row>
    <row r="714" spans="1:11" ht="15.5" x14ac:dyDescent="0.35">
      <c r="A714" s="10"/>
      <c r="B714" s="10"/>
      <c r="C714" s="10"/>
      <c r="D714" s="10"/>
      <c r="E714" s="10"/>
      <c r="F714" s="10"/>
      <c r="G714" s="9"/>
      <c r="H714" s="9"/>
      <c r="I714" s="9"/>
      <c r="J714" s="9"/>
      <c r="K714" s="8" t="s">
        <v>1816</v>
      </c>
    </row>
    <row r="715" spans="1:11" ht="15.5" x14ac:dyDescent="0.35">
      <c r="A715" s="10"/>
      <c r="B715" s="10"/>
      <c r="C715" s="10"/>
      <c r="D715" s="10"/>
      <c r="E715" s="10"/>
      <c r="F715" s="10"/>
      <c r="G715" s="11" t="s">
        <v>1815</v>
      </c>
      <c r="H715" s="11" t="s">
        <v>1814</v>
      </c>
      <c r="I715" s="12" t="s">
        <v>58</v>
      </c>
      <c r="J715" s="11" t="s">
        <v>1813</v>
      </c>
      <c r="K715" s="8" t="s">
        <v>1812</v>
      </c>
    </row>
    <row r="716" spans="1:11" ht="15.5" x14ac:dyDescent="0.35">
      <c r="A716" s="10"/>
      <c r="B716" s="10"/>
      <c r="C716" s="10"/>
      <c r="D716" s="9"/>
      <c r="E716" s="9"/>
      <c r="F716" s="9"/>
      <c r="G716" s="9"/>
      <c r="H716" s="9"/>
      <c r="I716" s="9"/>
      <c r="J716" s="9"/>
      <c r="K716" s="8" t="s">
        <v>1811</v>
      </c>
    </row>
    <row r="717" spans="1:11" ht="15.5" x14ac:dyDescent="0.35">
      <c r="A717" s="10"/>
      <c r="B717" s="10"/>
      <c r="C717" s="10"/>
      <c r="D717" s="11" t="s">
        <v>1810</v>
      </c>
      <c r="E717" s="11" t="s">
        <v>1809</v>
      </c>
      <c r="F717" s="11" t="s">
        <v>65</v>
      </c>
      <c r="G717" s="11" t="s">
        <v>1808</v>
      </c>
      <c r="H717" s="11" t="s">
        <v>1807</v>
      </c>
      <c r="I717" s="12" t="s">
        <v>58</v>
      </c>
      <c r="J717" s="11" t="s">
        <v>1806</v>
      </c>
      <c r="K717" s="8" t="s">
        <v>1805</v>
      </c>
    </row>
    <row r="718" spans="1:11" ht="15.5" x14ac:dyDescent="0.35">
      <c r="A718" s="10"/>
      <c r="B718" s="10"/>
      <c r="C718" s="10"/>
      <c r="D718" s="10"/>
      <c r="E718" s="10"/>
      <c r="F718" s="10"/>
      <c r="G718" s="9"/>
      <c r="H718" s="9"/>
      <c r="I718" s="9"/>
      <c r="J718" s="9"/>
      <c r="K718" s="8" t="s">
        <v>1804</v>
      </c>
    </row>
    <row r="719" spans="1:11" ht="15.5" x14ac:dyDescent="0.35">
      <c r="A719" s="10"/>
      <c r="B719" s="10"/>
      <c r="C719" s="10"/>
      <c r="D719" s="10"/>
      <c r="E719" s="10"/>
      <c r="F719" s="10"/>
      <c r="G719" s="11" t="s">
        <v>1803</v>
      </c>
      <c r="H719" s="11" t="s">
        <v>1802</v>
      </c>
      <c r="I719" s="12" t="s">
        <v>58</v>
      </c>
      <c r="J719" s="11" t="s">
        <v>1801</v>
      </c>
      <c r="K719" s="8" t="s">
        <v>1800</v>
      </c>
    </row>
    <row r="720" spans="1:11" ht="15.5" x14ac:dyDescent="0.35">
      <c r="A720" s="10"/>
      <c r="B720" s="10"/>
      <c r="C720" s="10"/>
      <c r="D720" s="9"/>
      <c r="E720" s="9"/>
      <c r="F720" s="9"/>
      <c r="G720" s="9"/>
      <c r="H720" s="9"/>
      <c r="I720" s="9"/>
      <c r="J720" s="9"/>
      <c r="K720" s="8" t="s">
        <v>1799</v>
      </c>
    </row>
    <row r="721" spans="1:11" ht="15.5" x14ac:dyDescent="0.35">
      <c r="A721" s="10"/>
      <c r="B721" s="10"/>
      <c r="C721" s="10"/>
      <c r="D721" s="11" t="s">
        <v>1798</v>
      </c>
      <c r="E721" s="11" t="s">
        <v>1797</v>
      </c>
      <c r="F721" s="11" t="s">
        <v>65</v>
      </c>
      <c r="G721" s="11" t="s">
        <v>1796</v>
      </c>
      <c r="H721" s="11" t="s">
        <v>1795</v>
      </c>
      <c r="I721" s="12" t="s">
        <v>58</v>
      </c>
      <c r="J721" s="11" t="s">
        <v>1794</v>
      </c>
      <c r="K721" s="8" t="s">
        <v>1793</v>
      </c>
    </row>
    <row r="722" spans="1:11" ht="15.5" x14ac:dyDescent="0.35">
      <c r="A722" s="10"/>
      <c r="B722" s="10"/>
      <c r="C722" s="10"/>
      <c r="D722" s="10"/>
      <c r="E722" s="10"/>
      <c r="F722" s="10"/>
      <c r="G722" s="9"/>
      <c r="H722" s="9"/>
      <c r="I722" s="9"/>
      <c r="J722" s="9"/>
      <c r="K722" s="8" t="s">
        <v>1792</v>
      </c>
    </row>
    <row r="723" spans="1:11" ht="15.5" x14ac:dyDescent="0.35">
      <c r="A723" s="10"/>
      <c r="B723" s="10"/>
      <c r="C723" s="10"/>
      <c r="D723" s="10"/>
      <c r="E723" s="10"/>
      <c r="F723" s="10"/>
      <c r="G723" s="11" t="s">
        <v>1791</v>
      </c>
      <c r="H723" s="11" t="s">
        <v>1790</v>
      </c>
      <c r="I723" s="12" t="s">
        <v>58</v>
      </c>
      <c r="J723" s="11" t="s">
        <v>1789</v>
      </c>
      <c r="K723" s="8" t="s">
        <v>1788</v>
      </c>
    </row>
    <row r="724" spans="1:11" ht="15.5" x14ac:dyDescent="0.35">
      <c r="A724" s="10"/>
      <c r="B724" s="10"/>
      <c r="C724" s="10"/>
      <c r="D724" s="9"/>
      <c r="E724" s="9"/>
      <c r="F724" s="9"/>
      <c r="G724" s="9"/>
      <c r="H724" s="9"/>
      <c r="I724" s="9"/>
      <c r="J724" s="9"/>
      <c r="K724" s="8" t="s">
        <v>1787</v>
      </c>
    </row>
    <row r="725" spans="1:11" ht="15.5" x14ac:dyDescent="0.35">
      <c r="A725" s="10"/>
      <c r="B725" s="10"/>
      <c r="C725" s="10"/>
      <c r="D725" s="11" t="s">
        <v>1786</v>
      </c>
      <c r="E725" s="11" t="s">
        <v>1785</v>
      </c>
      <c r="F725" s="11" t="s">
        <v>65</v>
      </c>
      <c r="G725" s="11" t="s">
        <v>1784</v>
      </c>
      <c r="H725" s="11" t="s">
        <v>1783</v>
      </c>
      <c r="I725" s="12" t="s">
        <v>58</v>
      </c>
      <c r="J725" s="11" t="s">
        <v>1782</v>
      </c>
      <c r="K725" s="8" t="s">
        <v>1781</v>
      </c>
    </row>
    <row r="726" spans="1:11" ht="15.5" x14ac:dyDescent="0.35">
      <c r="A726" s="10"/>
      <c r="B726" s="10"/>
      <c r="C726" s="10"/>
      <c r="D726" s="10"/>
      <c r="E726" s="10"/>
      <c r="F726" s="10"/>
      <c r="G726" s="9"/>
      <c r="H726" s="9"/>
      <c r="I726" s="9"/>
      <c r="J726" s="9"/>
      <c r="K726" s="8" t="s">
        <v>1780</v>
      </c>
    </row>
    <row r="727" spans="1:11" ht="15.5" x14ac:dyDescent="0.35">
      <c r="A727" s="10"/>
      <c r="B727" s="10"/>
      <c r="C727" s="10"/>
      <c r="D727" s="10"/>
      <c r="E727" s="10"/>
      <c r="F727" s="10"/>
      <c r="G727" s="11" t="s">
        <v>1779</v>
      </c>
      <c r="H727" s="11" t="s">
        <v>1778</v>
      </c>
      <c r="I727" s="12" t="s">
        <v>58</v>
      </c>
      <c r="J727" s="11" t="s">
        <v>1777</v>
      </c>
      <c r="K727" s="8" t="s">
        <v>1776</v>
      </c>
    </row>
    <row r="728" spans="1:11" ht="15.5" x14ac:dyDescent="0.35">
      <c r="A728" s="10"/>
      <c r="B728" s="10"/>
      <c r="C728" s="10"/>
      <c r="D728" s="9"/>
      <c r="E728" s="9"/>
      <c r="F728" s="9"/>
      <c r="G728" s="9"/>
      <c r="H728" s="9"/>
      <c r="I728" s="9"/>
      <c r="J728" s="9"/>
      <c r="K728" s="8" t="s">
        <v>1775</v>
      </c>
    </row>
    <row r="729" spans="1:11" ht="15.5" x14ac:dyDescent="0.35">
      <c r="A729" s="10"/>
      <c r="B729" s="10"/>
      <c r="C729" s="10"/>
      <c r="D729" s="11" t="s">
        <v>1774</v>
      </c>
      <c r="E729" s="11" t="s">
        <v>1773</v>
      </c>
      <c r="F729" s="11" t="s">
        <v>65</v>
      </c>
      <c r="G729" s="11" t="s">
        <v>1772</v>
      </c>
      <c r="H729" s="11" t="s">
        <v>1771</v>
      </c>
      <c r="I729" s="12" t="s">
        <v>58</v>
      </c>
      <c r="J729" s="11" t="s">
        <v>1770</v>
      </c>
      <c r="K729" s="8" t="s">
        <v>1769</v>
      </c>
    </row>
    <row r="730" spans="1:11" ht="15.5" x14ac:dyDescent="0.35">
      <c r="A730" s="10"/>
      <c r="B730" s="10"/>
      <c r="C730" s="10"/>
      <c r="D730" s="10"/>
      <c r="E730" s="10"/>
      <c r="F730" s="10"/>
      <c r="G730" s="9"/>
      <c r="H730" s="9"/>
      <c r="I730" s="9"/>
      <c r="J730" s="9"/>
      <c r="K730" s="8" t="s">
        <v>1768</v>
      </c>
    </row>
    <row r="731" spans="1:11" ht="15.5" x14ac:dyDescent="0.35">
      <c r="A731" s="10"/>
      <c r="B731" s="10"/>
      <c r="C731" s="10"/>
      <c r="D731" s="10"/>
      <c r="E731" s="10"/>
      <c r="F731" s="10"/>
      <c r="G731" s="11" t="s">
        <v>1767</v>
      </c>
      <c r="H731" s="11" t="s">
        <v>1766</v>
      </c>
      <c r="I731" s="12" t="s">
        <v>58</v>
      </c>
      <c r="J731" s="11" t="s">
        <v>1765</v>
      </c>
      <c r="K731" s="8" t="s">
        <v>1764</v>
      </c>
    </row>
    <row r="732" spans="1:11" ht="15.5" x14ac:dyDescent="0.35">
      <c r="A732" s="10"/>
      <c r="B732" s="10"/>
      <c r="C732" s="9"/>
      <c r="D732" s="9"/>
      <c r="E732" s="9"/>
      <c r="F732" s="9"/>
      <c r="G732" s="9"/>
      <c r="H732" s="9"/>
      <c r="I732" s="9"/>
      <c r="J732" s="9"/>
      <c r="K732" s="8" t="s">
        <v>1763</v>
      </c>
    </row>
    <row r="733" spans="1:11" ht="15.5" x14ac:dyDescent="0.35">
      <c r="A733" s="10"/>
      <c r="B733" s="10"/>
      <c r="C733" s="13" t="s">
        <v>1762</v>
      </c>
      <c r="D733" s="11" t="s">
        <v>1761</v>
      </c>
      <c r="E733" s="11" t="s">
        <v>1760</v>
      </c>
      <c r="F733" s="11" t="s">
        <v>65</v>
      </c>
      <c r="G733" s="11" t="s">
        <v>1759</v>
      </c>
      <c r="H733" s="11" t="s">
        <v>1758</v>
      </c>
      <c r="I733" s="14" t="s">
        <v>120</v>
      </c>
      <c r="J733" s="11" t="s">
        <v>1757</v>
      </c>
      <c r="K733" s="8" t="s">
        <v>1756</v>
      </c>
    </row>
    <row r="734" spans="1:11" ht="15.5" x14ac:dyDescent="0.35">
      <c r="A734" s="10"/>
      <c r="B734" s="10"/>
      <c r="C734" s="10"/>
      <c r="D734" s="10"/>
      <c r="E734" s="10"/>
      <c r="F734" s="10"/>
      <c r="G734" s="9"/>
      <c r="H734" s="9"/>
      <c r="I734" s="9"/>
      <c r="J734" s="9"/>
      <c r="K734" s="8" t="s">
        <v>1755</v>
      </c>
    </row>
    <row r="735" spans="1:11" ht="15.5" x14ac:dyDescent="0.35">
      <c r="A735" s="10"/>
      <c r="B735" s="10"/>
      <c r="C735" s="10"/>
      <c r="D735" s="10"/>
      <c r="E735" s="10"/>
      <c r="F735" s="10"/>
      <c r="G735" s="11" t="s">
        <v>1754</v>
      </c>
      <c r="H735" s="11" t="s">
        <v>1753</v>
      </c>
      <c r="I735" s="14" t="s">
        <v>120</v>
      </c>
      <c r="J735" s="11" t="s">
        <v>1752</v>
      </c>
      <c r="K735" s="8" t="s">
        <v>1751</v>
      </c>
    </row>
    <row r="736" spans="1:11" ht="15.5" x14ac:dyDescent="0.35">
      <c r="A736" s="10"/>
      <c r="B736" s="10"/>
      <c r="C736" s="10"/>
      <c r="D736" s="9"/>
      <c r="E736" s="9"/>
      <c r="F736" s="9"/>
      <c r="G736" s="9"/>
      <c r="H736" s="9"/>
      <c r="I736" s="9"/>
      <c r="J736" s="9"/>
      <c r="K736" s="8" t="s">
        <v>1750</v>
      </c>
    </row>
    <row r="737" spans="1:11" ht="15.5" x14ac:dyDescent="0.35">
      <c r="A737" s="10"/>
      <c r="B737" s="10"/>
      <c r="C737" s="10"/>
      <c r="D737" s="11" t="s">
        <v>1749</v>
      </c>
      <c r="E737" s="11" t="s">
        <v>1748</v>
      </c>
      <c r="F737" s="11" t="s">
        <v>65</v>
      </c>
      <c r="G737" s="11" t="s">
        <v>1747</v>
      </c>
      <c r="H737" s="11" t="s">
        <v>1746</v>
      </c>
      <c r="I737" s="14" t="s">
        <v>120</v>
      </c>
      <c r="J737" s="11" t="s">
        <v>1745</v>
      </c>
      <c r="K737" s="8" t="s">
        <v>1744</v>
      </c>
    </row>
    <row r="738" spans="1:11" ht="15.5" x14ac:dyDescent="0.35">
      <c r="A738" s="10"/>
      <c r="B738" s="10"/>
      <c r="C738" s="10"/>
      <c r="D738" s="10"/>
      <c r="E738" s="10"/>
      <c r="F738" s="10"/>
      <c r="G738" s="9"/>
      <c r="H738" s="9"/>
      <c r="I738" s="9"/>
      <c r="J738" s="9"/>
      <c r="K738" s="8" t="s">
        <v>1743</v>
      </c>
    </row>
    <row r="739" spans="1:11" ht="15.5" x14ac:dyDescent="0.35">
      <c r="A739" s="10"/>
      <c r="B739" s="10"/>
      <c r="C739" s="10"/>
      <c r="D739" s="10"/>
      <c r="E739" s="10"/>
      <c r="F739" s="10"/>
      <c r="G739" s="11" t="s">
        <v>1742</v>
      </c>
      <c r="H739" s="11" t="s">
        <v>1741</v>
      </c>
      <c r="I739" s="14" t="s">
        <v>120</v>
      </c>
      <c r="J739" s="11" t="s">
        <v>1740</v>
      </c>
      <c r="K739" s="8" t="s">
        <v>1739</v>
      </c>
    </row>
    <row r="740" spans="1:11" ht="15.5" x14ac:dyDescent="0.35">
      <c r="A740" s="10"/>
      <c r="B740" s="10"/>
      <c r="C740" s="10"/>
      <c r="D740" s="9"/>
      <c r="E740" s="9"/>
      <c r="F740" s="9"/>
      <c r="G740" s="9"/>
      <c r="H740" s="9"/>
      <c r="I740" s="9"/>
      <c r="J740" s="9"/>
      <c r="K740" s="8" t="s">
        <v>1738</v>
      </c>
    </row>
    <row r="741" spans="1:11" ht="15.5" x14ac:dyDescent="0.35">
      <c r="A741" s="10"/>
      <c r="B741" s="10"/>
      <c r="C741" s="10"/>
      <c r="D741" s="11" t="s">
        <v>1737</v>
      </c>
      <c r="E741" s="11" t="s">
        <v>1736</v>
      </c>
      <c r="F741" s="11" t="s">
        <v>65</v>
      </c>
      <c r="G741" s="11" t="s">
        <v>1735</v>
      </c>
      <c r="H741" s="11" t="s">
        <v>1734</v>
      </c>
      <c r="I741" s="12" t="s">
        <v>58</v>
      </c>
      <c r="J741" s="11" t="s">
        <v>1733</v>
      </c>
      <c r="K741" s="8" t="s">
        <v>1732</v>
      </c>
    </row>
    <row r="742" spans="1:11" ht="15.5" x14ac:dyDescent="0.35">
      <c r="A742" s="10"/>
      <c r="B742" s="10"/>
      <c r="C742" s="10"/>
      <c r="D742" s="10"/>
      <c r="E742" s="10"/>
      <c r="F742" s="10"/>
      <c r="G742" s="9"/>
      <c r="H742" s="9"/>
      <c r="I742" s="9"/>
      <c r="J742" s="9"/>
      <c r="K742" s="8" t="s">
        <v>1731</v>
      </c>
    </row>
    <row r="743" spans="1:11" ht="15.5" x14ac:dyDescent="0.35">
      <c r="A743" s="10"/>
      <c r="B743" s="10"/>
      <c r="C743" s="10"/>
      <c r="D743" s="10"/>
      <c r="E743" s="10"/>
      <c r="F743" s="10"/>
      <c r="G743" s="11" t="s">
        <v>1730</v>
      </c>
      <c r="H743" s="11" t="s">
        <v>1729</v>
      </c>
      <c r="I743" s="12" t="s">
        <v>58</v>
      </c>
      <c r="J743" s="11" t="s">
        <v>1728</v>
      </c>
      <c r="K743" s="8" t="s">
        <v>1727</v>
      </c>
    </row>
    <row r="744" spans="1:11" ht="15.5" x14ac:dyDescent="0.35">
      <c r="A744" s="10"/>
      <c r="B744" s="10"/>
      <c r="C744" s="10"/>
      <c r="D744" s="9"/>
      <c r="E744" s="9"/>
      <c r="F744" s="9"/>
      <c r="G744" s="9"/>
      <c r="H744" s="9"/>
      <c r="I744" s="9"/>
      <c r="J744" s="9"/>
      <c r="K744" s="8" t="s">
        <v>1726</v>
      </c>
    </row>
    <row r="745" spans="1:11" ht="15.5" x14ac:dyDescent="0.35">
      <c r="A745" s="10"/>
      <c r="B745" s="10"/>
      <c r="C745" s="10"/>
      <c r="D745" s="11" t="s">
        <v>1725</v>
      </c>
      <c r="E745" s="11" t="s">
        <v>1724</v>
      </c>
      <c r="F745" s="11" t="s">
        <v>65</v>
      </c>
      <c r="G745" s="11" t="s">
        <v>1723</v>
      </c>
      <c r="H745" s="11" t="s">
        <v>1722</v>
      </c>
      <c r="I745" s="14" t="s">
        <v>120</v>
      </c>
      <c r="J745" s="11" t="s">
        <v>1721</v>
      </c>
      <c r="K745" s="8" t="s">
        <v>1720</v>
      </c>
    </row>
    <row r="746" spans="1:11" ht="15.5" x14ac:dyDescent="0.35">
      <c r="A746" s="10"/>
      <c r="B746" s="10"/>
      <c r="C746" s="10"/>
      <c r="D746" s="10"/>
      <c r="E746" s="10"/>
      <c r="F746" s="10"/>
      <c r="G746" s="9"/>
      <c r="H746" s="9"/>
      <c r="I746" s="9"/>
      <c r="J746" s="9"/>
      <c r="K746" s="8" t="s">
        <v>1719</v>
      </c>
    </row>
    <row r="747" spans="1:11" ht="15.5" x14ac:dyDescent="0.35">
      <c r="A747" s="10"/>
      <c r="B747" s="10"/>
      <c r="C747" s="10"/>
      <c r="D747" s="10"/>
      <c r="E747" s="10"/>
      <c r="F747" s="10"/>
      <c r="G747" s="11" t="s">
        <v>1718</v>
      </c>
      <c r="H747" s="11" t="s">
        <v>1717</v>
      </c>
      <c r="I747" s="14" t="s">
        <v>120</v>
      </c>
      <c r="J747" s="11" t="s">
        <v>1716</v>
      </c>
      <c r="K747" s="8" t="s">
        <v>1715</v>
      </c>
    </row>
    <row r="748" spans="1:11" ht="15.5" x14ac:dyDescent="0.35">
      <c r="A748" s="10"/>
      <c r="B748" s="10"/>
      <c r="C748" s="10"/>
      <c r="D748" s="9"/>
      <c r="E748" s="9"/>
      <c r="F748" s="9"/>
      <c r="G748" s="9"/>
      <c r="H748" s="9"/>
      <c r="I748" s="9"/>
      <c r="J748" s="9"/>
      <c r="K748" s="8" t="s">
        <v>1714</v>
      </c>
    </row>
    <row r="749" spans="1:11" ht="15.5" x14ac:dyDescent="0.35">
      <c r="A749" s="10"/>
      <c r="B749" s="10"/>
      <c r="C749" s="10"/>
      <c r="D749" s="11" t="s">
        <v>1713</v>
      </c>
      <c r="E749" s="11" t="s">
        <v>1712</v>
      </c>
      <c r="F749" s="11" t="s">
        <v>244</v>
      </c>
      <c r="G749" s="11" t="s">
        <v>1711</v>
      </c>
      <c r="H749" s="11" t="s">
        <v>1710</v>
      </c>
      <c r="I749" s="14" t="s">
        <v>120</v>
      </c>
      <c r="J749" s="11" t="s">
        <v>1709</v>
      </c>
      <c r="K749" s="8" t="s">
        <v>1708</v>
      </c>
    </row>
    <row r="750" spans="1:11" ht="15.5" x14ac:dyDescent="0.35">
      <c r="A750" s="10"/>
      <c r="B750" s="10"/>
      <c r="C750" s="10"/>
      <c r="D750" s="10"/>
      <c r="E750" s="10"/>
      <c r="F750" s="10"/>
      <c r="G750" s="9"/>
      <c r="H750" s="9"/>
      <c r="I750" s="9"/>
      <c r="J750" s="9"/>
      <c r="K750" s="8" t="s">
        <v>1707</v>
      </c>
    </row>
    <row r="751" spans="1:11" ht="15.5" x14ac:dyDescent="0.35">
      <c r="A751" s="10"/>
      <c r="B751" s="10"/>
      <c r="C751" s="10"/>
      <c r="D751" s="10"/>
      <c r="E751" s="10"/>
      <c r="F751" s="10"/>
      <c r="G751" s="11" t="s">
        <v>1706</v>
      </c>
      <c r="H751" s="11" t="s">
        <v>1705</v>
      </c>
      <c r="I751" s="12" t="s">
        <v>58</v>
      </c>
      <c r="J751" s="11" t="s">
        <v>1704</v>
      </c>
      <c r="K751" s="8" t="s">
        <v>1703</v>
      </c>
    </row>
    <row r="752" spans="1:11" ht="15.5" x14ac:dyDescent="0.35">
      <c r="A752" s="10"/>
      <c r="B752" s="10"/>
      <c r="C752" s="9"/>
      <c r="D752" s="9"/>
      <c r="E752" s="9"/>
      <c r="F752" s="9"/>
      <c r="G752" s="9"/>
      <c r="H752" s="9"/>
      <c r="I752" s="9"/>
      <c r="J752" s="9"/>
      <c r="K752" s="8" t="s">
        <v>1702</v>
      </c>
    </row>
    <row r="753" spans="1:11" ht="15.5" x14ac:dyDescent="0.35">
      <c r="A753" s="10"/>
      <c r="B753" s="10"/>
      <c r="C753" s="13" t="s">
        <v>1701</v>
      </c>
      <c r="D753" s="11" t="s">
        <v>1700</v>
      </c>
      <c r="E753" s="11" t="s">
        <v>1699</v>
      </c>
      <c r="F753" s="11" t="s">
        <v>244</v>
      </c>
      <c r="G753" s="11" t="s">
        <v>1698</v>
      </c>
      <c r="H753" s="11" t="s">
        <v>1697</v>
      </c>
      <c r="I753" s="12" t="s">
        <v>58</v>
      </c>
      <c r="J753" s="11" t="s">
        <v>1696</v>
      </c>
      <c r="K753" s="8" t="s">
        <v>1695</v>
      </c>
    </row>
    <row r="754" spans="1:11" ht="15.5" x14ac:dyDescent="0.35">
      <c r="A754" s="10"/>
      <c r="B754" s="10"/>
      <c r="C754" s="10"/>
      <c r="D754" s="10"/>
      <c r="E754" s="10"/>
      <c r="F754" s="10"/>
      <c r="G754" s="9"/>
      <c r="H754" s="9"/>
      <c r="I754" s="9"/>
      <c r="J754" s="9"/>
      <c r="K754" s="8" t="s">
        <v>1694</v>
      </c>
    </row>
    <row r="755" spans="1:11" ht="15.5" x14ac:dyDescent="0.35">
      <c r="A755" s="10"/>
      <c r="B755" s="10"/>
      <c r="C755" s="10"/>
      <c r="D755" s="10"/>
      <c r="E755" s="10"/>
      <c r="F755" s="10"/>
      <c r="G755" s="11" t="s">
        <v>1693</v>
      </c>
      <c r="H755" s="11" t="s">
        <v>1692</v>
      </c>
      <c r="I755" s="12" t="s">
        <v>58</v>
      </c>
      <c r="J755" s="11" t="s">
        <v>1691</v>
      </c>
      <c r="K755" s="8" t="s">
        <v>1690</v>
      </c>
    </row>
    <row r="756" spans="1:11" ht="15.5" x14ac:dyDescent="0.35">
      <c r="A756" s="10"/>
      <c r="B756" s="10"/>
      <c r="C756" s="10"/>
      <c r="D756" s="9"/>
      <c r="E756" s="9"/>
      <c r="F756" s="9"/>
      <c r="G756" s="9"/>
      <c r="H756" s="9"/>
      <c r="I756" s="9"/>
      <c r="J756" s="9"/>
      <c r="K756" s="8" t="s">
        <v>1689</v>
      </c>
    </row>
    <row r="757" spans="1:11" ht="15.5" x14ac:dyDescent="0.35">
      <c r="A757" s="10"/>
      <c r="B757" s="10"/>
      <c r="C757" s="10"/>
      <c r="D757" s="11" t="s">
        <v>1688</v>
      </c>
      <c r="E757" s="11" t="s">
        <v>1687</v>
      </c>
      <c r="F757" s="11" t="s">
        <v>65</v>
      </c>
      <c r="G757" s="11" t="s">
        <v>1686</v>
      </c>
      <c r="H757" s="11" t="s">
        <v>1685</v>
      </c>
      <c r="I757" s="12" t="s">
        <v>58</v>
      </c>
      <c r="J757" s="11" t="s">
        <v>1684</v>
      </c>
      <c r="K757" s="8" t="s">
        <v>1683</v>
      </c>
    </row>
    <row r="758" spans="1:11" ht="15.5" x14ac:dyDescent="0.35">
      <c r="A758" s="10"/>
      <c r="B758" s="10"/>
      <c r="C758" s="10"/>
      <c r="D758" s="10"/>
      <c r="E758" s="10"/>
      <c r="F758" s="10"/>
      <c r="G758" s="9"/>
      <c r="H758" s="9"/>
      <c r="I758" s="9"/>
      <c r="J758" s="9"/>
      <c r="K758" s="8" t="s">
        <v>1682</v>
      </c>
    </row>
    <row r="759" spans="1:11" ht="15.5" x14ac:dyDescent="0.35">
      <c r="A759" s="10"/>
      <c r="B759" s="10"/>
      <c r="C759" s="10"/>
      <c r="D759" s="10"/>
      <c r="E759" s="10"/>
      <c r="F759" s="10"/>
      <c r="G759" s="11" t="s">
        <v>1681</v>
      </c>
      <c r="H759" s="11" t="s">
        <v>1680</v>
      </c>
      <c r="I759" s="12" t="s">
        <v>58</v>
      </c>
      <c r="J759" s="11" t="s">
        <v>1679</v>
      </c>
      <c r="K759" s="8" t="s">
        <v>1678</v>
      </c>
    </row>
    <row r="760" spans="1:11" ht="15.5" x14ac:dyDescent="0.35">
      <c r="A760" s="10"/>
      <c r="B760" s="10"/>
      <c r="C760" s="10"/>
      <c r="D760" s="9"/>
      <c r="E760" s="9"/>
      <c r="F760" s="9"/>
      <c r="G760" s="9"/>
      <c r="H760" s="9"/>
      <c r="I760" s="9"/>
      <c r="J760" s="9"/>
      <c r="K760" s="8" t="s">
        <v>1677</v>
      </c>
    </row>
    <row r="761" spans="1:11" ht="15.5" x14ac:dyDescent="0.35">
      <c r="A761" s="10"/>
      <c r="B761" s="10"/>
      <c r="C761" s="10"/>
      <c r="D761" s="11" t="s">
        <v>1676</v>
      </c>
      <c r="E761" s="11" t="s">
        <v>1675</v>
      </c>
      <c r="F761" s="11" t="s">
        <v>65</v>
      </c>
      <c r="G761" s="11" t="s">
        <v>1674</v>
      </c>
      <c r="H761" s="11" t="s">
        <v>1673</v>
      </c>
      <c r="I761" s="12" t="s">
        <v>58</v>
      </c>
      <c r="J761" s="11" t="s">
        <v>1672</v>
      </c>
      <c r="K761" s="8" t="s">
        <v>1671</v>
      </c>
    </row>
    <row r="762" spans="1:11" ht="15.5" x14ac:dyDescent="0.35">
      <c r="A762" s="10"/>
      <c r="B762" s="10"/>
      <c r="C762" s="10"/>
      <c r="D762" s="10"/>
      <c r="E762" s="10"/>
      <c r="F762" s="10"/>
      <c r="G762" s="9"/>
      <c r="H762" s="9"/>
      <c r="I762" s="9"/>
      <c r="J762" s="9"/>
      <c r="K762" s="8" t="s">
        <v>1670</v>
      </c>
    </row>
    <row r="763" spans="1:11" ht="15.5" x14ac:dyDescent="0.35">
      <c r="A763" s="10"/>
      <c r="B763" s="10"/>
      <c r="C763" s="10"/>
      <c r="D763" s="10"/>
      <c r="E763" s="10"/>
      <c r="F763" s="10"/>
      <c r="G763" s="11" t="s">
        <v>1669</v>
      </c>
      <c r="H763" s="11" t="s">
        <v>1668</v>
      </c>
      <c r="I763" s="12" t="s">
        <v>58</v>
      </c>
      <c r="J763" s="11" t="s">
        <v>1667</v>
      </c>
      <c r="K763" s="8" t="s">
        <v>1666</v>
      </c>
    </row>
    <row r="764" spans="1:11" ht="15.5" x14ac:dyDescent="0.35">
      <c r="A764" s="10"/>
      <c r="B764" s="10"/>
      <c r="C764" s="10"/>
      <c r="D764" s="9"/>
      <c r="E764" s="9"/>
      <c r="F764" s="9"/>
      <c r="G764" s="9"/>
      <c r="H764" s="9"/>
      <c r="I764" s="9"/>
      <c r="J764" s="9"/>
      <c r="K764" s="8" t="s">
        <v>1665</v>
      </c>
    </row>
    <row r="765" spans="1:11" ht="15.5" x14ac:dyDescent="0.35">
      <c r="A765" s="10"/>
      <c r="B765" s="10"/>
      <c r="C765" s="10"/>
      <c r="D765" s="11" t="s">
        <v>1664</v>
      </c>
      <c r="E765" s="11" t="s">
        <v>1663</v>
      </c>
      <c r="F765" s="11" t="s">
        <v>65</v>
      </c>
      <c r="G765" s="11" t="s">
        <v>1662</v>
      </c>
      <c r="H765" s="11" t="s">
        <v>1661</v>
      </c>
      <c r="I765" s="14" t="s">
        <v>120</v>
      </c>
      <c r="J765" s="11" t="s">
        <v>1660</v>
      </c>
      <c r="K765" s="8" t="s">
        <v>1659</v>
      </c>
    </row>
    <row r="766" spans="1:11" ht="15.5" x14ac:dyDescent="0.35">
      <c r="A766" s="10"/>
      <c r="B766" s="10"/>
      <c r="C766" s="10"/>
      <c r="D766" s="10"/>
      <c r="E766" s="10"/>
      <c r="F766" s="10"/>
      <c r="G766" s="9"/>
      <c r="H766" s="9"/>
      <c r="I766" s="9"/>
      <c r="J766" s="9"/>
      <c r="K766" s="8" t="s">
        <v>1658</v>
      </c>
    </row>
    <row r="767" spans="1:11" ht="15.5" x14ac:dyDescent="0.35">
      <c r="A767" s="10"/>
      <c r="B767" s="10"/>
      <c r="C767" s="10"/>
      <c r="D767" s="10"/>
      <c r="E767" s="10"/>
      <c r="F767" s="10"/>
      <c r="G767" s="11" t="s">
        <v>1657</v>
      </c>
      <c r="H767" s="11" t="s">
        <v>1656</v>
      </c>
      <c r="I767" s="14" t="s">
        <v>120</v>
      </c>
      <c r="J767" s="11" t="s">
        <v>1655</v>
      </c>
      <c r="K767" s="8" t="s">
        <v>1654</v>
      </c>
    </row>
    <row r="768" spans="1:11" ht="15.5" x14ac:dyDescent="0.35">
      <c r="A768" s="10"/>
      <c r="B768" s="10"/>
      <c r="C768" s="10"/>
      <c r="D768" s="9"/>
      <c r="E768" s="9"/>
      <c r="F768" s="9"/>
      <c r="G768" s="9"/>
      <c r="H768" s="9"/>
      <c r="I768" s="9"/>
      <c r="J768" s="9"/>
      <c r="K768" s="8" t="s">
        <v>1653</v>
      </c>
    </row>
    <row r="769" spans="1:11" ht="15.5" x14ac:dyDescent="0.35">
      <c r="A769" s="10"/>
      <c r="B769" s="10"/>
      <c r="C769" s="10"/>
      <c r="D769" s="11" t="s">
        <v>1652</v>
      </c>
      <c r="E769" s="11" t="s">
        <v>1651</v>
      </c>
      <c r="F769" s="11" t="s">
        <v>65</v>
      </c>
      <c r="G769" s="11" t="s">
        <v>1650</v>
      </c>
      <c r="H769" s="11" t="s">
        <v>1649</v>
      </c>
      <c r="I769" s="14" t="s">
        <v>120</v>
      </c>
      <c r="J769" s="11" t="s">
        <v>1648</v>
      </c>
      <c r="K769" s="8" t="s">
        <v>1647</v>
      </c>
    </row>
    <row r="770" spans="1:11" ht="15.5" x14ac:dyDescent="0.35">
      <c r="A770" s="10"/>
      <c r="B770" s="10"/>
      <c r="C770" s="10"/>
      <c r="D770" s="10"/>
      <c r="E770" s="10"/>
      <c r="F770" s="10"/>
      <c r="G770" s="9"/>
      <c r="H770" s="9"/>
      <c r="I770" s="9"/>
      <c r="J770" s="9"/>
      <c r="K770" s="8" t="s">
        <v>1646</v>
      </c>
    </row>
    <row r="771" spans="1:11" ht="15.5" x14ac:dyDescent="0.35">
      <c r="A771" s="10"/>
      <c r="B771" s="10"/>
      <c r="C771" s="10"/>
      <c r="D771" s="10"/>
      <c r="E771" s="10"/>
      <c r="F771" s="10"/>
      <c r="G771" s="11" t="s">
        <v>1645</v>
      </c>
      <c r="H771" s="11" t="s">
        <v>1644</v>
      </c>
      <c r="I771" s="14" t="s">
        <v>120</v>
      </c>
      <c r="J771" s="11" t="s">
        <v>1643</v>
      </c>
      <c r="K771" s="8" t="s">
        <v>1642</v>
      </c>
    </row>
    <row r="772" spans="1:11" ht="15.5" x14ac:dyDescent="0.35">
      <c r="A772" s="10"/>
      <c r="B772" s="10"/>
      <c r="C772" s="9"/>
      <c r="D772" s="9"/>
      <c r="E772" s="9"/>
      <c r="F772" s="9"/>
      <c r="G772" s="9"/>
      <c r="H772" s="9"/>
      <c r="I772" s="9"/>
      <c r="J772" s="9"/>
      <c r="K772" s="8" t="s">
        <v>1641</v>
      </c>
    </row>
    <row r="773" spans="1:11" ht="15.5" x14ac:dyDescent="0.35">
      <c r="A773" s="10"/>
      <c r="B773" s="10"/>
      <c r="C773" s="13" t="s">
        <v>1640</v>
      </c>
      <c r="D773" s="11" t="s">
        <v>1639</v>
      </c>
      <c r="E773" s="11" t="s">
        <v>1638</v>
      </c>
      <c r="F773" s="11" t="s">
        <v>65</v>
      </c>
      <c r="G773" s="11" t="s">
        <v>1637</v>
      </c>
      <c r="H773" s="11" t="s">
        <v>1636</v>
      </c>
      <c r="I773" s="14" t="s">
        <v>120</v>
      </c>
      <c r="J773" s="11" t="s">
        <v>1635</v>
      </c>
      <c r="K773" s="8" t="s">
        <v>1634</v>
      </c>
    </row>
    <row r="774" spans="1:11" ht="15.5" x14ac:dyDescent="0.35">
      <c r="A774" s="10"/>
      <c r="B774" s="10"/>
      <c r="C774" s="10"/>
      <c r="D774" s="10"/>
      <c r="E774" s="10"/>
      <c r="F774" s="10"/>
      <c r="G774" s="9"/>
      <c r="H774" s="9"/>
      <c r="I774" s="9"/>
      <c r="J774" s="9"/>
      <c r="K774" s="8" t="s">
        <v>370</v>
      </c>
    </row>
    <row r="775" spans="1:11" ht="15.5" x14ac:dyDescent="0.35">
      <c r="A775" s="10"/>
      <c r="B775" s="10"/>
      <c r="C775" s="10"/>
      <c r="D775" s="10"/>
      <c r="E775" s="10"/>
      <c r="F775" s="10"/>
      <c r="G775" s="11" t="s">
        <v>1633</v>
      </c>
      <c r="H775" s="11" t="s">
        <v>1632</v>
      </c>
      <c r="I775" s="14" t="s">
        <v>120</v>
      </c>
      <c r="J775" s="11" t="s">
        <v>1631</v>
      </c>
      <c r="K775" s="8" t="s">
        <v>1630</v>
      </c>
    </row>
    <row r="776" spans="1:11" ht="15.5" x14ac:dyDescent="0.35">
      <c r="A776" s="10"/>
      <c r="B776" s="10"/>
      <c r="C776" s="10"/>
      <c r="D776" s="9"/>
      <c r="E776" s="9"/>
      <c r="F776" s="9"/>
      <c r="G776" s="9"/>
      <c r="H776" s="9"/>
      <c r="I776" s="9"/>
      <c r="J776" s="10"/>
      <c r="K776" s="8" t="s">
        <v>1629</v>
      </c>
    </row>
    <row r="777" spans="1:11" ht="15.5" x14ac:dyDescent="0.35">
      <c r="A777" s="10"/>
      <c r="B777" s="10"/>
      <c r="C777" s="10"/>
      <c r="D777" s="11" t="s">
        <v>1628</v>
      </c>
      <c r="E777" s="11" t="s">
        <v>1627</v>
      </c>
      <c r="F777" s="11" t="s">
        <v>65</v>
      </c>
      <c r="G777" s="11" t="s">
        <v>1626</v>
      </c>
      <c r="H777" s="11" t="s">
        <v>1625</v>
      </c>
      <c r="I777" s="14" t="s">
        <v>120</v>
      </c>
      <c r="J777" s="11" t="s">
        <v>1624</v>
      </c>
      <c r="K777" s="8" t="s">
        <v>1623</v>
      </c>
    </row>
    <row r="778" spans="1:11" ht="15.5" x14ac:dyDescent="0.35">
      <c r="A778" s="10"/>
      <c r="B778" s="10"/>
      <c r="C778" s="10"/>
      <c r="D778" s="10"/>
      <c r="E778" s="10"/>
      <c r="F778" s="10"/>
      <c r="G778" s="9"/>
      <c r="H778" s="9"/>
      <c r="I778" s="9"/>
      <c r="J778" s="9"/>
      <c r="K778" s="8" t="s">
        <v>1622</v>
      </c>
    </row>
    <row r="779" spans="1:11" ht="15.5" x14ac:dyDescent="0.35">
      <c r="A779" s="10"/>
      <c r="B779" s="10"/>
      <c r="C779" s="10"/>
      <c r="D779" s="10"/>
      <c r="E779" s="10"/>
      <c r="F779" s="10"/>
      <c r="G779" s="11" t="s">
        <v>1621</v>
      </c>
      <c r="H779" s="11" t="s">
        <v>1620</v>
      </c>
      <c r="I779" s="14" t="s">
        <v>120</v>
      </c>
      <c r="J779" s="11" t="s">
        <v>1619</v>
      </c>
      <c r="K779" s="8" t="s">
        <v>1618</v>
      </c>
    </row>
    <row r="780" spans="1:11" ht="15.5" x14ac:dyDescent="0.35">
      <c r="A780" s="10"/>
      <c r="B780" s="10"/>
      <c r="C780" s="10"/>
      <c r="D780" s="9"/>
      <c r="E780" s="9"/>
      <c r="F780" s="9"/>
      <c r="G780" s="9"/>
      <c r="H780" s="9"/>
      <c r="I780" s="9"/>
      <c r="J780" s="9"/>
      <c r="K780" s="8" t="s">
        <v>1617</v>
      </c>
    </row>
    <row r="781" spans="1:11" ht="15.5" x14ac:dyDescent="0.35">
      <c r="A781" s="10"/>
      <c r="B781" s="10"/>
      <c r="C781" s="10"/>
      <c r="D781" s="11" t="s">
        <v>1616</v>
      </c>
      <c r="E781" s="11" t="s">
        <v>1615</v>
      </c>
      <c r="F781" s="11" t="s">
        <v>65</v>
      </c>
      <c r="G781" s="11" t="s">
        <v>1614</v>
      </c>
      <c r="H781" s="11" t="s">
        <v>1613</v>
      </c>
      <c r="I781" s="14" t="s">
        <v>120</v>
      </c>
      <c r="J781" s="11" t="s">
        <v>1612</v>
      </c>
      <c r="K781" s="8" t="s">
        <v>1611</v>
      </c>
    </row>
    <row r="782" spans="1:11" ht="15.5" x14ac:dyDescent="0.35">
      <c r="A782" s="10"/>
      <c r="B782" s="10"/>
      <c r="C782" s="10"/>
      <c r="D782" s="10"/>
      <c r="E782" s="10"/>
      <c r="F782" s="10"/>
      <c r="G782" s="9"/>
      <c r="H782" s="9"/>
      <c r="I782" s="9"/>
      <c r="J782" s="9"/>
      <c r="K782" s="8" t="s">
        <v>1588</v>
      </c>
    </row>
    <row r="783" spans="1:11" ht="15.5" x14ac:dyDescent="0.35">
      <c r="A783" s="10"/>
      <c r="B783" s="10"/>
      <c r="C783" s="10"/>
      <c r="D783" s="10"/>
      <c r="E783" s="10"/>
      <c r="F783" s="10"/>
      <c r="G783" s="11" t="s">
        <v>1610</v>
      </c>
      <c r="H783" s="11" t="s">
        <v>1609</v>
      </c>
      <c r="I783" s="14" t="s">
        <v>120</v>
      </c>
      <c r="J783" s="11" t="s">
        <v>1608</v>
      </c>
      <c r="K783" s="8" t="s">
        <v>1607</v>
      </c>
    </row>
    <row r="784" spans="1:11" ht="15.5" x14ac:dyDescent="0.35">
      <c r="A784" s="10"/>
      <c r="B784" s="10"/>
      <c r="C784" s="10"/>
      <c r="D784" s="9"/>
      <c r="E784" s="9"/>
      <c r="F784" s="9"/>
      <c r="G784" s="9"/>
      <c r="H784" s="9"/>
      <c r="I784" s="9"/>
      <c r="J784" s="9"/>
      <c r="K784" s="8" t="s">
        <v>365</v>
      </c>
    </row>
    <row r="785" spans="1:11" ht="15.5" x14ac:dyDescent="0.35">
      <c r="A785" s="10"/>
      <c r="B785" s="10"/>
      <c r="C785" s="10"/>
      <c r="D785" s="11" t="s">
        <v>1606</v>
      </c>
      <c r="E785" s="11" t="s">
        <v>1605</v>
      </c>
      <c r="F785" s="11" t="s">
        <v>65</v>
      </c>
      <c r="G785" s="11" t="s">
        <v>1604</v>
      </c>
      <c r="H785" s="11" t="s">
        <v>1603</v>
      </c>
      <c r="I785" s="12" t="s">
        <v>58</v>
      </c>
      <c r="J785" s="11" t="s">
        <v>1602</v>
      </c>
      <c r="K785" s="8" t="s">
        <v>1601</v>
      </c>
    </row>
    <row r="786" spans="1:11" ht="15.5" x14ac:dyDescent="0.35">
      <c r="A786" s="10"/>
      <c r="B786" s="10"/>
      <c r="C786" s="10"/>
      <c r="D786" s="10"/>
      <c r="E786" s="10"/>
      <c r="F786" s="10"/>
      <c r="G786" s="9"/>
      <c r="H786" s="9"/>
      <c r="I786" s="9"/>
      <c r="J786" s="9"/>
      <c r="K786" s="8" t="s">
        <v>1600</v>
      </c>
    </row>
    <row r="787" spans="1:11" ht="15.5" x14ac:dyDescent="0.35">
      <c r="A787" s="10"/>
      <c r="B787" s="10"/>
      <c r="C787" s="10"/>
      <c r="D787" s="10"/>
      <c r="E787" s="10"/>
      <c r="F787" s="10"/>
      <c r="G787" s="11" t="s">
        <v>1599</v>
      </c>
      <c r="H787" s="11" t="s">
        <v>1598</v>
      </c>
      <c r="I787" s="12" t="s">
        <v>58</v>
      </c>
      <c r="J787" s="11" t="s">
        <v>1597</v>
      </c>
      <c r="K787" s="8" t="s">
        <v>1596</v>
      </c>
    </row>
    <row r="788" spans="1:11" ht="15.5" x14ac:dyDescent="0.35">
      <c r="A788" s="10"/>
      <c r="B788" s="10"/>
      <c r="C788" s="10"/>
      <c r="D788" s="9"/>
      <c r="E788" s="9"/>
      <c r="F788" s="9"/>
      <c r="G788" s="9"/>
      <c r="H788" s="9"/>
      <c r="I788" s="9"/>
      <c r="J788" s="9"/>
      <c r="K788" s="8" t="s">
        <v>1595</v>
      </c>
    </row>
    <row r="789" spans="1:11" ht="15.5" x14ac:dyDescent="0.35">
      <c r="A789" s="10"/>
      <c r="B789" s="10"/>
      <c r="C789" s="10"/>
      <c r="D789" s="11" t="s">
        <v>1594</v>
      </c>
      <c r="E789" s="11" t="s">
        <v>1593</v>
      </c>
      <c r="F789" s="11" t="s">
        <v>65</v>
      </c>
      <c r="G789" s="11" t="s">
        <v>1592</v>
      </c>
      <c r="H789" s="11" t="s">
        <v>1591</v>
      </c>
      <c r="I789" s="14" t="s">
        <v>120</v>
      </c>
      <c r="J789" s="11" t="s">
        <v>1590</v>
      </c>
      <c r="K789" s="8" t="s">
        <v>1589</v>
      </c>
    </row>
    <row r="790" spans="1:11" ht="15.5" x14ac:dyDescent="0.35">
      <c r="A790" s="10"/>
      <c r="B790" s="10"/>
      <c r="C790" s="10"/>
      <c r="D790" s="10"/>
      <c r="E790" s="10"/>
      <c r="F790" s="10"/>
      <c r="G790" s="9"/>
      <c r="H790" s="9"/>
      <c r="I790" s="9"/>
      <c r="J790" s="9"/>
      <c r="K790" s="8" t="s">
        <v>1588</v>
      </c>
    </row>
    <row r="791" spans="1:11" ht="15.5" x14ac:dyDescent="0.35">
      <c r="A791" s="10"/>
      <c r="B791" s="10"/>
      <c r="C791" s="10"/>
      <c r="D791" s="10"/>
      <c r="E791" s="10"/>
      <c r="F791" s="10"/>
      <c r="G791" s="11" t="s">
        <v>1587</v>
      </c>
      <c r="H791" s="11" t="s">
        <v>1586</v>
      </c>
      <c r="I791" s="14" t="s">
        <v>120</v>
      </c>
      <c r="J791" s="11" t="s">
        <v>1585</v>
      </c>
      <c r="K791" s="8" t="s">
        <v>1584</v>
      </c>
    </row>
    <row r="792" spans="1:11" ht="15.5" x14ac:dyDescent="0.35">
      <c r="A792" s="10"/>
      <c r="B792" s="10"/>
      <c r="C792" s="9"/>
      <c r="D792" s="9"/>
      <c r="E792" s="9"/>
      <c r="F792" s="9"/>
      <c r="G792" s="9"/>
      <c r="H792" s="9"/>
      <c r="I792" s="9"/>
      <c r="J792" s="9"/>
      <c r="K792" s="8" t="s">
        <v>1583</v>
      </c>
    </row>
    <row r="793" spans="1:11" ht="15.5" x14ac:dyDescent="0.35">
      <c r="A793" s="10"/>
      <c r="B793" s="10"/>
      <c r="C793" s="13" t="s">
        <v>1582</v>
      </c>
      <c r="D793" s="11" t="s">
        <v>1581</v>
      </c>
      <c r="E793" s="11" t="s">
        <v>1580</v>
      </c>
      <c r="F793" s="11" t="s">
        <v>65</v>
      </c>
      <c r="G793" s="11" t="s">
        <v>1579</v>
      </c>
      <c r="H793" s="11" t="s">
        <v>1578</v>
      </c>
      <c r="I793" s="14" t="s">
        <v>120</v>
      </c>
      <c r="J793" s="11" t="s">
        <v>1577</v>
      </c>
      <c r="K793" s="8" t="s">
        <v>1576</v>
      </c>
    </row>
    <row r="794" spans="1:11" ht="15.5" x14ac:dyDescent="0.35">
      <c r="A794" s="10"/>
      <c r="B794" s="10"/>
      <c r="C794" s="10"/>
      <c r="D794" s="10"/>
      <c r="E794" s="10"/>
      <c r="F794" s="10"/>
      <c r="G794" s="9"/>
      <c r="H794" s="9"/>
      <c r="I794" s="9"/>
      <c r="J794" s="9"/>
      <c r="K794" s="8" t="s">
        <v>1575</v>
      </c>
    </row>
    <row r="795" spans="1:11" ht="15.5" x14ac:dyDescent="0.35">
      <c r="A795" s="10"/>
      <c r="B795" s="10"/>
      <c r="C795" s="10"/>
      <c r="D795" s="10"/>
      <c r="E795" s="10"/>
      <c r="F795" s="10"/>
      <c r="G795" s="11" t="s">
        <v>1574</v>
      </c>
      <c r="H795" s="11" t="s">
        <v>1573</v>
      </c>
      <c r="I795" s="14" t="s">
        <v>120</v>
      </c>
      <c r="J795" s="11" t="s">
        <v>1572</v>
      </c>
      <c r="K795" s="8" t="s">
        <v>1571</v>
      </c>
    </row>
    <row r="796" spans="1:11" ht="15.5" x14ac:dyDescent="0.35">
      <c r="A796" s="10"/>
      <c r="B796" s="10"/>
      <c r="C796" s="10"/>
      <c r="D796" s="9"/>
      <c r="E796" s="9"/>
      <c r="F796" s="9"/>
      <c r="G796" s="9"/>
      <c r="H796" s="9"/>
      <c r="I796" s="9"/>
      <c r="J796" s="9"/>
      <c r="K796" s="8" t="s">
        <v>1570</v>
      </c>
    </row>
    <row r="797" spans="1:11" ht="15.5" x14ac:dyDescent="0.35">
      <c r="A797" s="10"/>
      <c r="B797" s="10"/>
      <c r="C797" s="10"/>
      <c r="D797" s="11" t="s">
        <v>1569</v>
      </c>
      <c r="E797" s="11" t="s">
        <v>1568</v>
      </c>
      <c r="F797" s="11" t="s">
        <v>65</v>
      </c>
      <c r="G797" s="11" t="s">
        <v>1567</v>
      </c>
      <c r="H797" s="11" t="s">
        <v>1566</v>
      </c>
      <c r="I797" s="14" t="s">
        <v>120</v>
      </c>
      <c r="J797" s="11" t="s">
        <v>1565</v>
      </c>
      <c r="K797" s="8" t="s">
        <v>1564</v>
      </c>
    </row>
    <row r="798" spans="1:11" ht="15.5" x14ac:dyDescent="0.35">
      <c r="A798" s="10"/>
      <c r="B798" s="10"/>
      <c r="C798" s="10"/>
      <c r="D798" s="10"/>
      <c r="E798" s="10"/>
      <c r="F798" s="10"/>
      <c r="G798" s="9"/>
      <c r="H798" s="9"/>
      <c r="I798" s="9"/>
      <c r="J798" s="9"/>
      <c r="K798" s="8" t="s">
        <v>1563</v>
      </c>
    </row>
    <row r="799" spans="1:11" ht="15.5" x14ac:dyDescent="0.35">
      <c r="A799" s="10"/>
      <c r="B799" s="10"/>
      <c r="C799" s="10"/>
      <c r="D799" s="10"/>
      <c r="E799" s="10"/>
      <c r="F799" s="10"/>
      <c r="G799" s="11" t="s">
        <v>1562</v>
      </c>
      <c r="H799" s="11" t="s">
        <v>1561</v>
      </c>
      <c r="I799" s="14" t="s">
        <v>120</v>
      </c>
      <c r="J799" s="11" t="s">
        <v>1560</v>
      </c>
      <c r="K799" s="8" t="s">
        <v>1559</v>
      </c>
    </row>
    <row r="800" spans="1:11" ht="15.5" x14ac:dyDescent="0.35">
      <c r="A800" s="10"/>
      <c r="B800" s="10"/>
      <c r="C800" s="10"/>
      <c r="D800" s="9"/>
      <c r="E800" s="9"/>
      <c r="F800" s="9"/>
      <c r="G800" s="9"/>
      <c r="H800" s="9"/>
      <c r="I800" s="9"/>
      <c r="J800" s="9"/>
      <c r="K800" s="8" t="s">
        <v>1558</v>
      </c>
    </row>
    <row r="801" spans="1:11" ht="15.5" x14ac:dyDescent="0.35">
      <c r="A801" s="10"/>
      <c r="B801" s="10"/>
      <c r="C801" s="10"/>
      <c r="D801" s="11" t="s">
        <v>1557</v>
      </c>
      <c r="E801" s="11" t="s">
        <v>1556</v>
      </c>
      <c r="F801" s="11" t="s">
        <v>65</v>
      </c>
      <c r="G801" s="11" t="s">
        <v>1555</v>
      </c>
      <c r="H801" s="11" t="s">
        <v>1554</v>
      </c>
      <c r="I801" s="14" t="s">
        <v>120</v>
      </c>
      <c r="J801" s="11" t="s">
        <v>1553</v>
      </c>
      <c r="K801" s="8" t="s">
        <v>1552</v>
      </c>
    </row>
    <row r="802" spans="1:11" ht="15.5" x14ac:dyDescent="0.35">
      <c r="A802" s="10"/>
      <c r="B802" s="10"/>
      <c r="C802" s="10"/>
      <c r="D802" s="10"/>
      <c r="E802" s="10"/>
      <c r="F802" s="10"/>
      <c r="G802" s="9"/>
      <c r="H802" s="9"/>
      <c r="I802" s="9"/>
      <c r="J802" s="9"/>
      <c r="K802" s="8" t="s">
        <v>1551</v>
      </c>
    </row>
    <row r="803" spans="1:11" ht="15.5" x14ac:dyDescent="0.35">
      <c r="A803" s="10"/>
      <c r="B803" s="10"/>
      <c r="C803" s="10"/>
      <c r="D803" s="10"/>
      <c r="E803" s="10"/>
      <c r="F803" s="10"/>
      <c r="G803" s="11" t="s">
        <v>1550</v>
      </c>
      <c r="H803" s="11" t="s">
        <v>1549</v>
      </c>
      <c r="I803" s="14" t="s">
        <v>120</v>
      </c>
      <c r="J803" s="11" t="s">
        <v>1548</v>
      </c>
      <c r="K803" s="8" t="s">
        <v>1547</v>
      </c>
    </row>
    <row r="804" spans="1:11" ht="15.5" x14ac:dyDescent="0.35">
      <c r="A804" s="10"/>
      <c r="B804" s="10"/>
      <c r="C804" s="10"/>
      <c r="D804" s="9"/>
      <c r="E804" s="9"/>
      <c r="F804" s="9"/>
      <c r="G804" s="9"/>
      <c r="H804" s="9"/>
      <c r="I804" s="9"/>
      <c r="J804" s="9"/>
      <c r="K804" s="8" t="s">
        <v>1546</v>
      </c>
    </row>
    <row r="805" spans="1:11" ht="15.5" x14ac:dyDescent="0.35">
      <c r="A805" s="10"/>
      <c r="B805" s="10"/>
      <c r="C805" s="10"/>
      <c r="D805" s="11" t="s">
        <v>1545</v>
      </c>
      <c r="E805" s="11" t="s">
        <v>1544</v>
      </c>
      <c r="F805" s="11" t="s">
        <v>244</v>
      </c>
      <c r="G805" s="11" t="s">
        <v>1543</v>
      </c>
      <c r="H805" s="11" t="s">
        <v>1542</v>
      </c>
      <c r="I805" s="14" t="s">
        <v>120</v>
      </c>
      <c r="J805" s="11" t="s">
        <v>1541</v>
      </c>
      <c r="K805" s="8" t="s">
        <v>1540</v>
      </c>
    </row>
    <row r="806" spans="1:11" ht="15.5" x14ac:dyDescent="0.35">
      <c r="A806" s="10"/>
      <c r="B806" s="10"/>
      <c r="C806" s="10"/>
      <c r="D806" s="10"/>
      <c r="E806" s="10"/>
      <c r="F806" s="10"/>
      <c r="G806" s="9"/>
      <c r="H806" s="9"/>
      <c r="I806" s="9"/>
      <c r="J806" s="9"/>
      <c r="K806" s="8" t="s">
        <v>1539</v>
      </c>
    </row>
    <row r="807" spans="1:11" ht="15.5" x14ac:dyDescent="0.35">
      <c r="A807" s="10"/>
      <c r="B807" s="10"/>
      <c r="C807" s="10"/>
      <c r="D807" s="10"/>
      <c r="E807" s="10"/>
      <c r="F807" s="10"/>
      <c r="G807" s="11" t="s">
        <v>1538</v>
      </c>
      <c r="H807" s="11" t="s">
        <v>1537</v>
      </c>
      <c r="I807" s="14" t="s">
        <v>120</v>
      </c>
      <c r="J807" s="11" t="s">
        <v>1200</v>
      </c>
      <c r="K807" s="8" t="s">
        <v>1536</v>
      </c>
    </row>
    <row r="808" spans="1:11" ht="15.5" x14ac:dyDescent="0.35">
      <c r="A808" s="10"/>
      <c r="B808" s="10"/>
      <c r="C808" s="10"/>
      <c r="D808" s="9"/>
      <c r="E808" s="9"/>
      <c r="F808" s="9"/>
      <c r="G808" s="9"/>
      <c r="H808" s="9"/>
      <c r="I808" s="9"/>
      <c r="J808" s="9"/>
      <c r="K808" s="8" t="s">
        <v>1535</v>
      </c>
    </row>
    <row r="809" spans="1:11" ht="15.5" x14ac:dyDescent="0.35">
      <c r="A809" s="10"/>
      <c r="B809" s="10"/>
      <c r="C809" s="10"/>
      <c r="D809" s="11" t="s">
        <v>1534</v>
      </c>
      <c r="E809" s="11" t="s">
        <v>1533</v>
      </c>
      <c r="F809" s="11" t="s">
        <v>244</v>
      </c>
      <c r="G809" s="11" t="s">
        <v>1532</v>
      </c>
      <c r="H809" s="11" t="s">
        <v>1531</v>
      </c>
      <c r="I809" s="14" t="s">
        <v>120</v>
      </c>
      <c r="J809" s="11" t="s">
        <v>1530</v>
      </c>
      <c r="K809" s="8" t="s">
        <v>1266</v>
      </c>
    </row>
    <row r="810" spans="1:11" ht="15.5" x14ac:dyDescent="0.35">
      <c r="A810" s="10"/>
      <c r="B810" s="10"/>
      <c r="C810" s="10"/>
      <c r="D810" s="10"/>
      <c r="E810" s="10"/>
      <c r="F810" s="10"/>
      <c r="G810" s="9"/>
      <c r="H810" s="9"/>
      <c r="I810" s="9"/>
      <c r="J810" s="9"/>
      <c r="K810" s="8" t="s">
        <v>1529</v>
      </c>
    </row>
    <row r="811" spans="1:11" ht="15.5" x14ac:dyDescent="0.35">
      <c r="A811" s="10"/>
      <c r="B811" s="10"/>
      <c r="C811" s="10"/>
      <c r="D811" s="10"/>
      <c r="E811" s="10"/>
      <c r="F811" s="10"/>
      <c r="G811" s="11" t="s">
        <v>1528</v>
      </c>
      <c r="H811" s="11" t="s">
        <v>1527</v>
      </c>
      <c r="I811" s="14" t="s">
        <v>120</v>
      </c>
      <c r="J811" s="11" t="s">
        <v>1526</v>
      </c>
      <c r="K811" s="8" t="s">
        <v>1525</v>
      </c>
    </row>
    <row r="812" spans="1:11" ht="15.5" x14ac:dyDescent="0.35">
      <c r="A812" s="10"/>
      <c r="B812" s="10"/>
      <c r="C812" s="9"/>
      <c r="D812" s="9"/>
      <c r="E812" s="9"/>
      <c r="F812" s="9"/>
      <c r="G812" s="9"/>
      <c r="H812" s="9"/>
      <c r="I812" s="9"/>
      <c r="J812" s="9"/>
      <c r="K812" s="8" t="s">
        <v>1524</v>
      </c>
    </row>
    <row r="813" spans="1:11" ht="15.5" x14ac:dyDescent="0.35">
      <c r="A813" s="10"/>
      <c r="B813" s="10"/>
      <c r="C813" s="13" t="s">
        <v>1523</v>
      </c>
      <c r="D813" s="11" t="s">
        <v>1522</v>
      </c>
      <c r="E813" s="11" t="s">
        <v>1521</v>
      </c>
      <c r="F813" s="11" t="s">
        <v>244</v>
      </c>
      <c r="G813" s="11" t="s">
        <v>1520</v>
      </c>
      <c r="H813" s="11" t="s">
        <v>1519</v>
      </c>
      <c r="I813" s="14" t="s">
        <v>120</v>
      </c>
      <c r="J813" s="11" t="s">
        <v>1518</v>
      </c>
      <c r="K813" s="8" t="s">
        <v>1517</v>
      </c>
    </row>
    <row r="814" spans="1:11" ht="15.5" x14ac:dyDescent="0.35">
      <c r="A814" s="10"/>
      <c r="B814" s="10"/>
      <c r="C814" s="10"/>
      <c r="D814" s="10"/>
      <c r="E814" s="10"/>
      <c r="F814" s="10"/>
      <c r="G814" s="9"/>
      <c r="H814" s="9"/>
      <c r="I814" s="9"/>
      <c r="J814" s="9"/>
      <c r="K814" s="8" t="s">
        <v>1516</v>
      </c>
    </row>
    <row r="815" spans="1:11" ht="15.5" x14ac:dyDescent="0.35">
      <c r="A815" s="10"/>
      <c r="B815" s="10"/>
      <c r="C815" s="10"/>
      <c r="D815" s="10"/>
      <c r="E815" s="10"/>
      <c r="F815" s="10"/>
      <c r="G815" s="11" t="s">
        <v>1515</v>
      </c>
      <c r="H815" s="11" t="s">
        <v>1514</v>
      </c>
      <c r="I815" s="14" t="s">
        <v>120</v>
      </c>
      <c r="J815" s="11" t="s">
        <v>1513</v>
      </c>
      <c r="K815" s="8" t="s">
        <v>1512</v>
      </c>
    </row>
    <row r="816" spans="1:11" ht="15.5" x14ac:dyDescent="0.35">
      <c r="A816" s="10"/>
      <c r="B816" s="10"/>
      <c r="C816" s="10"/>
      <c r="D816" s="9"/>
      <c r="E816" s="9"/>
      <c r="F816" s="9"/>
      <c r="G816" s="9"/>
      <c r="H816" s="9"/>
      <c r="I816" s="9"/>
      <c r="J816" s="9"/>
      <c r="K816" s="8" t="s">
        <v>1511</v>
      </c>
    </row>
    <row r="817" spans="1:11" ht="15.5" x14ac:dyDescent="0.35">
      <c r="A817" s="10"/>
      <c r="B817" s="10"/>
      <c r="C817" s="10"/>
      <c r="D817" s="11" t="s">
        <v>1510</v>
      </c>
      <c r="E817" s="11" t="s">
        <v>1509</v>
      </c>
      <c r="F817" s="11" t="s">
        <v>244</v>
      </c>
      <c r="G817" s="11" t="s">
        <v>1508</v>
      </c>
      <c r="H817" s="11" t="s">
        <v>1507</v>
      </c>
      <c r="I817" s="12" t="s">
        <v>58</v>
      </c>
      <c r="J817" s="11" t="s">
        <v>1506</v>
      </c>
      <c r="K817" s="8" t="s">
        <v>1505</v>
      </c>
    </row>
    <row r="818" spans="1:11" ht="15.5" x14ac:dyDescent="0.35">
      <c r="A818" s="10"/>
      <c r="B818" s="10"/>
      <c r="C818" s="10"/>
      <c r="D818" s="10"/>
      <c r="E818" s="10"/>
      <c r="F818" s="10"/>
      <c r="G818" s="9"/>
      <c r="H818" s="9"/>
      <c r="I818" s="9"/>
      <c r="J818" s="9"/>
      <c r="K818" s="8" t="s">
        <v>1504</v>
      </c>
    </row>
    <row r="819" spans="1:11" ht="15.5" x14ac:dyDescent="0.35">
      <c r="A819" s="10"/>
      <c r="B819" s="10"/>
      <c r="C819" s="10"/>
      <c r="D819" s="10"/>
      <c r="E819" s="10"/>
      <c r="F819" s="10"/>
      <c r="G819" s="11" t="s">
        <v>1503</v>
      </c>
      <c r="H819" s="11" t="s">
        <v>1502</v>
      </c>
      <c r="I819" s="12" t="s">
        <v>58</v>
      </c>
      <c r="J819" s="11" t="s">
        <v>1501</v>
      </c>
      <c r="K819" s="8" t="s">
        <v>1500</v>
      </c>
    </row>
    <row r="820" spans="1:11" ht="15.5" x14ac:dyDescent="0.35">
      <c r="A820" s="10"/>
      <c r="B820" s="10"/>
      <c r="C820" s="10"/>
      <c r="D820" s="9"/>
      <c r="E820" s="9"/>
      <c r="F820" s="9"/>
      <c r="G820" s="9"/>
      <c r="H820" s="9"/>
      <c r="I820" s="9"/>
      <c r="J820" s="9"/>
      <c r="K820" s="8" t="s">
        <v>1499</v>
      </c>
    </row>
    <row r="821" spans="1:11" ht="15.5" x14ac:dyDescent="0.35">
      <c r="A821" s="10"/>
      <c r="B821" s="10"/>
      <c r="C821" s="10"/>
      <c r="D821" s="11" t="s">
        <v>1498</v>
      </c>
      <c r="E821" s="11" t="s">
        <v>1497</v>
      </c>
      <c r="F821" s="11" t="s">
        <v>244</v>
      </c>
      <c r="G821" s="11" t="s">
        <v>1496</v>
      </c>
      <c r="H821" s="11" t="s">
        <v>1495</v>
      </c>
      <c r="I821" s="12" t="s">
        <v>58</v>
      </c>
      <c r="J821" s="11" t="s">
        <v>1494</v>
      </c>
      <c r="K821" s="8" t="s">
        <v>1493</v>
      </c>
    </row>
    <row r="822" spans="1:11" ht="15.5" x14ac:dyDescent="0.35">
      <c r="A822" s="10"/>
      <c r="B822" s="10"/>
      <c r="C822" s="10"/>
      <c r="D822" s="10"/>
      <c r="E822" s="10"/>
      <c r="F822" s="10"/>
      <c r="G822" s="9"/>
      <c r="H822" s="9"/>
      <c r="I822" s="9"/>
      <c r="J822" s="9"/>
      <c r="K822" s="8" t="s">
        <v>1492</v>
      </c>
    </row>
    <row r="823" spans="1:11" ht="15.5" x14ac:dyDescent="0.35">
      <c r="A823" s="10"/>
      <c r="B823" s="10"/>
      <c r="C823" s="10"/>
      <c r="D823" s="10"/>
      <c r="E823" s="10"/>
      <c r="F823" s="10"/>
      <c r="G823" s="11" t="s">
        <v>1491</v>
      </c>
      <c r="H823" s="11" t="s">
        <v>1490</v>
      </c>
      <c r="I823" s="14" t="s">
        <v>120</v>
      </c>
      <c r="J823" s="11" t="s">
        <v>1489</v>
      </c>
      <c r="K823" s="8" t="s">
        <v>1488</v>
      </c>
    </row>
    <row r="824" spans="1:11" ht="15.5" x14ac:dyDescent="0.35">
      <c r="A824" s="10"/>
      <c r="B824" s="10"/>
      <c r="C824" s="10"/>
      <c r="D824" s="9"/>
      <c r="E824" s="9"/>
      <c r="F824" s="9"/>
      <c r="G824" s="9"/>
      <c r="H824" s="9"/>
      <c r="I824" s="9"/>
      <c r="J824" s="9"/>
      <c r="K824" s="8" t="s">
        <v>1487</v>
      </c>
    </row>
    <row r="825" spans="1:11" ht="15.5" x14ac:dyDescent="0.35">
      <c r="A825" s="10"/>
      <c r="B825" s="10"/>
      <c r="C825" s="10"/>
      <c r="D825" s="11" t="s">
        <v>1486</v>
      </c>
      <c r="E825" s="11" t="s">
        <v>1485</v>
      </c>
      <c r="F825" s="11" t="s">
        <v>244</v>
      </c>
      <c r="G825" s="11" t="s">
        <v>1484</v>
      </c>
      <c r="H825" s="11" t="s">
        <v>1483</v>
      </c>
      <c r="I825" s="14" t="s">
        <v>120</v>
      </c>
      <c r="J825" s="11" t="s">
        <v>1482</v>
      </c>
      <c r="K825" s="8" t="s">
        <v>1481</v>
      </c>
    </row>
    <row r="826" spans="1:11" ht="15.5" x14ac:dyDescent="0.35">
      <c r="A826" s="10"/>
      <c r="B826" s="10"/>
      <c r="C826" s="10"/>
      <c r="D826" s="10"/>
      <c r="E826" s="10"/>
      <c r="F826" s="10"/>
      <c r="G826" s="9"/>
      <c r="H826" s="9"/>
      <c r="I826" s="9"/>
      <c r="J826" s="9"/>
      <c r="K826" s="8" t="s">
        <v>1480</v>
      </c>
    </row>
    <row r="827" spans="1:11" ht="15.5" x14ac:dyDescent="0.35">
      <c r="A827" s="10"/>
      <c r="B827" s="10"/>
      <c r="C827" s="10"/>
      <c r="D827" s="10"/>
      <c r="E827" s="10"/>
      <c r="F827" s="10"/>
      <c r="G827" s="11" t="s">
        <v>1479</v>
      </c>
      <c r="H827" s="11" t="s">
        <v>1478</v>
      </c>
      <c r="I827" s="14" t="s">
        <v>120</v>
      </c>
      <c r="J827" s="11" t="s">
        <v>1477</v>
      </c>
      <c r="K827" s="8" t="s">
        <v>1476</v>
      </c>
    </row>
    <row r="828" spans="1:11" ht="15.5" x14ac:dyDescent="0.35">
      <c r="A828" s="10"/>
      <c r="B828" s="10"/>
      <c r="C828" s="10"/>
      <c r="D828" s="9"/>
      <c r="E828" s="9"/>
      <c r="F828" s="9"/>
      <c r="G828" s="9"/>
      <c r="H828" s="9"/>
      <c r="I828" s="9"/>
      <c r="J828" s="9"/>
      <c r="K828" s="8" t="s">
        <v>1475</v>
      </c>
    </row>
    <row r="829" spans="1:11" ht="15.5" x14ac:dyDescent="0.35">
      <c r="A829" s="10"/>
      <c r="B829" s="10"/>
      <c r="C829" s="10"/>
      <c r="D829" s="11" t="s">
        <v>1474</v>
      </c>
      <c r="E829" s="11" t="s">
        <v>1473</v>
      </c>
      <c r="F829" s="11" t="s">
        <v>244</v>
      </c>
      <c r="G829" s="11" t="s">
        <v>1472</v>
      </c>
      <c r="H829" s="11" t="s">
        <v>1471</v>
      </c>
      <c r="I829" s="14" t="s">
        <v>120</v>
      </c>
      <c r="J829" s="11" t="s">
        <v>1470</v>
      </c>
      <c r="K829" s="8" t="s">
        <v>1469</v>
      </c>
    </row>
    <row r="830" spans="1:11" ht="15.5" x14ac:dyDescent="0.35">
      <c r="A830" s="10"/>
      <c r="B830" s="10"/>
      <c r="C830" s="10"/>
      <c r="D830" s="10"/>
      <c r="E830" s="10"/>
      <c r="F830" s="10"/>
      <c r="G830" s="9"/>
      <c r="H830" s="9"/>
      <c r="I830" s="9"/>
      <c r="J830" s="9"/>
      <c r="K830" s="8" t="s">
        <v>1468</v>
      </c>
    </row>
    <row r="831" spans="1:11" ht="15.5" x14ac:dyDescent="0.35">
      <c r="A831" s="10"/>
      <c r="B831" s="10"/>
      <c r="C831" s="10"/>
      <c r="D831" s="10"/>
      <c r="E831" s="10"/>
      <c r="F831" s="10"/>
      <c r="G831" s="11" t="s">
        <v>1467</v>
      </c>
      <c r="H831" s="11" t="s">
        <v>1466</v>
      </c>
      <c r="I831" s="12" t="s">
        <v>58</v>
      </c>
      <c r="J831" s="11" t="s">
        <v>1465</v>
      </c>
      <c r="K831" s="8" t="s">
        <v>1464</v>
      </c>
    </row>
    <row r="832" spans="1:11" ht="15.5" x14ac:dyDescent="0.35">
      <c r="A832" s="9"/>
      <c r="B832" s="9"/>
      <c r="C832" s="9"/>
      <c r="D832" s="9"/>
      <c r="E832" s="9"/>
      <c r="F832" s="9"/>
      <c r="G832" s="9"/>
      <c r="H832" s="9"/>
      <c r="I832" s="9"/>
      <c r="J832" s="9"/>
      <c r="K832" s="8" t="s">
        <v>1463</v>
      </c>
    </row>
    <row r="833" spans="1:11" ht="15.5" x14ac:dyDescent="0.35">
      <c r="A833" s="13" t="s">
        <v>1462</v>
      </c>
      <c r="B833" s="13" t="s">
        <v>1461</v>
      </c>
      <c r="C833" s="20" t="s">
        <v>1460</v>
      </c>
      <c r="D833" s="11" t="s">
        <v>1459</v>
      </c>
      <c r="E833" s="11" t="s">
        <v>1458</v>
      </c>
      <c r="F833" s="11" t="s">
        <v>244</v>
      </c>
      <c r="G833" s="11" t="s">
        <v>1457</v>
      </c>
      <c r="H833" s="11" t="s">
        <v>1456</v>
      </c>
      <c r="I833" s="12" t="s">
        <v>58</v>
      </c>
      <c r="J833" s="11" t="s">
        <v>1455</v>
      </c>
      <c r="K833" s="8" t="s">
        <v>1454</v>
      </c>
    </row>
    <row r="834" spans="1:11" ht="15.5" x14ac:dyDescent="0.35">
      <c r="A834" s="10"/>
      <c r="B834" s="10"/>
      <c r="C834" s="10"/>
      <c r="D834" s="10"/>
      <c r="E834" s="10"/>
      <c r="F834" s="10"/>
      <c r="G834" s="9"/>
      <c r="H834" s="9"/>
      <c r="I834" s="9"/>
      <c r="J834" s="9"/>
      <c r="K834" s="8" t="s">
        <v>1453</v>
      </c>
    </row>
    <row r="835" spans="1:11" ht="15.5" x14ac:dyDescent="0.35">
      <c r="A835" s="10"/>
      <c r="B835" s="10"/>
      <c r="C835" s="10"/>
      <c r="D835" s="10"/>
      <c r="E835" s="10"/>
      <c r="F835" s="10"/>
      <c r="G835" s="11" t="s">
        <v>1452</v>
      </c>
      <c r="H835" s="11" t="s">
        <v>1451</v>
      </c>
      <c r="I835" s="14" t="s">
        <v>120</v>
      </c>
      <c r="J835" s="11" t="s">
        <v>1450</v>
      </c>
      <c r="K835" s="8" t="s">
        <v>1449</v>
      </c>
    </row>
    <row r="836" spans="1:11" ht="15.5" x14ac:dyDescent="0.35">
      <c r="A836" s="10"/>
      <c r="B836" s="10"/>
      <c r="C836" s="10"/>
      <c r="D836" s="9"/>
      <c r="E836" s="9"/>
      <c r="F836" s="9"/>
      <c r="G836" s="9"/>
      <c r="H836" s="9"/>
      <c r="I836" s="9"/>
      <c r="J836" s="9"/>
      <c r="K836" s="8" t="s">
        <v>1448</v>
      </c>
    </row>
    <row r="837" spans="1:11" ht="15.5" x14ac:dyDescent="0.35">
      <c r="A837" s="10"/>
      <c r="B837" s="10"/>
      <c r="C837" s="10"/>
      <c r="D837" s="11" t="s">
        <v>1447</v>
      </c>
      <c r="E837" s="11" t="s">
        <v>1446</v>
      </c>
      <c r="F837" s="11" t="s">
        <v>244</v>
      </c>
      <c r="G837" s="11" t="s">
        <v>1445</v>
      </c>
      <c r="H837" s="11" t="s">
        <v>1444</v>
      </c>
      <c r="I837" s="14" t="s">
        <v>120</v>
      </c>
      <c r="J837" s="11" t="s">
        <v>1443</v>
      </c>
      <c r="K837" s="8" t="s">
        <v>1442</v>
      </c>
    </row>
    <row r="838" spans="1:11" ht="15.5" x14ac:dyDescent="0.35">
      <c r="A838" s="10"/>
      <c r="B838" s="10"/>
      <c r="C838" s="10"/>
      <c r="D838" s="10"/>
      <c r="E838" s="10"/>
      <c r="F838" s="10"/>
      <c r="G838" s="9"/>
      <c r="H838" s="9"/>
      <c r="I838" s="9"/>
      <c r="J838" s="9"/>
      <c r="K838" s="8" t="s">
        <v>1441</v>
      </c>
    </row>
    <row r="839" spans="1:11" ht="15.5" x14ac:dyDescent="0.35">
      <c r="A839" s="10"/>
      <c r="B839" s="10"/>
      <c r="C839" s="10"/>
      <c r="D839" s="10"/>
      <c r="E839" s="10"/>
      <c r="F839" s="10"/>
      <c r="G839" s="11" t="s">
        <v>1440</v>
      </c>
      <c r="H839" s="11" t="s">
        <v>1439</v>
      </c>
      <c r="I839" s="14" t="s">
        <v>120</v>
      </c>
      <c r="J839" s="11" t="s">
        <v>1438</v>
      </c>
      <c r="K839" s="8" t="s">
        <v>1437</v>
      </c>
    </row>
    <row r="840" spans="1:11" ht="15.5" x14ac:dyDescent="0.35">
      <c r="A840" s="10"/>
      <c r="B840" s="10"/>
      <c r="C840" s="10"/>
      <c r="D840" s="9"/>
      <c r="E840" s="9"/>
      <c r="F840" s="9"/>
      <c r="G840" s="9"/>
      <c r="H840" s="9"/>
      <c r="I840" s="9"/>
      <c r="J840" s="9"/>
      <c r="K840" s="8" t="s">
        <v>1436</v>
      </c>
    </row>
    <row r="841" spans="1:11" ht="15.5" x14ac:dyDescent="0.35">
      <c r="A841" s="10"/>
      <c r="B841" s="10"/>
      <c r="C841" s="10"/>
      <c r="D841" s="11" t="s">
        <v>1435</v>
      </c>
      <c r="E841" s="11" t="s">
        <v>1434</v>
      </c>
      <c r="F841" s="11" t="s">
        <v>244</v>
      </c>
      <c r="G841" s="11" t="s">
        <v>1433</v>
      </c>
      <c r="H841" s="11" t="s">
        <v>1432</v>
      </c>
      <c r="I841" s="14" t="s">
        <v>120</v>
      </c>
      <c r="J841" s="11" t="s">
        <v>1431</v>
      </c>
      <c r="K841" s="8" t="s">
        <v>1430</v>
      </c>
    </row>
    <row r="842" spans="1:11" ht="15.5" x14ac:dyDescent="0.35">
      <c r="A842" s="10"/>
      <c r="B842" s="10"/>
      <c r="C842" s="10"/>
      <c r="D842" s="10"/>
      <c r="E842" s="10"/>
      <c r="F842" s="10"/>
      <c r="G842" s="9"/>
      <c r="H842" s="9"/>
      <c r="I842" s="9"/>
      <c r="J842" s="9"/>
      <c r="K842" s="8" t="s">
        <v>1429</v>
      </c>
    </row>
    <row r="843" spans="1:11" ht="15.5" x14ac:dyDescent="0.35">
      <c r="A843" s="10"/>
      <c r="B843" s="10"/>
      <c r="C843" s="10"/>
      <c r="D843" s="10"/>
      <c r="E843" s="10"/>
      <c r="F843" s="10"/>
      <c r="G843" s="11" t="s">
        <v>1428</v>
      </c>
      <c r="H843" s="11" t="s">
        <v>1427</v>
      </c>
      <c r="I843" s="14" t="s">
        <v>120</v>
      </c>
      <c r="J843" s="11" t="s">
        <v>1426</v>
      </c>
      <c r="K843" s="8" t="s">
        <v>1425</v>
      </c>
    </row>
    <row r="844" spans="1:11" ht="15.5" x14ac:dyDescent="0.35">
      <c r="A844" s="10"/>
      <c r="B844" s="10"/>
      <c r="C844" s="10"/>
      <c r="D844" s="9"/>
      <c r="E844" s="9"/>
      <c r="F844" s="9"/>
      <c r="G844" s="9"/>
      <c r="H844" s="9"/>
      <c r="I844" s="9"/>
      <c r="J844" s="9"/>
      <c r="K844" s="8" t="s">
        <v>1424</v>
      </c>
    </row>
    <row r="845" spans="1:11" ht="15.5" x14ac:dyDescent="0.35">
      <c r="A845" s="10"/>
      <c r="B845" s="10"/>
      <c r="C845" s="10"/>
      <c r="D845" s="11" t="s">
        <v>1423</v>
      </c>
      <c r="E845" s="11" t="s">
        <v>1422</v>
      </c>
      <c r="F845" s="11" t="s">
        <v>244</v>
      </c>
      <c r="G845" s="11" t="s">
        <v>1421</v>
      </c>
      <c r="H845" s="11" t="s">
        <v>1420</v>
      </c>
      <c r="I845" s="14" t="s">
        <v>120</v>
      </c>
      <c r="J845" s="11" t="s">
        <v>1419</v>
      </c>
      <c r="K845" s="8" t="s">
        <v>1418</v>
      </c>
    </row>
    <row r="846" spans="1:11" ht="15.5" x14ac:dyDescent="0.35">
      <c r="A846" s="10"/>
      <c r="B846" s="10"/>
      <c r="C846" s="10"/>
      <c r="D846" s="10"/>
      <c r="E846" s="10"/>
      <c r="F846" s="10"/>
      <c r="G846" s="9"/>
      <c r="H846" s="9"/>
      <c r="I846" s="9"/>
      <c r="J846" s="9"/>
      <c r="K846" s="8" t="s">
        <v>1417</v>
      </c>
    </row>
    <row r="847" spans="1:11" ht="15.5" x14ac:dyDescent="0.35">
      <c r="A847" s="10"/>
      <c r="B847" s="10"/>
      <c r="C847" s="10"/>
      <c r="D847" s="10"/>
      <c r="E847" s="10"/>
      <c r="F847" s="10"/>
      <c r="G847" s="11" t="s">
        <v>1416</v>
      </c>
      <c r="H847" s="11" t="s">
        <v>1415</v>
      </c>
      <c r="I847" s="14" t="s">
        <v>120</v>
      </c>
      <c r="J847" s="11" t="s">
        <v>1414</v>
      </c>
      <c r="K847" s="8" t="s">
        <v>1413</v>
      </c>
    </row>
    <row r="848" spans="1:11" ht="15.5" x14ac:dyDescent="0.35">
      <c r="A848" s="10"/>
      <c r="B848" s="10"/>
      <c r="C848" s="10"/>
      <c r="D848" s="9"/>
      <c r="E848" s="9"/>
      <c r="F848" s="9"/>
      <c r="G848" s="9"/>
      <c r="H848" s="9"/>
      <c r="I848" s="9"/>
      <c r="J848" s="9"/>
      <c r="K848" s="8" t="s">
        <v>1412</v>
      </c>
    </row>
    <row r="849" spans="1:11" ht="15.5" x14ac:dyDescent="0.35">
      <c r="A849" s="10"/>
      <c r="B849" s="10"/>
      <c r="C849" s="10"/>
      <c r="D849" s="11" t="s">
        <v>1411</v>
      </c>
      <c r="E849" s="11" t="s">
        <v>1410</v>
      </c>
      <c r="F849" s="11" t="s">
        <v>244</v>
      </c>
      <c r="G849" s="11" t="s">
        <v>1409</v>
      </c>
      <c r="H849" s="11" t="s">
        <v>1408</v>
      </c>
      <c r="I849" s="14" t="s">
        <v>120</v>
      </c>
      <c r="J849" s="11" t="s">
        <v>516</v>
      </c>
      <c r="K849" s="8" t="s">
        <v>1407</v>
      </c>
    </row>
    <row r="850" spans="1:11" ht="15.5" x14ac:dyDescent="0.35">
      <c r="A850" s="10"/>
      <c r="B850" s="10"/>
      <c r="C850" s="10"/>
      <c r="D850" s="10"/>
      <c r="E850" s="10"/>
      <c r="F850" s="10"/>
      <c r="G850" s="9"/>
      <c r="H850" s="9"/>
      <c r="I850" s="9"/>
      <c r="J850" s="9"/>
      <c r="K850" s="8" t="s">
        <v>1406</v>
      </c>
    </row>
    <row r="851" spans="1:11" ht="15.5" x14ac:dyDescent="0.35">
      <c r="A851" s="10"/>
      <c r="B851" s="10"/>
      <c r="C851" s="10"/>
      <c r="D851" s="10"/>
      <c r="E851" s="10"/>
      <c r="F851" s="10"/>
      <c r="G851" s="11" t="s">
        <v>1405</v>
      </c>
      <c r="H851" s="11" t="s">
        <v>1404</v>
      </c>
      <c r="I851" s="14" t="s">
        <v>120</v>
      </c>
      <c r="J851" s="11" t="s">
        <v>1403</v>
      </c>
      <c r="K851" s="8" t="s">
        <v>1402</v>
      </c>
    </row>
    <row r="852" spans="1:11" ht="15.5" x14ac:dyDescent="0.35">
      <c r="A852" s="10"/>
      <c r="B852" s="10"/>
      <c r="C852" s="9"/>
      <c r="D852" s="9"/>
      <c r="E852" s="9"/>
      <c r="F852" s="9"/>
      <c r="G852" s="9"/>
      <c r="H852" s="9"/>
      <c r="I852" s="9"/>
      <c r="J852" s="9"/>
      <c r="K852" s="8" t="s">
        <v>1401</v>
      </c>
    </row>
    <row r="853" spans="1:11" ht="15.5" x14ac:dyDescent="0.35">
      <c r="A853" s="10"/>
      <c r="B853" s="10"/>
      <c r="C853" s="20" t="s">
        <v>1400</v>
      </c>
      <c r="D853" s="11" t="s">
        <v>1399</v>
      </c>
      <c r="E853" s="11" t="s">
        <v>1398</v>
      </c>
      <c r="F853" s="11" t="s">
        <v>244</v>
      </c>
      <c r="G853" s="11" t="s">
        <v>1397</v>
      </c>
      <c r="H853" s="11" t="s">
        <v>1396</v>
      </c>
      <c r="I853" s="14" t="s">
        <v>120</v>
      </c>
      <c r="J853" s="11" t="s">
        <v>1395</v>
      </c>
      <c r="K853" s="8" t="s">
        <v>1394</v>
      </c>
    </row>
    <row r="854" spans="1:11" ht="15.5" x14ac:dyDescent="0.35">
      <c r="A854" s="10"/>
      <c r="B854" s="10"/>
      <c r="C854" s="10"/>
      <c r="D854" s="10"/>
      <c r="E854" s="10"/>
      <c r="F854" s="10"/>
      <c r="G854" s="9"/>
      <c r="H854" s="9"/>
      <c r="I854" s="9"/>
      <c r="J854" s="9"/>
      <c r="K854" s="8" t="s">
        <v>1393</v>
      </c>
    </row>
    <row r="855" spans="1:11" ht="15.5" x14ac:dyDescent="0.35">
      <c r="A855" s="10"/>
      <c r="B855" s="10"/>
      <c r="C855" s="10"/>
      <c r="D855" s="10"/>
      <c r="E855" s="10"/>
      <c r="F855" s="10"/>
      <c r="G855" s="11" t="s">
        <v>1392</v>
      </c>
      <c r="H855" s="11" t="s">
        <v>1391</v>
      </c>
      <c r="I855" s="14" t="s">
        <v>120</v>
      </c>
      <c r="J855" s="11" t="s">
        <v>1390</v>
      </c>
      <c r="K855" s="8" t="s">
        <v>1389</v>
      </c>
    </row>
    <row r="856" spans="1:11" ht="15.5" x14ac:dyDescent="0.35">
      <c r="A856" s="10"/>
      <c r="B856" s="10"/>
      <c r="C856" s="10"/>
      <c r="D856" s="9"/>
      <c r="E856" s="9"/>
      <c r="F856" s="9"/>
      <c r="G856" s="9"/>
      <c r="H856" s="9"/>
      <c r="I856" s="9"/>
      <c r="J856" s="9"/>
      <c r="K856" s="8" t="s">
        <v>1388</v>
      </c>
    </row>
    <row r="857" spans="1:11" ht="15.5" x14ac:dyDescent="0.35">
      <c r="A857" s="10"/>
      <c r="B857" s="10"/>
      <c r="C857" s="10"/>
      <c r="D857" s="11" t="s">
        <v>1387</v>
      </c>
      <c r="E857" s="11" t="s">
        <v>1386</v>
      </c>
      <c r="F857" s="11" t="s">
        <v>244</v>
      </c>
      <c r="G857" s="11" t="s">
        <v>1385</v>
      </c>
      <c r="H857" s="11" t="s">
        <v>1384</v>
      </c>
      <c r="I857" s="14" t="s">
        <v>120</v>
      </c>
      <c r="J857" s="11" t="s">
        <v>1383</v>
      </c>
      <c r="K857" s="8" t="s">
        <v>1382</v>
      </c>
    </row>
    <row r="858" spans="1:11" ht="15.5" x14ac:dyDescent="0.35">
      <c r="A858" s="10"/>
      <c r="B858" s="10"/>
      <c r="C858" s="10"/>
      <c r="D858" s="10"/>
      <c r="E858" s="10"/>
      <c r="F858" s="10"/>
      <c r="G858" s="10"/>
      <c r="H858" s="9"/>
      <c r="I858" s="9"/>
      <c r="J858" s="9"/>
      <c r="K858" s="8" t="s">
        <v>1381</v>
      </c>
    </row>
    <row r="859" spans="1:11" ht="15.5" x14ac:dyDescent="0.35">
      <c r="A859" s="10"/>
      <c r="B859" s="10"/>
      <c r="C859" s="10"/>
      <c r="D859" s="10"/>
      <c r="E859" s="10"/>
      <c r="F859" s="10"/>
      <c r="G859" s="11" t="s">
        <v>1380</v>
      </c>
      <c r="H859" s="11" t="s">
        <v>1379</v>
      </c>
      <c r="I859" s="14" t="s">
        <v>120</v>
      </c>
      <c r="J859" s="11" t="s">
        <v>1378</v>
      </c>
      <c r="K859" s="8" t="s">
        <v>1377</v>
      </c>
    </row>
    <row r="860" spans="1:11" ht="15.5" x14ac:dyDescent="0.35">
      <c r="A860" s="10"/>
      <c r="B860" s="10"/>
      <c r="C860" s="10"/>
      <c r="D860" s="9"/>
      <c r="E860" s="9"/>
      <c r="F860" s="9"/>
      <c r="G860" s="9"/>
      <c r="H860" s="9"/>
      <c r="I860" s="9"/>
      <c r="J860" s="9"/>
      <c r="K860" s="8" t="s">
        <v>1376</v>
      </c>
    </row>
    <row r="861" spans="1:11" ht="15.5" x14ac:dyDescent="0.35">
      <c r="A861" s="10"/>
      <c r="B861" s="10"/>
      <c r="C861" s="10"/>
      <c r="D861" s="11" t="s">
        <v>1375</v>
      </c>
      <c r="E861" s="11" t="s">
        <v>1374</v>
      </c>
      <c r="F861" s="11" t="s">
        <v>244</v>
      </c>
      <c r="G861" s="11" t="s">
        <v>1373</v>
      </c>
      <c r="H861" s="11" t="s">
        <v>1372</v>
      </c>
      <c r="I861" s="14" t="s">
        <v>120</v>
      </c>
      <c r="J861" s="11" t="s">
        <v>1371</v>
      </c>
      <c r="K861" s="8" t="s">
        <v>1370</v>
      </c>
    </row>
    <row r="862" spans="1:11" ht="15.5" x14ac:dyDescent="0.35">
      <c r="A862" s="10"/>
      <c r="B862" s="10"/>
      <c r="C862" s="10"/>
      <c r="D862" s="10"/>
      <c r="E862" s="10"/>
      <c r="F862" s="10"/>
      <c r="G862" s="9"/>
      <c r="H862" s="9"/>
      <c r="I862" s="9"/>
      <c r="J862" s="9"/>
      <c r="K862" s="8" t="s">
        <v>1369</v>
      </c>
    </row>
    <row r="863" spans="1:11" ht="15.5" x14ac:dyDescent="0.35">
      <c r="A863" s="10"/>
      <c r="B863" s="10"/>
      <c r="C863" s="10"/>
      <c r="D863" s="10"/>
      <c r="E863" s="10"/>
      <c r="F863" s="10"/>
      <c r="G863" s="11" t="s">
        <v>1368</v>
      </c>
      <c r="H863" s="11" t="s">
        <v>1367</v>
      </c>
      <c r="I863" s="14" t="s">
        <v>120</v>
      </c>
      <c r="J863" s="11" t="s">
        <v>1366</v>
      </c>
      <c r="K863" s="8" t="s">
        <v>1365</v>
      </c>
    </row>
    <row r="864" spans="1:11" ht="15.5" x14ac:dyDescent="0.35">
      <c r="A864" s="10"/>
      <c r="B864" s="10"/>
      <c r="C864" s="10"/>
      <c r="D864" s="9"/>
      <c r="E864" s="9"/>
      <c r="F864" s="9"/>
      <c r="G864" s="9"/>
      <c r="H864" s="9"/>
      <c r="I864" s="9"/>
      <c r="J864" s="9"/>
      <c r="K864" s="8" t="s">
        <v>1364</v>
      </c>
    </row>
    <row r="865" spans="1:11" ht="15.5" x14ac:dyDescent="0.35">
      <c r="A865" s="10"/>
      <c r="B865" s="10"/>
      <c r="C865" s="10"/>
      <c r="D865" s="11" t="s">
        <v>1363</v>
      </c>
      <c r="E865" s="11" t="s">
        <v>1362</v>
      </c>
      <c r="F865" s="11" t="s">
        <v>244</v>
      </c>
      <c r="G865" s="11" t="s">
        <v>1361</v>
      </c>
      <c r="H865" s="11" t="s">
        <v>1360</v>
      </c>
      <c r="I865" s="14" t="s">
        <v>120</v>
      </c>
      <c r="J865" s="11" t="s">
        <v>1359</v>
      </c>
      <c r="K865" s="8" t="s">
        <v>1358</v>
      </c>
    </row>
    <row r="866" spans="1:11" ht="15.5" x14ac:dyDescent="0.35">
      <c r="A866" s="10"/>
      <c r="B866" s="10"/>
      <c r="C866" s="10"/>
      <c r="D866" s="10"/>
      <c r="E866" s="10"/>
      <c r="F866" s="10"/>
      <c r="G866" s="9"/>
      <c r="H866" s="9"/>
      <c r="I866" s="9"/>
      <c r="J866" s="9"/>
      <c r="K866" s="8" t="s">
        <v>1357</v>
      </c>
    </row>
    <row r="867" spans="1:11" ht="15.5" x14ac:dyDescent="0.35">
      <c r="A867" s="10"/>
      <c r="B867" s="10"/>
      <c r="C867" s="10"/>
      <c r="D867" s="10"/>
      <c r="E867" s="10"/>
      <c r="F867" s="10"/>
      <c r="G867" s="11" t="s">
        <v>1356</v>
      </c>
      <c r="H867" s="11" t="s">
        <v>1355</v>
      </c>
      <c r="I867" s="14" t="s">
        <v>120</v>
      </c>
      <c r="J867" s="11" t="s">
        <v>1354</v>
      </c>
      <c r="K867" s="8" t="s">
        <v>1353</v>
      </c>
    </row>
    <row r="868" spans="1:11" ht="15.5" x14ac:dyDescent="0.35">
      <c r="A868" s="10"/>
      <c r="B868" s="10"/>
      <c r="C868" s="10"/>
      <c r="D868" s="9"/>
      <c r="E868" s="9"/>
      <c r="F868" s="9"/>
      <c r="G868" s="9"/>
      <c r="H868" s="9"/>
      <c r="I868" s="9"/>
      <c r="J868" s="9"/>
      <c r="K868" s="8" t="s">
        <v>1352</v>
      </c>
    </row>
    <row r="869" spans="1:11" ht="15.5" x14ac:dyDescent="0.35">
      <c r="A869" s="10"/>
      <c r="B869" s="10"/>
      <c r="C869" s="10"/>
      <c r="D869" s="11" t="s">
        <v>1351</v>
      </c>
      <c r="E869" s="11" t="s">
        <v>1350</v>
      </c>
      <c r="F869" s="11" t="s">
        <v>244</v>
      </c>
      <c r="G869" s="11" t="s">
        <v>1349</v>
      </c>
      <c r="H869" s="11" t="s">
        <v>1348</v>
      </c>
      <c r="I869" s="15" t="s">
        <v>250</v>
      </c>
      <c r="J869" s="11" t="s">
        <v>1347</v>
      </c>
      <c r="K869" s="8" t="s">
        <v>1346</v>
      </c>
    </row>
    <row r="870" spans="1:11" ht="15.5" x14ac:dyDescent="0.35">
      <c r="A870" s="10"/>
      <c r="B870" s="10"/>
      <c r="C870" s="10"/>
      <c r="D870" s="10"/>
      <c r="E870" s="10"/>
      <c r="F870" s="10"/>
      <c r="G870" s="9"/>
      <c r="H870" s="9"/>
      <c r="I870" s="9"/>
      <c r="J870" s="9"/>
      <c r="K870" s="8" t="s">
        <v>1345</v>
      </c>
    </row>
    <row r="871" spans="1:11" ht="15.5" x14ac:dyDescent="0.35">
      <c r="A871" s="10"/>
      <c r="B871" s="10"/>
      <c r="C871" s="10"/>
      <c r="D871" s="10"/>
      <c r="E871" s="10"/>
      <c r="F871" s="10"/>
      <c r="G871" s="11" t="s">
        <v>1344</v>
      </c>
      <c r="H871" s="11" t="s">
        <v>1343</v>
      </c>
      <c r="I871" s="14" t="s">
        <v>120</v>
      </c>
      <c r="J871" s="11" t="s">
        <v>1342</v>
      </c>
      <c r="K871" s="8" t="s">
        <v>1341</v>
      </c>
    </row>
    <row r="872" spans="1:11" ht="15.5" x14ac:dyDescent="0.35">
      <c r="A872" s="10"/>
      <c r="B872" s="10"/>
      <c r="C872" s="9"/>
      <c r="D872" s="9"/>
      <c r="E872" s="9"/>
      <c r="F872" s="9"/>
      <c r="G872" s="9"/>
      <c r="H872" s="9"/>
      <c r="I872" s="9"/>
      <c r="J872" s="9"/>
      <c r="K872" s="8" t="s">
        <v>1340</v>
      </c>
    </row>
    <row r="873" spans="1:11" ht="15.5" x14ac:dyDescent="0.35">
      <c r="A873" s="10"/>
      <c r="B873" s="10"/>
      <c r="C873" s="20" t="s">
        <v>1339</v>
      </c>
      <c r="D873" s="11" t="s">
        <v>1338</v>
      </c>
      <c r="E873" s="11" t="s">
        <v>1337</v>
      </c>
      <c r="F873" s="11" t="s">
        <v>244</v>
      </c>
      <c r="G873" s="11" t="s">
        <v>1336</v>
      </c>
      <c r="H873" s="11" t="s">
        <v>1335</v>
      </c>
      <c r="I873" s="14" t="s">
        <v>120</v>
      </c>
      <c r="J873" s="11" t="s">
        <v>1334</v>
      </c>
      <c r="K873" s="8" t="s">
        <v>1333</v>
      </c>
    </row>
    <row r="874" spans="1:11" ht="15.5" x14ac:dyDescent="0.35">
      <c r="A874" s="10"/>
      <c r="B874" s="10"/>
      <c r="C874" s="10"/>
      <c r="D874" s="10"/>
      <c r="E874" s="10"/>
      <c r="F874" s="10"/>
      <c r="G874" s="10"/>
      <c r="H874" s="9"/>
      <c r="I874" s="9"/>
      <c r="J874" s="9"/>
      <c r="K874" s="8" t="s">
        <v>1332</v>
      </c>
    </row>
    <row r="875" spans="1:11" ht="15.5" x14ac:dyDescent="0.35">
      <c r="A875" s="10"/>
      <c r="B875" s="10"/>
      <c r="C875" s="10"/>
      <c r="D875" s="10"/>
      <c r="E875" s="10"/>
      <c r="F875" s="10"/>
      <c r="G875" s="11" t="s">
        <v>1331</v>
      </c>
      <c r="H875" s="11" t="s">
        <v>1330</v>
      </c>
      <c r="I875" s="14" t="s">
        <v>120</v>
      </c>
      <c r="J875" s="11" t="s">
        <v>1329</v>
      </c>
      <c r="K875" s="8" t="s">
        <v>1328</v>
      </c>
    </row>
    <row r="876" spans="1:11" ht="15.5" x14ac:dyDescent="0.35">
      <c r="A876" s="10"/>
      <c r="B876" s="10"/>
      <c r="C876" s="10"/>
      <c r="D876" s="9"/>
      <c r="E876" s="9"/>
      <c r="F876" s="9"/>
      <c r="G876" s="9"/>
      <c r="H876" s="9"/>
      <c r="I876" s="9"/>
      <c r="J876" s="9"/>
      <c r="K876" s="8" t="s">
        <v>1327</v>
      </c>
    </row>
    <row r="877" spans="1:11" ht="15.5" x14ac:dyDescent="0.35">
      <c r="A877" s="10"/>
      <c r="B877" s="10"/>
      <c r="C877" s="10"/>
      <c r="D877" s="11" t="s">
        <v>992</v>
      </c>
      <c r="E877" s="11" t="s">
        <v>1326</v>
      </c>
      <c r="F877" s="11" t="s">
        <v>244</v>
      </c>
      <c r="G877" s="11" t="s">
        <v>1325</v>
      </c>
      <c r="H877" s="11" t="s">
        <v>1324</v>
      </c>
      <c r="I877" s="14" t="s">
        <v>120</v>
      </c>
      <c r="J877" s="11" t="s">
        <v>1323</v>
      </c>
      <c r="K877" s="8" t="s">
        <v>1322</v>
      </c>
    </row>
    <row r="878" spans="1:11" ht="15.5" x14ac:dyDescent="0.35">
      <c r="A878" s="10"/>
      <c r="B878" s="10"/>
      <c r="C878" s="10"/>
      <c r="D878" s="10"/>
      <c r="E878" s="10"/>
      <c r="F878" s="10"/>
      <c r="G878" s="9"/>
      <c r="H878" s="9"/>
      <c r="I878" s="9"/>
      <c r="J878" s="9"/>
      <c r="K878" s="8" t="s">
        <v>1321</v>
      </c>
    </row>
    <row r="879" spans="1:11" ht="15.5" x14ac:dyDescent="0.35">
      <c r="A879" s="10"/>
      <c r="B879" s="10"/>
      <c r="C879" s="10"/>
      <c r="D879" s="10"/>
      <c r="E879" s="10"/>
      <c r="F879" s="10"/>
      <c r="G879" s="11" t="s">
        <v>1320</v>
      </c>
      <c r="H879" s="11" t="s">
        <v>1319</v>
      </c>
      <c r="I879" s="14" t="s">
        <v>120</v>
      </c>
      <c r="J879" s="11" t="s">
        <v>1318</v>
      </c>
      <c r="K879" s="8" t="s">
        <v>1317</v>
      </c>
    </row>
    <row r="880" spans="1:11" ht="15.5" x14ac:dyDescent="0.35">
      <c r="A880" s="10"/>
      <c r="B880" s="10"/>
      <c r="C880" s="10"/>
      <c r="D880" s="9"/>
      <c r="E880" s="9"/>
      <c r="F880" s="9"/>
      <c r="G880" s="9"/>
      <c r="H880" s="9"/>
      <c r="I880" s="9"/>
      <c r="J880" s="9"/>
      <c r="K880" s="8" t="s">
        <v>1316</v>
      </c>
    </row>
    <row r="881" spans="1:11" ht="15.5" x14ac:dyDescent="0.35">
      <c r="A881" s="10"/>
      <c r="B881" s="10"/>
      <c r="C881" s="10"/>
      <c r="D881" s="11" t="s">
        <v>980</v>
      </c>
      <c r="E881" s="11" t="s">
        <v>1315</v>
      </c>
      <c r="F881" s="11" t="s">
        <v>244</v>
      </c>
      <c r="G881" s="11" t="s">
        <v>1314</v>
      </c>
      <c r="H881" s="11" t="s">
        <v>1313</v>
      </c>
      <c r="I881" s="12" t="s">
        <v>58</v>
      </c>
      <c r="J881" s="11" t="s">
        <v>1312</v>
      </c>
      <c r="K881" s="8" t="s">
        <v>1311</v>
      </c>
    </row>
    <row r="882" spans="1:11" ht="15.5" x14ac:dyDescent="0.35">
      <c r="A882" s="10"/>
      <c r="B882" s="10"/>
      <c r="C882" s="10"/>
      <c r="D882" s="10"/>
      <c r="E882" s="10"/>
      <c r="F882" s="10"/>
      <c r="G882" s="9"/>
      <c r="H882" s="9"/>
      <c r="I882" s="9"/>
      <c r="J882" s="9"/>
      <c r="K882" s="8" t="s">
        <v>1310</v>
      </c>
    </row>
    <row r="883" spans="1:11" ht="15.5" x14ac:dyDescent="0.35">
      <c r="A883" s="10"/>
      <c r="B883" s="10"/>
      <c r="C883" s="10"/>
      <c r="D883" s="10"/>
      <c r="E883" s="10"/>
      <c r="F883" s="10"/>
      <c r="G883" s="11" t="s">
        <v>1309</v>
      </c>
      <c r="H883" s="11" t="s">
        <v>1308</v>
      </c>
      <c r="I883" s="12" t="s">
        <v>58</v>
      </c>
      <c r="J883" s="11" t="s">
        <v>1307</v>
      </c>
      <c r="K883" s="8" t="s">
        <v>1306</v>
      </c>
    </row>
    <row r="884" spans="1:11" ht="15.5" x14ac:dyDescent="0.35">
      <c r="A884" s="10"/>
      <c r="B884" s="10"/>
      <c r="C884" s="10"/>
      <c r="D884" s="9"/>
      <c r="E884" s="9"/>
      <c r="F884" s="9"/>
      <c r="G884" s="9"/>
      <c r="H884" s="9"/>
      <c r="I884" s="9"/>
      <c r="J884" s="9"/>
      <c r="K884" s="8" t="s">
        <v>1305</v>
      </c>
    </row>
    <row r="885" spans="1:11" ht="15.5" x14ac:dyDescent="0.35">
      <c r="A885" s="10"/>
      <c r="B885" s="10"/>
      <c r="C885" s="10"/>
      <c r="D885" s="11" t="s">
        <v>969</v>
      </c>
      <c r="E885" s="11" t="s">
        <v>1304</v>
      </c>
      <c r="F885" s="11" t="s">
        <v>244</v>
      </c>
      <c r="G885" s="11" t="s">
        <v>1303</v>
      </c>
      <c r="H885" s="11" t="s">
        <v>1302</v>
      </c>
      <c r="I885" s="12" t="s">
        <v>58</v>
      </c>
      <c r="J885" s="11" t="s">
        <v>1301</v>
      </c>
      <c r="K885" s="8" t="s">
        <v>1300</v>
      </c>
    </row>
    <row r="886" spans="1:11" ht="15.5" x14ac:dyDescent="0.35">
      <c r="A886" s="10"/>
      <c r="B886" s="10"/>
      <c r="C886" s="10"/>
      <c r="D886" s="10"/>
      <c r="E886" s="10"/>
      <c r="F886" s="10"/>
      <c r="G886" s="9"/>
      <c r="H886" s="9"/>
      <c r="I886" s="9"/>
      <c r="J886" s="9"/>
      <c r="K886" s="8" t="s">
        <v>1299</v>
      </c>
    </row>
    <row r="887" spans="1:11" ht="15.5" x14ac:dyDescent="0.35">
      <c r="A887" s="10"/>
      <c r="B887" s="10"/>
      <c r="C887" s="10"/>
      <c r="D887" s="10"/>
      <c r="E887" s="10"/>
      <c r="F887" s="10"/>
      <c r="G887" s="11" t="s">
        <v>1298</v>
      </c>
      <c r="H887" s="11" t="s">
        <v>1297</v>
      </c>
      <c r="I887" s="12" t="s">
        <v>58</v>
      </c>
      <c r="J887" s="11" t="s">
        <v>1296</v>
      </c>
      <c r="K887" s="8" t="s">
        <v>1295</v>
      </c>
    </row>
    <row r="888" spans="1:11" ht="15.5" x14ac:dyDescent="0.35">
      <c r="A888" s="10"/>
      <c r="B888" s="10"/>
      <c r="C888" s="10"/>
      <c r="D888" s="9"/>
      <c r="E888" s="9"/>
      <c r="F888" s="9"/>
      <c r="G888" s="9"/>
      <c r="H888" s="9"/>
      <c r="I888" s="9"/>
      <c r="J888" s="9"/>
      <c r="K888" s="8" t="s">
        <v>1294</v>
      </c>
    </row>
    <row r="889" spans="1:11" ht="15.5" x14ac:dyDescent="0.35">
      <c r="A889" s="10"/>
      <c r="B889" s="10"/>
      <c r="C889" s="10"/>
      <c r="D889" s="11" t="s">
        <v>957</v>
      </c>
      <c r="E889" s="11" t="s">
        <v>1293</v>
      </c>
      <c r="F889" s="11" t="s">
        <v>244</v>
      </c>
      <c r="G889" s="11" t="s">
        <v>1292</v>
      </c>
      <c r="H889" s="11" t="s">
        <v>1291</v>
      </c>
      <c r="I889" s="12" t="s">
        <v>58</v>
      </c>
      <c r="J889" s="11" t="s">
        <v>1290</v>
      </c>
      <c r="K889" s="8" t="s">
        <v>1289</v>
      </c>
    </row>
    <row r="890" spans="1:11" ht="15.5" x14ac:dyDescent="0.35">
      <c r="A890" s="10"/>
      <c r="B890" s="10"/>
      <c r="C890" s="10"/>
      <c r="D890" s="10"/>
      <c r="E890" s="10"/>
      <c r="F890" s="10"/>
      <c r="G890" s="9"/>
      <c r="H890" s="9"/>
      <c r="I890" s="9"/>
      <c r="J890" s="9"/>
      <c r="K890" s="8" t="s">
        <v>1288</v>
      </c>
    </row>
    <row r="891" spans="1:11" ht="15.5" x14ac:dyDescent="0.35">
      <c r="A891" s="10"/>
      <c r="B891" s="10"/>
      <c r="C891" s="10"/>
      <c r="D891" s="10"/>
      <c r="E891" s="10"/>
      <c r="F891" s="10"/>
      <c r="G891" s="11" t="s">
        <v>1287</v>
      </c>
      <c r="H891" s="11" t="s">
        <v>1286</v>
      </c>
      <c r="I891" s="12" t="s">
        <v>58</v>
      </c>
      <c r="J891" s="11" t="s">
        <v>1285</v>
      </c>
      <c r="K891" s="8" t="s">
        <v>1284</v>
      </c>
    </row>
    <row r="892" spans="1:11" ht="15.5" x14ac:dyDescent="0.35">
      <c r="A892" s="10"/>
      <c r="B892" s="10"/>
      <c r="C892" s="9"/>
      <c r="D892" s="9"/>
      <c r="E892" s="9"/>
      <c r="F892" s="9"/>
      <c r="G892" s="9"/>
      <c r="H892" s="9"/>
      <c r="I892" s="9"/>
      <c r="J892" s="9"/>
      <c r="K892" s="8" t="s">
        <v>1283</v>
      </c>
    </row>
    <row r="893" spans="1:11" ht="15.5" x14ac:dyDescent="0.35">
      <c r="A893" s="10"/>
      <c r="B893" s="10"/>
      <c r="C893" s="20" t="s">
        <v>1282</v>
      </c>
      <c r="D893" s="11" t="s">
        <v>933</v>
      </c>
      <c r="E893" s="11" t="s">
        <v>1281</v>
      </c>
      <c r="F893" s="11" t="s">
        <v>65</v>
      </c>
      <c r="G893" s="11" t="s">
        <v>1280</v>
      </c>
      <c r="H893" s="11" t="s">
        <v>1279</v>
      </c>
      <c r="I893" s="12" t="s">
        <v>58</v>
      </c>
      <c r="J893" s="11" t="s">
        <v>1278</v>
      </c>
      <c r="K893" s="8" t="s">
        <v>1277</v>
      </c>
    </row>
    <row r="894" spans="1:11" ht="15.5" x14ac:dyDescent="0.35">
      <c r="A894" s="10"/>
      <c r="B894" s="10"/>
      <c r="C894" s="10"/>
      <c r="D894" s="10"/>
      <c r="E894" s="10"/>
      <c r="F894" s="10"/>
      <c r="G894" s="9"/>
      <c r="H894" s="9"/>
      <c r="I894" s="9"/>
      <c r="J894" s="9"/>
      <c r="K894" s="8" t="s">
        <v>1276</v>
      </c>
    </row>
    <row r="895" spans="1:11" ht="15.5" x14ac:dyDescent="0.35">
      <c r="A895" s="10"/>
      <c r="B895" s="10"/>
      <c r="C895" s="10"/>
      <c r="D895" s="10"/>
      <c r="E895" s="10"/>
      <c r="F895" s="10"/>
      <c r="G895" s="11" t="s">
        <v>1275</v>
      </c>
      <c r="H895" s="11" t="s">
        <v>1274</v>
      </c>
      <c r="I895" s="12" t="s">
        <v>58</v>
      </c>
      <c r="J895" s="11" t="s">
        <v>1273</v>
      </c>
      <c r="K895" s="8" t="s">
        <v>1272</v>
      </c>
    </row>
    <row r="896" spans="1:11" ht="15.5" x14ac:dyDescent="0.35">
      <c r="A896" s="10"/>
      <c r="B896" s="10"/>
      <c r="C896" s="10"/>
      <c r="D896" s="9"/>
      <c r="E896" s="9"/>
      <c r="F896" s="9"/>
      <c r="G896" s="9"/>
      <c r="H896" s="9"/>
      <c r="I896" s="9"/>
      <c r="J896" s="9"/>
      <c r="K896" s="8" t="s">
        <v>1271</v>
      </c>
    </row>
    <row r="897" spans="1:11" ht="15.5" x14ac:dyDescent="0.35">
      <c r="A897" s="10"/>
      <c r="B897" s="10"/>
      <c r="C897" s="10"/>
      <c r="D897" s="11" t="s">
        <v>921</v>
      </c>
      <c r="E897" s="11" t="s">
        <v>1270</v>
      </c>
      <c r="F897" s="11" t="s">
        <v>244</v>
      </c>
      <c r="G897" s="11" t="s">
        <v>1269</v>
      </c>
      <c r="H897" s="11" t="s">
        <v>1268</v>
      </c>
      <c r="I897" s="12" t="s">
        <v>58</v>
      </c>
      <c r="J897" s="11" t="s">
        <v>1267</v>
      </c>
      <c r="K897" s="8" t="s">
        <v>1266</v>
      </c>
    </row>
    <row r="898" spans="1:11" ht="15.5" x14ac:dyDescent="0.35">
      <c r="A898" s="10"/>
      <c r="B898" s="10"/>
      <c r="C898" s="10"/>
      <c r="D898" s="10"/>
      <c r="E898" s="10"/>
      <c r="F898" s="10"/>
      <c r="G898" s="9"/>
      <c r="H898" s="9"/>
      <c r="I898" s="9"/>
      <c r="J898" s="9"/>
      <c r="K898" s="8" t="s">
        <v>1265</v>
      </c>
    </row>
    <row r="899" spans="1:11" ht="15.5" x14ac:dyDescent="0.35">
      <c r="A899" s="10"/>
      <c r="B899" s="10"/>
      <c r="C899" s="10"/>
      <c r="D899" s="10"/>
      <c r="E899" s="10"/>
      <c r="F899" s="10"/>
      <c r="G899" s="11" t="s">
        <v>1264</v>
      </c>
      <c r="H899" s="11" t="s">
        <v>1263</v>
      </c>
      <c r="I899" s="12" t="s">
        <v>58</v>
      </c>
      <c r="J899" s="11" t="s">
        <v>1262</v>
      </c>
      <c r="K899" s="8" t="s">
        <v>1261</v>
      </c>
    </row>
    <row r="900" spans="1:11" ht="15.5" x14ac:dyDescent="0.35">
      <c r="A900" s="10"/>
      <c r="B900" s="10"/>
      <c r="C900" s="10"/>
      <c r="D900" s="9"/>
      <c r="E900" s="9"/>
      <c r="F900" s="9"/>
      <c r="G900" s="9"/>
      <c r="H900" s="9"/>
      <c r="I900" s="9"/>
      <c r="J900" s="9"/>
      <c r="K900" s="8" t="s">
        <v>1260</v>
      </c>
    </row>
    <row r="901" spans="1:11" ht="15.5" x14ac:dyDescent="0.35">
      <c r="A901" s="10"/>
      <c r="B901" s="10"/>
      <c r="C901" s="10"/>
      <c r="D901" s="11" t="s">
        <v>909</v>
      </c>
      <c r="E901" s="11" t="s">
        <v>1259</v>
      </c>
      <c r="F901" s="11" t="s">
        <v>244</v>
      </c>
      <c r="G901" s="11" t="s">
        <v>1258</v>
      </c>
      <c r="H901" s="11" t="s">
        <v>1257</v>
      </c>
      <c r="I901" s="12" t="s">
        <v>58</v>
      </c>
      <c r="J901" s="11" t="s">
        <v>1256</v>
      </c>
      <c r="K901" s="8" t="s">
        <v>1255</v>
      </c>
    </row>
    <row r="902" spans="1:11" ht="15.5" x14ac:dyDescent="0.35">
      <c r="A902" s="10"/>
      <c r="B902" s="10"/>
      <c r="C902" s="10"/>
      <c r="D902" s="10"/>
      <c r="E902" s="10"/>
      <c r="F902" s="10"/>
      <c r="G902" s="9"/>
      <c r="H902" s="9"/>
      <c r="I902" s="9"/>
      <c r="J902" s="9"/>
      <c r="K902" s="8" t="s">
        <v>1254</v>
      </c>
    </row>
    <row r="903" spans="1:11" ht="15.5" x14ac:dyDescent="0.35">
      <c r="A903" s="10"/>
      <c r="B903" s="10"/>
      <c r="C903" s="10"/>
      <c r="D903" s="10"/>
      <c r="E903" s="10"/>
      <c r="F903" s="10"/>
      <c r="G903" s="11" t="s">
        <v>1253</v>
      </c>
      <c r="H903" s="11" t="s">
        <v>1252</v>
      </c>
      <c r="I903" s="12" t="s">
        <v>58</v>
      </c>
      <c r="J903" s="11" t="s">
        <v>1251</v>
      </c>
      <c r="K903" s="8" t="s">
        <v>1250</v>
      </c>
    </row>
    <row r="904" spans="1:11" ht="15.5" x14ac:dyDescent="0.35">
      <c r="A904" s="10"/>
      <c r="B904" s="10"/>
      <c r="C904" s="10"/>
      <c r="D904" s="9"/>
      <c r="E904" s="9"/>
      <c r="F904" s="9"/>
      <c r="G904" s="9"/>
      <c r="H904" s="9"/>
      <c r="I904" s="9"/>
      <c r="J904" s="9"/>
      <c r="K904" s="8" t="s">
        <v>1249</v>
      </c>
    </row>
    <row r="905" spans="1:11" ht="15.5" x14ac:dyDescent="0.35">
      <c r="A905" s="10"/>
      <c r="B905" s="10"/>
      <c r="C905" s="10"/>
      <c r="D905" s="11" t="s">
        <v>897</v>
      </c>
      <c r="E905" s="11" t="s">
        <v>1248</v>
      </c>
      <c r="F905" s="11" t="s">
        <v>244</v>
      </c>
      <c r="G905" s="11" t="s">
        <v>1247</v>
      </c>
      <c r="H905" s="11" t="s">
        <v>1246</v>
      </c>
      <c r="I905" s="12" t="s">
        <v>58</v>
      </c>
      <c r="J905" s="11" t="s">
        <v>1245</v>
      </c>
      <c r="K905" s="8" t="s">
        <v>1244</v>
      </c>
    </row>
    <row r="906" spans="1:11" ht="15.5" x14ac:dyDescent="0.35">
      <c r="A906" s="10"/>
      <c r="B906" s="10"/>
      <c r="C906" s="10"/>
      <c r="D906" s="10"/>
      <c r="E906" s="10"/>
      <c r="F906" s="10"/>
      <c r="G906" s="9"/>
      <c r="H906" s="9"/>
      <c r="I906" s="9"/>
      <c r="J906" s="9"/>
      <c r="K906" s="8" t="s">
        <v>1243</v>
      </c>
    </row>
    <row r="907" spans="1:11" ht="15.5" x14ac:dyDescent="0.35">
      <c r="A907" s="10"/>
      <c r="B907" s="10"/>
      <c r="C907" s="10"/>
      <c r="D907" s="10"/>
      <c r="E907" s="10"/>
      <c r="F907" s="10"/>
      <c r="G907" s="11" t="s">
        <v>1242</v>
      </c>
      <c r="H907" s="11" t="s">
        <v>1241</v>
      </c>
      <c r="I907" s="12" t="s">
        <v>58</v>
      </c>
      <c r="J907" s="11" t="s">
        <v>1240</v>
      </c>
      <c r="K907" s="8" t="s">
        <v>1239</v>
      </c>
    </row>
    <row r="908" spans="1:11" ht="15.5" x14ac:dyDescent="0.35">
      <c r="A908" s="10"/>
      <c r="B908" s="10"/>
      <c r="C908" s="10"/>
      <c r="D908" s="9"/>
      <c r="E908" s="9"/>
      <c r="F908" s="9"/>
      <c r="G908" s="9"/>
      <c r="H908" s="9"/>
      <c r="I908" s="9"/>
      <c r="J908" s="9"/>
      <c r="K908" s="8" t="s">
        <v>1238</v>
      </c>
    </row>
    <row r="909" spans="1:11" ht="15.5" x14ac:dyDescent="0.35">
      <c r="A909" s="10"/>
      <c r="B909" s="10"/>
      <c r="C909" s="10"/>
      <c r="D909" s="11" t="s">
        <v>886</v>
      </c>
      <c r="E909" s="11" t="s">
        <v>1237</v>
      </c>
      <c r="F909" s="11" t="s">
        <v>244</v>
      </c>
      <c r="G909" s="11" t="s">
        <v>1236</v>
      </c>
      <c r="H909" s="11" t="s">
        <v>1235</v>
      </c>
      <c r="I909" s="14" t="s">
        <v>120</v>
      </c>
      <c r="J909" s="11" t="s">
        <v>1234</v>
      </c>
      <c r="K909" s="8" t="s">
        <v>1233</v>
      </c>
    </row>
    <row r="910" spans="1:11" ht="15.5" x14ac:dyDescent="0.35">
      <c r="A910" s="10"/>
      <c r="B910" s="10"/>
      <c r="C910" s="10"/>
      <c r="D910" s="10"/>
      <c r="E910" s="10"/>
      <c r="F910" s="10"/>
      <c r="G910" s="9"/>
      <c r="H910" s="9"/>
      <c r="I910" s="9"/>
      <c r="J910" s="9"/>
      <c r="K910" s="8" t="s">
        <v>1232</v>
      </c>
    </row>
    <row r="911" spans="1:11" ht="15.5" x14ac:dyDescent="0.35">
      <c r="A911" s="10"/>
      <c r="B911" s="10"/>
      <c r="C911" s="10"/>
      <c r="D911" s="10"/>
      <c r="E911" s="10"/>
      <c r="F911" s="10"/>
      <c r="G911" s="11" t="s">
        <v>1231</v>
      </c>
      <c r="H911" s="11" t="s">
        <v>1230</v>
      </c>
      <c r="I911" s="12" t="s">
        <v>58</v>
      </c>
      <c r="J911" s="11" t="s">
        <v>1229</v>
      </c>
      <c r="K911" s="8" t="s">
        <v>1228</v>
      </c>
    </row>
    <row r="912" spans="1:11" ht="15.5" x14ac:dyDescent="0.35">
      <c r="A912" s="10"/>
      <c r="B912" s="10"/>
      <c r="C912" s="9"/>
      <c r="D912" s="9"/>
      <c r="E912" s="9"/>
      <c r="F912" s="9"/>
      <c r="G912" s="9"/>
      <c r="H912" s="9"/>
      <c r="I912" s="9"/>
      <c r="J912" s="9"/>
      <c r="K912" s="8" t="s">
        <v>898</v>
      </c>
    </row>
    <row r="913" spans="1:11" ht="15.5" x14ac:dyDescent="0.35">
      <c r="A913" s="10"/>
      <c r="B913" s="10"/>
      <c r="C913" s="13" t="s">
        <v>1227</v>
      </c>
      <c r="D913" s="11" t="s">
        <v>1226</v>
      </c>
      <c r="E913" s="11" t="s">
        <v>1225</v>
      </c>
      <c r="F913" s="11" t="s">
        <v>244</v>
      </c>
      <c r="G913" s="11" t="s">
        <v>1224</v>
      </c>
      <c r="H913" s="11" t="s">
        <v>1223</v>
      </c>
      <c r="I913" s="12" t="s">
        <v>58</v>
      </c>
      <c r="J913" s="11" t="s">
        <v>1222</v>
      </c>
      <c r="K913" s="8" t="s">
        <v>1221</v>
      </c>
    </row>
    <row r="914" spans="1:11" ht="15.5" x14ac:dyDescent="0.35">
      <c r="A914" s="10"/>
      <c r="B914" s="10"/>
      <c r="C914" s="10"/>
      <c r="D914" s="10"/>
      <c r="E914" s="10"/>
      <c r="F914" s="10"/>
      <c r="G914" s="9"/>
      <c r="H914" s="9"/>
      <c r="I914" s="9"/>
      <c r="J914" s="9"/>
      <c r="K914" s="8" t="s">
        <v>1220</v>
      </c>
    </row>
    <row r="915" spans="1:11" ht="15.5" x14ac:dyDescent="0.35">
      <c r="A915" s="10"/>
      <c r="B915" s="10"/>
      <c r="C915" s="10"/>
      <c r="D915" s="10"/>
      <c r="E915" s="10"/>
      <c r="F915" s="10"/>
      <c r="G915" s="11" t="s">
        <v>1219</v>
      </c>
      <c r="H915" s="11" t="s">
        <v>1218</v>
      </c>
      <c r="I915" s="12" t="s">
        <v>58</v>
      </c>
      <c r="J915" s="11" t="s">
        <v>1217</v>
      </c>
      <c r="K915" s="8" t="s">
        <v>1216</v>
      </c>
    </row>
    <row r="916" spans="1:11" ht="15.5" x14ac:dyDescent="0.35">
      <c r="A916" s="10"/>
      <c r="B916" s="10"/>
      <c r="C916" s="10"/>
      <c r="D916" s="9"/>
      <c r="E916" s="9"/>
      <c r="F916" s="9"/>
      <c r="G916" s="9"/>
      <c r="H916" s="9"/>
      <c r="I916" s="9"/>
      <c r="J916" s="9"/>
      <c r="K916" s="8" t="s">
        <v>1215</v>
      </c>
    </row>
    <row r="917" spans="1:11" ht="15.5" x14ac:dyDescent="0.35">
      <c r="A917" s="10"/>
      <c r="B917" s="10"/>
      <c r="C917" s="10"/>
      <c r="D917" s="11" t="s">
        <v>873</v>
      </c>
      <c r="E917" s="11" t="s">
        <v>1214</v>
      </c>
      <c r="F917" s="11" t="s">
        <v>244</v>
      </c>
      <c r="G917" s="11" t="s">
        <v>1213</v>
      </c>
      <c r="H917" s="11" t="s">
        <v>1212</v>
      </c>
      <c r="I917" s="14" t="s">
        <v>120</v>
      </c>
      <c r="J917" s="11" t="s">
        <v>1211</v>
      </c>
      <c r="K917" s="8" t="s">
        <v>1210</v>
      </c>
    </row>
    <row r="918" spans="1:11" ht="15.5" x14ac:dyDescent="0.35">
      <c r="A918" s="10"/>
      <c r="B918" s="10"/>
      <c r="C918" s="10"/>
      <c r="D918" s="10"/>
      <c r="E918" s="10"/>
      <c r="F918" s="10"/>
      <c r="G918" s="9"/>
      <c r="H918" s="9"/>
      <c r="I918" s="9"/>
      <c r="J918" s="9"/>
      <c r="K918" s="8" t="s">
        <v>1209</v>
      </c>
    </row>
    <row r="919" spans="1:11" ht="15.5" x14ac:dyDescent="0.35">
      <c r="A919" s="10"/>
      <c r="B919" s="10"/>
      <c r="C919" s="10"/>
      <c r="D919" s="10"/>
      <c r="E919" s="10"/>
      <c r="F919" s="10"/>
      <c r="G919" s="11" t="s">
        <v>1208</v>
      </c>
      <c r="H919" s="11" t="s">
        <v>1207</v>
      </c>
      <c r="I919" s="14" t="s">
        <v>120</v>
      </c>
      <c r="J919" s="11" t="s">
        <v>1206</v>
      </c>
      <c r="K919" s="8" t="s">
        <v>1205</v>
      </c>
    </row>
    <row r="920" spans="1:11" ht="15.5" x14ac:dyDescent="0.35">
      <c r="A920" s="10"/>
      <c r="B920" s="10"/>
      <c r="C920" s="10"/>
      <c r="D920" s="9"/>
      <c r="E920" s="9"/>
      <c r="F920" s="9"/>
      <c r="G920" s="9"/>
      <c r="H920" s="9"/>
      <c r="I920" s="9"/>
      <c r="J920" s="9"/>
      <c r="K920" s="8" t="s">
        <v>1204</v>
      </c>
    </row>
    <row r="921" spans="1:11" ht="15.5" x14ac:dyDescent="0.35">
      <c r="A921" s="10"/>
      <c r="B921" s="10"/>
      <c r="C921" s="10"/>
      <c r="D921" s="11" t="s">
        <v>862</v>
      </c>
      <c r="E921" s="11" t="s">
        <v>1203</v>
      </c>
      <c r="F921" s="11" t="s">
        <v>244</v>
      </c>
      <c r="G921" s="11" t="s">
        <v>1202</v>
      </c>
      <c r="H921" s="11" t="s">
        <v>1201</v>
      </c>
      <c r="I921" s="14" t="s">
        <v>120</v>
      </c>
      <c r="J921" s="11" t="s">
        <v>1200</v>
      </c>
      <c r="K921" s="8" t="s">
        <v>1199</v>
      </c>
    </row>
    <row r="922" spans="1:11" ht="15.5" x14ac:dyDescent="0.35">
      <c r="A922" s="10"/>
      <c r="B922" s="10"/>
      <c r="C922" s="10"/>
      <c r="D922" s="10"/>
      <c r="E922" s="10"/>
      <c r="F922" s="10"/>
      <c r="G922" s="9"/>
      <c r="H922" s="9"/>
      <c r="I922" s="9"/>
      <c r="J922" s="9"/>
      <c r="K922" s="8" t="s">
        <v>1198</v>
      </c>
    </row>
    <row r="923" spans="1:11" ht="15.5" x14ac:dyDescent="0.35">
      <c r="A923" s="10"/>
      <c r="B923" s="10"/>
      <c r="C923" s="10"/>
      <c r="D923" s="10"/>
      <c r="E923" s="10"/>
      <c r="F923" s="10"/>
      <c r="G923" s="11" t="s">
        <v>1197</v>
      </c>
      <c r="H923" s="11" t="s">
        <v>1196</v>
      </c>
      <c r="I923" s="14" t="s">
        <v>120</v>
      </c>
      <c r="J923" s="11" t="s">
        <v>1195</v>
      </c>
      <c r="K923" s="8" t="s">
        <v>1194</v>
      </c>
    </row>
    <row r="924" spans="1:11" ht="15.5" x14ac:dyDescent="0.35">
      <c r="A924" s="10"/>
      <c r="B924" s="10"/>
      <c r="C924" s="10"/>
      <c r="D924" s="9"/>
      <c r="E924" s="9"/>
      <c r="F924" s="9"/>
      <c r="G924" s="9"/>
      <c r="H924" s="9"/>
      <c r="I924" s="9"/>
      <c r="J924" s="9"/>
      <c r="K924" s="8" t="s">
        <v>1193</v>
      </c>
    </row>
    <row r="925" spans="1:11" ht="15.5" x14ac:dyDescent="0.35">
      <c r="A925" s="10"/>
      <c r="B925" s="10"/>
      <c r="C925" s="10"/>
      <c r="D925" s="11" t="s">
        <v>850</v>
      </c>
      <c r="E925" s="11" t="s">
        <v>1192</v>
      </c>
      <c r="F925" s="11" t="s">
        <v>244</v>
      </c>
      <c r="G925" s="11" t="s">
        <v>1191</v>
      </c>
      <c r="H925" s="11" t="s">
        <v>516</v>
      </c>
      <c r="I925" s="14" t="s">
        <v>120</v>
      </c>
      <c r="J925" s="11" t="s">
        <v>1190</v>
      </c>
      <c r="K925" s="8" t="s">
        <v>1189</v>
      </c>
    </row>
    <row r="926" spans="1:11" ht="15.5" x14ac:dyDescent="0.35">
      <c r="A926" s="10"/>
      <c r="B926" s="10"/>
      <c r="C926" s="10"/>
      <c r="D926" s="10"/>
      <c r="E926" s="10"/>
      <c r="F926" s="10"/>
      <c r="G926" s="9"/>
      <c r="H926" s="9"/>
      <c r="I926" s="9"/>
      <c r="J926" s="9"/>
      <c r="K926" s="8" t="s">
        <v>1188</v>
      </c>
    </row>
    <row r="927" spans="1:11" ht="15.5" x14ac:dyDescent="0.35">
      <c r="A927" s="10"/>
      <c r="B927" s="10"/>
      <c r="C927" s="10"/>
      <c r="D927" s="10"/>
      <c r="E927" s="10"/>
      <c r="F927" s="10"/>
      <c r="G927" s="11" t="s">
        <v>1187</v>
      </c>
      <c r="H927" s="11" t="s">
        <v>1186</v>
      </c>
      <c r="I927" s="14" t="s">
        <v>120</v>
      </c>
      <c r="J927" s="11" t="s">
        <v>1185</v>
      </c>
      <c r="K927" s="8" t="s">
        <v>1184</v>
      </c>
    </row>
    <row r="928" spans="1:11" ht="15.5" x14ac:dyDescent="0.35">
      <c r="A928" s="10"/>
      <c r="B928" s="10"/>
      <c r="C928" s="10"/>
      <c r="D928" s="9"/>
      <c r="E928" s="9"/>
      <c r="F928" s="9"/>
      <c r="G928" s="9"/>
      <c r="H928" s="9"/>
      <c r="I928" s="9"/>
      <c r="J928" s="9"/>
      <c r="K928" s="8" t="s">
        <v>1183</v>
      </c>
    </row>
    <row r="929" spans="1:11" ht="15.5" x14ac:dyDescent="0.35">
      <c r="A929" s="10"/>
      <c r="B929" s="10"/>
      <c r="C929" s="10"/>
      <c r="D929" s="11" t="s">
        <v>1182</v>
      </c>
      <c r="E929" s="11" t="s">
        <v>1181</v>
      </c>
      <c r="F929" s="11" t="s">
        <v>244</v>
      </c>
      <c r="G929" s="11" t="s">
        <v>1180</v>
      </c>
      <c r="H929" s="11" t="s">
        <v>1179</v>
      </c>
      <c r="I929" s="14" t="s">
        <v>120</v>
      </c>
      <c r="J929" s="11" t="s">
        <v>1178</v>
      </c>
      <c r="K929" s="8" t="s">
        <v>1177</v>
      </c>
    </row>
    <row r="930" spans="1:11" ht="15.5" x14ac:dyDescent="0.35">
      <c r="A930" s="10"/>
      <c r="B930" s="10"/>
      <c r="C930" s="10"/>
      <c r="D930" s="10"/>
      <c r="E930" s="10"/>
      <c r="F930" s="10"/>
      <c r="G930" s="9"/>
      <c r="H930" s="9"/>
      <c r="I930" s="9"/>
      <c r="J930" s="9"/>
      <c r="K930" s="8" t="s">
        <v>1176</v>
      </c>
    </row>
    <row r="931" spans="1:11" ht="15.5" x14ac:dyDescent="0.35">
      <c r="A931" s="10"/>
      <c r="B931" s="10"/>
      <c r="C931" s="10"/>
      <c r="D931" s="10"/>
      <c r="E931" s="10"/>
      <c r="F931" s="10"/>
      <c r="G931" s="11" t="s">
        <v>1175</v>
      </c>
      <c r="H931" s="11" t="s">
        <v>1174</v>
      </c>
      <c r="I931" s="14" t="s">
        <v>120</v>
      </c>
      <c r="J931" s="11" t="s">
        <v>1173</v>
      </c>
      <c r="K931" s="8" t="s">
        <v>1172</v>
      </c>
    </row>
    <row r="932" spans="1:11" ht="15.5" x14ac:dyDescent="0.35">
      <c r="A932" s="10"/>
      <c r="B932" s="10"/>
      <c r="C932" s="9"/>
      <c r="D932" s="9"/>
      <c r="E932" s="9"/>
      <c r="F932" s="9"/>
      <c r="G932" s="9"/>
      <c r="H932" s="9"/>
      <c r="I932" s="9"/>
      <c r="J932" s="9"/>
      <c r="K932" s="8" t="s">
        <v>1171</v>
      </c>
    </row>
    <row r="933" spans="1:11" ht="15.5" x14ac:dyDescent="0.35">
      <c r="A933" s="10"/>
      <c r="B933" s="10"/>
      <c r="C933" s="13" t="s">
        <v>1170</v>
      </c>
      <c r="D933" s="11" t="s">
        <v>814</v>
      </c>
      <c r="E933" s="11" t="s">
        <v>1169</v>
      </c>
      <c r="F933" s="11" t="s">
        <v>244</v>
      </c>
      <c r="G933" s="11" t="s">
        <v>1168</v>
      </c>
      <c r="H933" s="11" t="s">
        <v>1167</v>
      </c>
      <c r="I933" s="14" t="s">
        <v>120</v>
      </c>
      <c r="J933" s="11" t="s">
        <v>1166</v>
      </c>
      <c r="K933" s="8" t="s">
        <v>1165</v>
      </c>
    </row>
    <row r="934" spans="1:11" ht="15.5" x14ac:dyDescent="0.35">
      <c r="A934" s="10"/>
      <c r="B934" s="10"/>
      <c r="C934" s="10"/>
      <c r="D934" s="10"/>
      <c r="E934" s="10"/>
      <c r="F934" s="10"/>
      <c r="G934" s="9"/>
      <c r="H934" s="9"/>
      <c r="I934" s="9"/>
      <c r="J934" s="9"/>
      <c r="K934" s="8" t="s">
        <v>1164</v>
      </c>
    </row>
    <row r="935" spans="1:11" ht="15.5" x14ac:dyDescent="0.35">
      <c r="A935" s="10"/>
      <c r="B935" s="10"/>
      <c r="C935" s="10"/>
      <c r="D935" s="10"/>
      <c r="E935" s="10"/>
      <c r="F935" s="10"/>
      <c r="G935" s="11" t="s">
        <v>1163</v>
      </c>
      <c r="H935" s="11" t="s">
        <v>1162</v>
      </c>
      <c r="I935" s="14" t="s">
        <v>120</v>
      </c>
      <c r="J935" s="11" t="s">
        <v>1161</v>
      </c>
      <c r="K935" s="8" t="s">
        <v>1160</v>
      </c>
    </row>
    <row r="936" spans="1:11" ht="15.5" x14ac:dyDescent="0.35">
      <c r="A936" s="10"/>
      <c r="B936" s="10"/>
      <c r="C936" s="10"/>
      <c r="D936" s="9"/>
      <c r="E936" s="9"/>
      <c r="F936" s="9"/>
      <c r="G936" s="9"/>
      <c r="H936" s="9"/>
      <c r="I936" s="9"/>
      <c r="J936" s="9"/>
      <c r="K936" s="8" t="s">
        <v>1159</v>
      </c>
    </row>
    <row r="937" spans="1:11" ht="15.5" x14ac:dyDescent="0.35">
      <c r="A937" s="10"/>
      <c r="B937" s="10"/>
      <c r="C937" s="10"/>
      <c r="D937" s="11" t="s">
        <v>804</v>
      </c>
      <c r="E937" s="11" t="s">
        <v>1158</v>
      </c>
      <c r="F937" s="11" t="s">
        <v>65</v>
      </c>
      <c r="G937" s="11" t="s">
        <v>1157</v>
      </c>
      <c r="H937" s="11" t="s">
        <v>1156</v>
      </c>
      <c r="I937" s="14" t="s">
        <v>120</v>
      </c>
      <c r="J937" s="11" t="s">
        <v>1155</v>
      </c>
      <c r="K937" s="8" t="s">
        <v>1154</v>
      </c>
    </row>
    <row r="938" spans="1:11" ht="15.5" x14ac:dyDescent="0.35">
      <c r="A938" s="10"/>
      <c r="B938" s="10"/>
      <c r="C938" s="10"/>
      <c r="D938" s="10"/>
      <c r="E938" s="10"/>
      <c r="F938" s="10"/>
      <c r="G938" s="9"/>
      <c r="H938" s="9"/>
      <c r="I938" s="9"/>
      <c r="J938" s="9"/>
      <c r="K938" s="8" t="s">
        <v>1153</v>
      </c>
    </row>
    <row r="939" spans="1:11" ht="15.5" x14ac:dyDescent="0.35">
      <c r="A939" s="10"/>
      <c r="B939" s="10"/>
      <c r="C939" s="10"/>
      <c r="D939" s="10"/>
      <c r="E939" s="10"/>
      <c r="F939" s="10"/>
      <c r="G939" s="11" t="s">
        <v>1152</v>
      </c>
      <c r="H939" s="11" t="s">
        <v>1151</v>
      </c>
      <c r="I939" s="14" t="s">
        <v>120</v>
      </c>
      <c r="J939" s="11" t="s">
        <v>1150</v>
      </c>
      <c r="K939" s="8" t="s">
        <v>1149</v>
      </c>
    </row>
    <row r="940" spans="1:11" ht="15.5" x14ac:dyDescent="0.35">
      <c r="A940" s="10"/>
      <c r="B940" s="10"/>
      <c r="C940" s="10"/>
      <c r="D940" s="9"/>
      <c r="E940" s="9"/>
      <c r="F940" s="9"/>
      <c r="G940" s="9"/>
      <c r="H940" s="9"/>
      <c r="I940" s="9"/>
      <c r="J940" s="9"/>
      <c r="K940" s="8" t="s">
        <v>1148</v>
      </c>
    </row>
    <row r="941" spans="1:11" ht="15.5" x14ac:dyDescent="0.35">
      <c r="A941" s="10"/>
      <c r="B941" s="10"/>
      <c r="C941" s="10"/>
      <c r="D941" s="11" t="s">
        <v>792</v>
      </c>
      <c r="E941" s="11" t="s">
        <v>1147</v>
      </c>
      <c r="F941" s="11" t="s">
        <v>244</v>
      </c>
      <c r="G941" s="11" t="s">
        <v>1146</v>
      </c>
      <c r="H941" s="11" t="s">
        <v>1145</v>
      </c>
      <c r="I941" s="14" t="s">
        <v>120</v>
      </c>
      <c r="J941" s="11" t="s">
        <v>1144</v>
      </c>
      <c r="K941" s="8" t="s">
        <v>1143</v>
      </c>
    </row>
    <row r="942" spans="1:11" ht="15.5" x14ac:dyDescent="0.35">
      <c r="A942" s="10"/>
      <c r="B942" s="10"/>
      <c r="C942" s="10"/>
      <c r="D942" s="10"/>
      <c r="E942" s="10"/>
      <c r="F942" s="10"/>
      <c r="G942" s="9"/>
      <c r="H942" s="9"/>
      <c r="I942" s="9"/>
      <c r="J942" s="9"/>
      <c r="K942" s="8" t="s">
        <v>1142</v>
      </c>
    </row>
    <row r="943" spans="1:11" ht="15.5" x14ac:dyDescent="0.35">
      <c r="A943" s="10"/>
      <c r="B943" s="10"/>
      <c r="C943" s="10"/>
      <c r="D943" s="10"/>
      <c r="E943" s="10"/>
      <c r="F943" s="10"/>
      <c r="G943" s="11" t="s">
        <v>1141</v>
      </c>
      <c r="H943" s="11" t="s">
        <v>1140</v>
      </c>
      <c r="I943" s="14" t="s">
        <v>120</v>
      </c>
      <c r="J943" s="11" t="s">
        <v>1139</v>
      </c>
      <c r="K943" s="8" t="s">
        <v>1138</v>
      </c>
    </row>
    <row r="944" spans="1:11" ht="15.5" x14ac:dyDescent="0.35">
      <c r="A944" s="10"/>
      <c r="B944" s="10"/>
      <c r="C944" s="10"/>
      <c r="D944" s="9"/>
      <c r="E944" s="9"/>
      <c r="F944" s="9"/>
      <c r="G944" s="9"/>
      <c r="H944" s="9"/>
      <c r="I944" s="9"/>
      <c r="J944" s="9"/>
      <c r="K944" s="8" t="s">
        <v>1137</v>
      </c>
    </row>
    <row r="945" spans="1:11" ht="15.5" x14ac:dyDescent="0.35">
      <c r="A945" s="10"/>
      <c r="B945" s="10"/>
      <c r="C945" s="10"/>
      <c r="D945" s="11" t="s">
        <v>782</v>
      </c>
      <c r="E945" s="11" t="s">
        <v>1136</v>
      </c>
      <c r="F945" s="11" t="s">
        <v>244</v>
      </c>
      <c r="G945" s="11" t="s">
        <v>1135</v>
      </c>
      <c r="H945" s="11" t="s">
        <v>1134</v>
      </c>
      <c r="I945" s="14" t="s">
        <v>120</v>
      </c>
      <c r="J945" s="11" t="s">
        <v>1133</v>
      </c>
      <c r="K945" s="8" t="s">
        <v>694</v>
      </c>
    </row>
    <row r="946" spans="1:11" ht="15.5" x14ac:dyDescent="0.35">
      <c r="A946" s="10"/>
      <c r="B946" s="10"/>
      <c r="C946" s="10"/>
      <c r="D946" s="10"/>
      <c r="E946" s="10"/>
      <c r="F946" s="10"/>
      <c r="G946" s="9"/>
      <c r="H946" s="9"/>
      <c r="I946" s="9"/>
      <c r="J946" s="9"/>
      <c r="K946" s="8" t="s">
        <v>1132</v>
      </c>
    </row>
    <row r="947" spans="1:11" ht="15.5" x14ac:dyDescent="0.35">
      <c r="A947" s="10"/>
      <c r="B947" s="10"/>
      <c r="C947" s="10"/>
      <c r="D947" s="10"/>
      <c r="E947" s="10"/>
      <c r="F947" s="10"/>
      <c r="G947" s="11" t="s">
        <v>1131</v>
      </c>
      <c r="H947" s="11" t="s">
        <v>1130</v>
      </c>
      <c r="I947" s="14" t="s">
        <v>120</v>
      </c>
      <c r="J947" s="11" t="s">
        <v>1129</v>
      </c>
      <c r="K947" s="8" t="s">
        <v>1128</v>
      </c>
    </row>
    <row r="948" spans="1:11" ht="15.5" x14ac:dyDescent="0.35">
      <c r="A948" s="10"/>
      <c r="B948" s="10"/>
      <c r="C948" s="10"/>
      <c r="D948" s="9"/>
      <c r="E948" s="9"/>
      <c r="F948" s="9"/>
      <c r="G948" s="9"/>
      <c r="H948" s="9"/>
      <c r="I948" s="9"/>
      <c r="J948" s="9"/>
      <c r="K948" s="8" t="s">
        <v>1127</v>
      </c>
    </row>
    <row r="949" spans="1:11" ht="15.5" x14ac:dyDescent="0.35">
      <c r="A949" s="10"/>
      <c r="B949" s="10"/>
      <c r="C949" s="10"/>
      <c r="D949" s="11" t="s">
        <v>772</v>
      </c>
      <c r="E949" s="11" t="s">
        <v>1126</v>
      </c>
      <c r="F949" s="11" t="s">
        <v>244</v>
      </c>
      <c r="G949" s="11" t="s">
        <v>1125</v>
      </c>
      <c r="H949" s="11" t="s">
        <v>1124</v>
      </c>
      <c r="I949" s="14" t="s">
        <v>120</v>
      </c>
      <c r="J949" s="11" t="s">
        <v>1123</v>
      </c>
      <c r="K949" s="8" t="s">
        <v>1122</v>
      </c>
    </row>
    <row r="950" spans="1:11" ht="15.5" x14ac:dyDescent="0.35">
      <c r="A950" s="10"/>
      <c r="B950" s="10"/>
      <c r="C950" s="10"/>
      <c r="D950" s="10"/>
      <c r="E950" s="10"/>
      <c r="F950" s="10"/>
      <c r="G950" s="9"/>
      <c r="H950" s="9"/>
      <c r="I950" s="9"/>
      <c r="J950" s="9"/>
      <c r="K950" s="8" t="s">
        <v>1121</v>
      </c>
    </row>
    <row r="951" spans="1:11" ht="15.5" x14ac:dyDescent="0.35">
      <c r="A951" s="10"/>
      <c r="B951" s="10"/>
      <c r="C951" s="10"/>
      <c r="D951" s="10"/>
      <c r="E951" s="10"/>
      <c r="F951" s="10"/>
      <c r="G951" s="11" t="s">
        <v>1120</v>
      </c>
      <c r="H951" s="11" t="s">
        <v>1119</v>
      </c>
      <c r="I951" s="14" t="s">
        <v>120</v>
      </c>
      <c r="J951" s="11" t="s">
        <v>1118</v>
      </c>
      <c r="K951" s="8" t="s">
        <v>1117</v>
      </c>
    </row>
    <row r="952" spans="1:11" ht="15.5" x14ac:dyDescent="0.35">
      <c r="A952" s="10"/>
      <c r="B952" s="9"/>
      <c r="C952" s="9"/>
      <c r="D952" s="9"/>
      <c r="E952" s="9"/>
      <c r="F952" s="9"/>
      <c r="G952" s="9"/>
      <c r="H952" s="9"/>
      <c r="I952" s="9"/>
      <c r="J952" s="9"/>
      <c r="K952" s="8" t="s">
        <v>1116</v>
      </c>
    </row>
    <row r="953" spans="1:11" ht="15.5" x14ac:dyDescent="0.35">
      <c r="A953" s="10"/>
      <c r="B953" s="20" t="s">
        <v>1115</v>
      </c>
      <c r="C953" s="13" t="s">
        <v>1114</v>
      </c>
      <c r="D953" s="11" t="s">
        <v>1113</v>
      </c>
      <c r="E953" s="11" t="s">
        <v>1112</v>
      </c>
      <c r="F953" s="11" t="s">
        <v>244</v>
      </c>
      <c r="G953" s="11" t="s">
        <v>1111</v>
      </c>
      <c r="H953" s="11" t="s">
        <v>1110</v>
      </c>
      <c r="I953" s="14" t="s">
        <v>120</v>
      </c>
      <c r="J953" s="11" t="s">
        <v>1109</v>
      </c>
      <c r="K953" s="8" t="s">
        <v>1108</v>
      </c>
    </row>
    <row r="954" spans="1:11" ht="15.5" x14ac:dyDescent="0.35">
      <c r="A954" s="10"/>
      <c r="B954" s="10"/>
      <c r="C954" s="10"/>
      <c r="D954" s="10"/>
      <c r="E954" s="10"/>
      <c r="F954" s="10"/>
      <c r="G954" s="9"/>
      <c r="H954" s="9"/>
      <c r="I954" s="9"/>
      <c r="J954" s="9"/>
      <c r="K954" s="8" t="s">
        <v>1107</v>
      </c>
    </row>
    <row r="955" spans="1:11" ht="15.5" x14ac:dyDescent="0.35">
      <c r="A955" s="10"/>
      <c r="B955" s="10"/>
      <c r="C955" s="10"/>
      <c r="D955" s="10"/>
      <c r="E955" s="10"/>
      <c r="F955" s="10"/>
      <c r="G955" s="11" t="s">
        <v>1106</v>
      </c>
      <c r="H955" s="11" t="s">
        <v>1105</v>
      </c>
      <c r="I955" s="14" t="s">
        <v>120</v>
      </c>
      <c r="J955" s="11" t="s">
        <v>1104</v>
      </c>
      <c r="K955" s="8" t="s">
        <v>1103</v>
      </c>
    </row>
    <row r="956" spans="1:11" ht="15.5" x14ac:dyDescent="0.35">
      <c r="A956" s="10"/>
      <c r="B956" s="10"/>
      <c r="C956" s="10"/>
      <c r="D956" s="9"/>
      <c r="E956" s="9"/>
      <c r="F956" s="9"/>
      <c r="G956" s="9"/>
      <c r="H956" s="9"/>
      <c r="I956" s="9"/>
      <c r="J956" s="9"/>
      <c r="K956" s="8" t="s">
        <v>1102</v>
      </c>
    </row>
    <row r="957" spans="1:11" ht="15.5" x14ac:dyDescent="0.35">
      <c r="A957" s="10"/>
      <c r="B957" s="10"/>
      <c r="C957" s="10"/>
      <c r="D957" s="11" t="s">
        <v>1101</v>
      </c>
      <c r="E957" s="11" t="s">
        <v>1100</v>
      </c>
      <c r="F957" s="11" t="s">
        <v>244</v>
      </c>
      <c r="G957" s="11" t="s">
        <v>1099</v>
      </c>
      <c r="H957" s="11" t="s">
        <v>1098</v>
      </c>
      <c r="I957" s="14" t="s">
        <v>120</v>
      </c>
      <c r="J957" s="11" t="s">
        <v>1097</v>
      </c>
      <c r="K957" s="8" t="s">
        <v>1096</v>
      </c>
    </row>
    <row r="958" spans="1:11" ht="15.5" x14ac:dyDescent="0.35">
      <c r="A958" s="10"/>
      <c r="B958" s="10"/>
      <c r="C958" s="10"/>
      <c r="D958" s="10"/>
      <c r="E958" s="10"/>
      <c r="F958" s="10"/>
      <c r="G958" s="9"/>
      <c r="H958" s="9"/>
      <c r="I958" s="9"/>
      <c r="J958" s="9"/>
      <c r="K958" s="8" t="s">
        <v>1095</v>
      </c>
    </row>
    <row r="959" spans="1:11" ht="15.5" x14ac:dyDescent="0.35">
      <c r="A959" s="10"/>
      <c r="B959" s="10"/>
      <c r="C959" s="10"/>
      <c r="D959" s="10"/>
      <c r="E959" s="10"/>
      <c r="F959" s="10"/>
      <c r="G959" s="11" t="s">
        <v>1094</v>
      </c>
      <c r="H959" s="11" t="s">
        <v>1093</v>
      </c>
      <c r="I959" s="12" t="s">
        <v>58</v>
      </c>
      <c r="J959" s="11" t="s">
        <v>1092</v>
      </c>
      <c r="K959" s="8" t="s">
        <v>1091</v>
      </c>
    </row>
    <row r="960" spans="1:11" ht="15.5" x14ac:dyDescent="0.35">
      <c r="A960" s="10"/>
      <c r="B960" s="10"/>
      <c r="C960" s="10"/>
      <c r="D960" s="9"/>
      <c r="E960" s="9"/>
      <c r="F960" s="9"/>
      <c r="G960" s="9"/>
      <c r="H960" s="9"/>
      <c r="I960" s="10"/>
      <c r="J960" s="9"/>
      <c r="K960" s="8" t="s">
        <v>1090</v>
      </c>
    </row>
    <row r="961" spans="1:11" ht="15.5" x14ac:dyDescent="0.35">
      <c r="A961" s="10"/>
      <c r="B961" s="10"/>
      <c r="C961" s="10"/>
      <c r="D961" s="11" t="s">
        <v>1089</v>
      </c>
      <c r="E961" s="11" t="s">
        <v>1088</v>
      </c>
      <c r="F961" s="11" t="s">
        <v>244</v>
      </c>
      <c r="G961" s="11" t="s">
        <v>1087</v>
      </c>
      <c r="H961" s="11" t="s">
        <v>1086</v>
      </c>
      <c r="I961" s="12" t="s">
        <v>58</v>
      </c>
      <c r="J961" s="11" t="s">
        <v>1085</v>
      </c>
      <c r="K961" s="8" t="s">
        <v>1084</v>
      </c>
    </row>
    <row r="962" spans="1:11" ht="15.5" x14ac:dyDescent="0.35">
      <c r="A962" s="10"/>
      <c r="B962" s="10"/>
      <c r="C962" s="10"/>
      <c r="D962" s="10"/>
      <c r="E962" s="10"/>
      <c r="F962" s="10"/>
      <c r="G962" s="9"/>
      <c r="H962" s="9"/>
      <c r="I962" s="10"/>
      <c r="J962" s="9"/>
      <c r="K962" s="8" t="s">
        <v>1083</v>
      </c>
    </row>
    <row r="963" spans="1:11" ht="15.5" x14ac:dyDescent="0.35">
      <c r="A963" s="10"/>
      <c r="B963" s="10"/>
      <c r="C963" s="10"/>
      <c r="D963" s="10"/>
      <c r="E963" s="10"/>
      <c r="F963" s="10"/>
      <c r="G963" s="11" t="s">
        <v>1082</v>
      </c>
      <c r="H963" s="11" t="s">
        <v>1081</v>
      </c>
      <c r="I963" s="14" t="s">
        <v>120</v>
      </c>
      <c r="J963" s="11" t="s">
        <v>1080</v>
      </c>
      <c r="K963" s="8" t="s">
        <v>1079</v>
      </c>
    </row>
    <row r="964" spans="1:11" ht="15.5" x14ac:dyDescent="0.35">
      <c r="A964" s="10"/>
      <c r="B964" s="10"/>
      <c r="C964" s="10"/>
      <c r="D964" s="9"/>
      <c r="E964" s="9"/>
      <c r="F964" s="9"/>
      <c r="G964" s="9"/>
      <c r="H964" s="9"/>
      <c r="I964" s="10"/>
      <c r="J964" s="9"/>
      <c r="K964" s="8" t="s">
        <v>1078</v>
      </c>
    </row>
    <row r="965" spans="1:11" ht="15.5" x14ac:dyDescent="0.35">
      <c r="A965" s="10"/>
      <c r="B965" s="10"/>
      <c r="C965" s="10"/>
      <c r="D965" s="11" t="s">
        <v>1077</v>
      </c>
      <c r="E965" s="11" t="s">
        <v>1076</v>
      </c>
      <c r="F965" s="11" t="s">
        <v>244</v>
      </c>
      <c r="G965" s="11" t="s">
        <v>1075</v>
      </c>
      <c r="H965" s="11" t="s">
        <v>1074</v>
      </c>
      <c r="I965" s="14" t="s">
        <v>120</v>
      </c>
      <c r="J965" s="11" t="s">
        <v>1073</v>
      </c>
      <c r="K965" s="8" t="s">
        <v>1072</v>
      </c>
    </row>
    <row r="966" spans="1:11" ht="15.5" x14ac:dyDescent="0.35">
      <c r="A966" s="10"/>
      <c r="B966" s="10"/>
      <c r="C966" s="10"/>
      <c r="D966" s="10"/>
      <c r="E966" s="10"/>
      <c r="F966" s="10"/>
      <c r="G966" s="9"/>
      <c r="H966" s="9"/>
      <c r="I966" s="10"/>
      <c r="J966" s="9"/>
      <c r="K966" s="8" t="s">
        <v>1071</v>
      </c>
    </row>
    <row r="967" spans="1:11" ht="15.5" x14ac:dyDescent="0.35">
      <c r="A967" s="10"/>
      <c r="B967" s="10"/>
      <c r="C967" s="10"/>
      <c r="D967" s="10"/>
      <c r="E967" s="10"/>
      <c r="F967" s="10"/>
      <c r="G967" s="11" t="s">
        <v>1070</v>
      </c>
      <c r="H967" s="11" t="s">
        <v>1069</v>
      </c>
      <c r="I967" s="14" t="s">
        <v>120</v>
      </c>
      <c r="J967" s="11" t="s">
        <v>1068</v>
      </c>
      <c r="K967" s="8" t="s">
        <v>1067</v>
      </c>
    </row>
    <row r="968" spans="1:11" ht="15.5" x14ac:dyDescent="0.35">
      <c r="A968" s="10"/>
      <c r="B968" s="10"/>
      <c r="C968" s="10"/>
      <c r="D968" s="9"/>
      <c r="E968" s="9"/>
      <c r="F968" s="9"/>
      <c r="G968" s="9"/>
      <c r="H968" s="9"/>
      <c r="I968" s="10"/>
      <c r="J968" s="9"/>
      <c r="K968" s="8" t="s">
        <v>1066</v>
      </c>
    </row>
    <row r="969" spans="1:11" ht="15.5" x14ac:dyDescent="0.35">
      <c r="A969" s="10"/>
      <c r="B969" s="10"/>
      <c r="C969" s="10"/>
      <c r="D969" s="11" t="s">
        <v>1065</v>
      </c>
      <c r="E969" s="11" t="s">
        <v>1064</v>
      </c>
      <c r="F969" s="11" t="s">
        <v>244</v>
      </c>
      <c r="G969" s="11" t="s">
        <v>1063</v>
      </c>
      <c r="H969" s="11" t="s">
        <v>1062</v>
      </c>
      <c r="I969" s="14" t="s">
        <v>120</v>
      </c>
      <c r="J969" s="11" t="s">
        <v>1061</v>
      </c>
      <c r="K969" s="8" t="s">
        <v>1060</v>
      </c>
    </row>
    <row r="970" spans="1:11" ht="15.5" x14ac:dyDescent="0.35">
      <c r="A970" s="10"/>
      <c r="B970" s="10"/>
      <c r="C970" s="10"/>
      <c r="D970" s="10"/>
      <c r="E970" s="10"/>
      <c r="F970" s="10"/>
      <c r="G970" s="9"/>
      <c r="H970" s="9"/>
      <c r="I970" s="10"/>
      <c r="J970" s="9"/>
      <c r="K970" s="8" t="s">
        <v>1059</v>
      </c>
    </row>
    <row r="971" spans="1:11" ht="15.5" x14ac:dyDescent="0.35">
      <c r="A971" s="10"/>
      <c r="B971" s="10"/>
      <c r="C971" s="10"/>
      <c r="D971" s="10"/>
      <c r="E971" s="10"/>
      <c r="F971" s="10"/>
      <c r="G971" s="11" t="s">
        <v>1058</v>
      </c>
      <c r="H971" s="11" t="s">
        <v>1057</v>
      </c>
      <c r="I971" s="15" t="s">
        <v>250</v>
      </c>
      <c r="J971" s="11" t="s">
        <v>1056</v>
      </c>
      <c r="K971" s="8" t="s">
        <v>1055</v>
      </c>
    </row>
    <row r="972" spans="1:11" ht="15.5" x14ac:dyDescent="0.35">
      <c r="A972" s="10"/>
      <c r="B972" s="10"/>
      <c r="C972" s="9"/>
      <c r="D972" s="9"/>
      <c r="E972" s="9"/>
      <c r="F972" s="9"/>
      <c r="G972" s="9"/>
      <c r="H972" s="9"/>
      <c r="I972" s="9"/>
      <c r="J972" s="9"/>
      <c r="K972" s="8" t="s">
        <v>1054</v>
      </c>
    </row>
    <row r="973" spans="1:11" ht="15.5" x14ac:dyDescent="0.35">
      <c r="A973" s="10"/>
      <c r="B973" s="10"/>
      <c r="C973" s="13" t="s">
        <v>1053</v>
      </c>
      <c r="D973" s="11" t="s">
        <v>1052</v>
      </c>
      <c r="E973" s="11" t="s">
        <v>1051</v>
      </c>
      <c r="F973" s="11" t="s">
        <v>244</v>
      </c>
      <c r="G973" s="11" t="s">
        <v>1050</v>
      </c>
      <c r="H973" s="11" t="s">
        <v>1049</v>
      </c>
      <c r="I973" s="14" t="s">
        <v>120</v>
      </c>
      <c r="J973" s="11" t="s">
        <v>1048</v>
      </c>
      <c r="K973" s="8" t="s">
        <v>1047</v>
      </c>
    </row>
    <row r="974" spans="1:11" ht="15.5" x14ac:dyDescent="0.35">
      <c r="A974" s="10"/>
      <c r="B974" s="10"/>
      <c r="C974" s="10"/>
      <c r="D974" s="10"/>
      <c r="E974" s="10"/>
      <c r="F974" s="10"/>
      <c r="G974" s="9"/>
      <c r="H974" s="9"/>
      <c r="I974" s="9"/>
      <c r="J974" s="9"/>
      <c r="K974" s="8" t="s">
        <v>1046</v>
      </c>
    </row>
    <row r="975" spans="1:11" ht="15.5" x14ac:dyDescent="0.35">
      <c r="A975" s="10"/>
      <c r="B975" s="10"/>
      <c r="C975" s="10"/>
      <c r="D975" s="10"/>
      <c r="E975" s="10"/>
      <c r="F975" s="10"/>
      <c r="G975" s="11" t="s">
        <v>1045</v>
      </c>
      <c r="H975" s="11" t="s">
        <v>1044</v>
      </c>
      <c r="I975" s="12" t="s">
        <v>58</v>
      </c>
      <c r="J975" s="11" t="s">
        <v>1043</v>
      </c>
      <c r="K975" s="8" t="s">
        <v>1042</v>
      </c>
    </row>
    <row r="976" spans="1:11" ht="15.5" x14ac:dyDescent="0.35">
      <c r="A976" s="10"/>
      <c r="B976" s="10"/>
      <c r="C976" s="10"/>
      <c r="D976" s="9"/>
      <c r="E976" s="9"/>
      <c r="F976" s="9"/>
      <c r="G976" s="9"/>
      <c r="H976" s="9"/>
      <c r="I976" s="9"/>
      <c r="J976" s="9"/>
      <c r="K976" s="8" t="s">
        <v>1041</v>
      </c>
    </row>
    <row r="977" spans="1:11" ht="15.5" x14ac:dyDescent="0.35">
      <c r="A977" s="10"/>
      <c r="B977" s="10"/>
      <c r="C977" s="10"/>
      <c r="D977" s="11" t="s">
        <v>1040</v>
      </c>
      <c r="E977" s="11" t="s">
        <v>1039</v>
      </c>
      <c r="F977" s="11" t="s">
        <v>244</v>
      </c>
      <c r="G977" s="11" t="s">
        <v>1038</v>
      </c>
      <c r="H977" s="11" t="s">
        <v>1037</v>
      </c>
      <c r="I977" s="12" t="s">
        <v>58</v>
      </c>
      <c r="J977" s="11" t="s">
        <v>1036</v>
      </c>
      <c r="K977" s="8" t="s">
        <v>1035</v>
      </c>
    </row>
    <row r="978" spans="1:11" ht="15.5" x14ac:dyDescent="0.35">
      <c r="A978" s="10"/>
      <c r="B978" s="10"/>
      <c r="C978" s="10"/>
      <c r="D978" s="10"/>
      <c r="E978" s="10"/>
      <c r="F978" s="10"/>
      <c r="G978" s="9"/>
      <c r="H978" s="9"/>
      <c r="I978" s="9"/>
      <c r="J978" s="9"/>
      <c r="K978" s="8" t="s">
        <v>1034</v>
      </c>
    </row>
    <row r="979" spans="1:11" ht="15.5" x14ac:dyDescent="0.35">
      <c r="A979" s="10"/>
      <c r="B979" s="10"/>
      <c r="C979" s="10"/>
      <c r="D979" s="10"/>
      <c r="E979" s="10"/>
      <c r="F979" s="10"/>
      <c r="G979" s="11" t="s">
        <v>1033</v>
      </c>
      <c r="H979" s="11" t="s">
        <v>1032</v>
      </c>
      <c r="I979" s="12" t="s">
        <v>58</v>
      </c>
      <c r="J979" s="11" t="s">
        <v>1031</v>
      </c>
      <c r="K979" s="8" t="s">
        <v>1030</v>
      </c>
    </row>
    <row r="980" spans="1:11" ht="15.5" x14ac:dyDescent="0.35">
      <c r="A980" s="10"/>
      <c r="B980" s="10"/>
      <c r="C980" s="10"/>
      <c r="D980" s="9"/>
      <c r="E980" s="9"/>
      <c r="F980" s="9"/>
      <c r="G980" s="9"/>
      <c r="H980" s="9"/>
      <c r="I980" s="9"/>
      <c r="J980" s="9"/>
      <c r="K980" s="8" t="s">
        <v>1029</v>
      </c>
    </row>
    <row r="981" spans="1:11" ht="15.5" x14ac:dyDescent="0.35">
      <c r="A981" s="10"/>
      <c r="B981" s="10"/>
      <c r="C981" s="10"/>
      <c r="D981" s="11" t="s">
        <v>1028</v>
      </c>
      <c r="E981" s="11" t="s">
        <v>1027</v>
      </c>
      <c r="F981" s="11" t="s">
        <v>244</v>
      </c>
      <c r="G981" s="11" t="s">
        <v>1026</v>
      </c>
      <c r="H981" s="11" t="s">
        <v>1025</v>
      </c>
      <c r="I981" s="12" t="s">
        <v>58</v>
      </c>
      <c r="J981" s="11" t="s">
        <v>1024</v>
      </c>
      <c r="K981" s="8" t="s">
        <v>1023</v>
      </c>
    </row>
    <row r="982" spans="1:11" ht="15.5" x14ac:dyDescent="0.35">
      <c r="A982" s="10"/>
      <c r="B982" s="10"/>
      <c r="C982" s="10"/>
      <c r="D982" s="10"/>
      <c r="E982" s="10"/>
      <c r="F982" s="10"/>
      <c r="G982" s="9"/>
      <c r="H982" s="9"/>
      <c r="I982" s="9"/>
      <c r="J982" s="9"/>
      <c r="K982" s="8" t="s">
        <v>1022</v>
      </c>
    </row>
    <row r="983" spans="1:11" ht="15.5" x14ac:dyDescent="0.35">
      <c r="A983" s="10"/>
      <c r="B983" s="10"/>
      <c r="C983" s="10"/>
      <c r="D983" s="10"/>
      <c r="E983" s="10"/>
      <c r="F983" s="10"/>
      <c r="G983" s="11" t="s">
        <v>1021</v>
      </c>
      <c r="H983" s="11" t="s">
        <v>1020</v>
      </c>
      <c r="I983" s="12" t="s">
        <v>58</v>
      </c>
      <c r="J983" s="11" t="s">
        <v>1019</v>
      </c>
      <c r="K983" s="8" t="s">
        <v>1018</v>
      </c>
    </row>
    <row r="984" spans="1:11" ht="15.5" x14ac:dyDescent="0.35">
      <c r="A984" s="10"/>
      <c r="B984" s="10"/>
      <c r="C984" s="10"/>
      <c r="D984" s="9"/>
      <c r="E984" s="9"/>
      <c r="F984" s="9"/>
      <c r="G984" s="9"/>
      <c r="H984" s="9"/>
      <c r="I984" s="9"/>
      <c r="J984" s="9"/>
      <c r="K984" s="8" t="s">
        <v>1017</v>
      </c>
    </row>
    <row r="985" spans="1:11" ht="15.5" x14ac:dyDescent="0.35">
      <c r="A985" s="10"/>
      <c r="B985" s="10"/>
      <c r="C985" s="10"/>
      <c r="D985" s="11" t="s">
        <v>1016</v>
      </c>
      <c r="E985" s="11" t="s">
        <v>1015</v>
      </c>
      <c r="F985" s="11" t="s">
        <v>244</v>
      </c>
      <c r="G985" s="11" t="s">
        <v>1014</v>
      </c>
      <c r="H985" s="11" t="s">
        <v>1013</v>
      </c>
      <c r="I985" s="12" t="s">
        <v>58</v>
      </c>
      <c r="J985" s="11" t="s">
        <v>1012</v>
      </c>
      <c r="K985" s="8" t="s">
        <v>502</v>
      </c>
    </row>
    <row r="986" spans="1:11" ht="15.5" x14ac:dyDescent="0.35">
      <c r="A986" s="10"/>
      <c r="B986" s="10"/>
      <c r="C986" s="10"/>
      <c r="D986" s="10"/>
      <c r="E986" s="10"/>
      <c r="F986" s="10"/>
      <c r="G986" s="9"/>
      <c r="H986" s="9"/>
      <c r="I986" s="9"/>
      <c r="J986" s="9"/>
      <c r="K986" s="8" t="s">
        <v>1011</v>
      </c>
    </row>
    <row r="987" spans="1:11" ht="15.5" x14ac:dyDescent="0.35">
      <c r="A987" s="10"/>
      <c r="B987" s="10"/>
      <c r="C987" s="10"/>
      <c r="D987" s="10"/>
      <c r="E987" s="10"/>
      <c r="F987" s="10"/>
      <c r="G987" s="11" t="s">
        <v>1010</v>
      </c>
      <c r="H987" s="11" t="s">
        <v>1009</v>
      </c>
      <c r="I987" s="12" t="s">
        <v>58</v>
      </c>
      <c r="J987" s="11" t="s">
        <v>1008</v>
      </c>
      <c r="K987" s="8" t="s">
        <v>1007</v>
      </c>
    </row>
    <row r="988" spans="1:11" ht="15.5" x14ac:dyDescent="0.35">
      <c r="A988" s="10"/>
      <c r="B988" s="10"/>
      <c r="C988" s="10"/>
      <c r="D988" s="9"/>
      <c r="E988" s="9"/>
      <c r="F988" s="9"/>
      <c r="G988" s="9"/>
      <c r="H988" s="9"/>
      <c r="I988" s="9"/>
      <c r="J988" s="9"/>
      <c r="K988" s="8" t="s">
        <v>1006</v>
      </c>
    </row>
    <row r="989" spans="1:11" ht="15.5" x14ac:dyDescent="0.35">
      <c r="A989" s="10"/>
      <c r="B989" s="10"/>
      <c r="C989" s="10"/>
      <c r="D989" s="11" t="s">
        <v>1005</v>
      </c>
      <c r="E989" s="11" t="s">
        <v>1004</v>
      </c>
      <c r="F989" s="11" t="s">
        <v>244</v>
      </c>
      <c r="G989" s="11" t="s">
        <v>1003</v>
      </c>
      <c r="H989" s="11" t="s">
        <v>1002</v>
      </c>
      <c r="I989" s="12" t="s">
        <v>58</v>
      </c>
      <c r="J989" s="11" t="s">
        <v>1001</v>
      </c>
      <c r="K989" s="8" t="s">
        <v>1000</v>
      </c>
    </row>
    <row r="990" spans="1:11" ht="15.5" x14ac:dyDescent="0.35">
      <c r="A990" s="10"/>
      <c r="B990" s="10"/>
      <c r="C990" s="10"/>
      <c r="D990" s="10"/>
      <c r="E990" s="10"/>
      <c r="F990" s="10"/>
      <c r="G990" s="9"/>
      <c r="H990" s="9"/>
      <c r="I990" s="9"/>
      <c r="J990" s="9"/>
      <c r="K990" s="8" t="s">
        <v>999</v>
      </c>
    </row>
    <row r="991" spans="1:11" ht="15.5" x14ac:dyDescent="0.35">
      <c r="A991" s="10"/>
      <c r="B991" s="10"/>
      <c r="C991" s="10"/>
      <c r="D991" s="10"/>
      <c r="E991" s="10"/>
      <c r="F991" s="10"/>
      <c r="G991" s="11" t="s">
        <v>998</v>
      </c>
      <c r="H991" s="11" t="s">
        <v>997</v>
      </c>
      <c r="I991" s="12" t="s">
        <v>58</v>
      </c>
      <c r="J991" s="11" t="s">
        <v>996</v>
      </c>
      <c r="K991" s="8" t="s">
        <v>995</v>
      </c>
    </row>
    <row r="992" spans="1:11" ht="15.5" x14ac:dyDescent="0.35">
      <c r="A992" s="10"/>
      <c r="B992" s="10"/>
      <c r="C992" s="9"/>
      <c r="D992" s="9"/>
      <c r="E992" s="9"/>
      <c r="F992" s="9"/>
      <c r="G992" s="9"/>
      <c r="H992" s="9"/>
      <c r="I992" s="9"/>
      <c r="J992" s="9"/>
      <c r="K992" s="8" t="s">
        <v>994</v>
      </c>
    </row>
    <row r="993" spans="1:11" ht="15.5" x14ac:dyDescent="0.35">
      <c r="A993" s="10"/>
      <c r="B993" s="10"/>
      <c r="C993" s="13" t="s">
        <v>993</v>
      </c>
      <c r="D993" s="11" t="s">
        <v>992</v>
      </c>
      <c r="E993" s="11" t="s">
        <v>991</v>
      </c>
      <c r="F993" s="11" t="s">
        <v>244</v>
      </c>
      <c r="G993" s="11" t="s">
        <v>990</v>
      </c>
      <c r="H993" s="11" t="s">
        <v>989</v>
      </c>
      <c r="I993" s="12" t="s">
        <v>58</v>
      </c>
      <c r="J993" s="11" t="s">
        <v>988</v>
      </c>
      <c r="K993" s="8" t="s">
        <v>987</v>
      </c>
    </row>
    <row r="994" spans="1:11" ht="15.5" x14ac:dyDescent="0.35">
      <c r="A994" s="10"/>
      <c r="B994" s="10"/>
      <c r="C994" s="10"/>
      <c r="D994" s="10"/>
      <c r="E994" s="10"/>
      <c r="F994" s="10"/>
      <c r="G994" s="9"/>
      <c r="H994" s="9"/>
      <c r="I994" s="9"/>
      <c r="J994" s="9"/>
      <c r="K994" s="8" t="s">
        <v>986</v>
      </c>
    </row>
    <row r="995" spans="1:11" ht="15.5" x14ac:dyDescent="0.35">
      <c r="A995" s="10"/>
      <c r="B995" s="10"/>
      <c r="C995" s="10"/>
      <c r="D995" s="10"/>
      <c r="E995" s="10"/>
      <c r="F995" s="10"/>
      <c r="G995" s="11" t="s">
        <v>985</v>
      </c>
      <c r="H995" s="11" t="s">
        <v>984</v>
      </c>
      <c r="I995" s="12" t="s">
        <v>58</v>
      </c>
      <c r="J995" s="11" t="s">
        <v>983</v>
      </c>
      <c r="K995" s="8" t="s">
        <v>982</v>
      </c>
    </row>
    <row r="996" spans="1:11" ht="15.5" x14ac:dyDescent="0.35">
      <c r="A996" s="10"/>
      <c r="B996" s="10"/>
      <c r="C996" s="10"/>
      <c r="D996" s="9"/>
      <c r="E996" s="9"/>
      <c r="F996" s="9"/>
      <c r="G996" s="9"/>
      <c r="H996" s="9"/>
      <c r="I996" s="9"/>
      <c r="J996" s="9"/>
      <c r="K996" s="8" t="s">
        <v>981</v>
      </c>
    </row>
    <row r="997" spans="1:11" ht="15.5" x14ac:dyDescent="0.35">
      <c r="A997" s="10"/>
      <c r="B997" s="10"/>
      <c r="C997" s="10"/>
      <c r="D997" s="11" t="s">
        <v>980</v>
      </c>
      <c r="E997" s="11" t="s">
        <v>979</v>
      </c>
      <c r="F997" s="11" t="s">
        <v>244</v>
      </c>
      <c r="G997" s="11" t="s">
        <v>978</v>
      </c>
      <c r="H997" s="11" t="s">
        <v>977</v>
      </c>
      <c r="I997" s="12" t="s">
        <v>58</v>
      </c>
      <c r="J997" s="11" t="s">
        <v>976</v>
      </c>
      <c r="K997" s="8" t="s">
        <v>330</v>
      </c>
    </row>
    <row r="998" spans="1:11" ht="15.5" x14ac:dyDescent="0.35">
      <c r="A998" s="10"/>
      <c r="B998" s="10"/>
      <c r="C998" s="10"/>
      <c r="D998" s="10"/>
      <c r="E998" s="10"/>
      <c r="F998" s="10"/>
      <c r="G998" s="9"/>
      <c r="H998" s="9"/>
      <c r="I998" s="9"/>
      <c r="J998" s="9"/>
      <c r="K998" s="8" t="s">
        <v>975</v>
      </c>
    </row>
    <row r="999" spans="1:11" ht="15.5" x14ac:dyDescent="0.35">
      <c r="A999" s="10"/>
      <c r="B999" s="10"/>
      <c r="C999" s="10"/>
      <c r="D999" s="10"/>
      <c r="E999" s="10"/>
      <c r="F999" s="10"/>
      <c r="G999" s="11" t="s">
        <v>974</v>
      </c>
      <c r="H999" s="11" t="s">
        <v>973</v>
      </c>
      <c r="I999" s="12" t="s">
        <v>58</v>
      </c>
      <c r="J999" s="11" t="s">
        <v>972</v>
      </c>
      <c r="K999" s="8" t="s">
        <v>971</v>
      </c>
    </row>
    <row r="1000" spans="1:11" ht="15.5" x14ac:dyDescent="0.35">
      <c r="A1000" s="10"/>
      <c r="B1000" s="10"/>
      <c r="C1000" s="10"/>
      <c r="D1000" s="9"/>
      <c r="E1000" s="9"/>
      <c r="F1000" s="9"/>
      <c r="G1000" s="9"/>
      <c r="H1000" s="9"/>
      <c r="I1000" s="9"/>
      <c r="J1000" s="9"/>
      <c r="K1000" s="8" t="s">
        <v>970</v>
      </c>
    </row>
    <row r="1001" spans="1:11" ht="15.5" x14ac:dyDescent="0.35">
      <c r="A1001" s="10"/>
      <c r="B1001" s="10"/>
      <c r="C1001" s="10"/>
      <c r="D1001" s="11" t="s">
        <v>969</v>
      </c>
      <c r="E1001" s="11" t="s">
        <v>968</v>
      </c>
      <c r="F1001" s="11" t="s">
        <v>244</v>
      </c>
      <c r="G1001" s="11" t="s">
        <v>967</v>
      </c>
      <c r="H1001" s="11" t="s">
        <v>966</v>
      </c>
      <c r="I1001" s="12" t="s">
        <v>58</v>
      </c>
      <c r="J1001" s="11" t="s">
        <v>965</v>
      </c>
      <c r="K1001" s="8" t="s">
        <v>964</v>
      </c>
    </row>
    <row r="1002" spans="1:11" ht="15.5" x14ac:dyDescent="0.35">
      <c r="A1002" s="10"/>
      <c r="B1002" s="10"/>
      <c r="C1002" s="10"/>
      <c r="D1002" s="10"/>
      <c r="E1002" s="10"/>
      <c r="F1002" s="10"/>
      <c r="G1002" s="9"/>
      <c r="H1002" s="9"/>
      <c r="I1002" s="9"/>
      <c r="J1002" s="9"/>
      <c r="K1002" s="8" t="s">
        <v>963</v>
      </c>
    </row>
    <row r="1003" spans="1:11" ht="15.5" x14ac:dyDescent="0.35">
      <c r="A1003" s="10"/>
      <c r="B1003" s="10"/>
      <c r="C1003" s="10"/>
      <c r="D1003" s="10"/>
      <c r="E1003" s="10"/>
      <c r="F1003" s="10"/>
      <c r="G1003" s="11" t="s">
        <v>962</v>
      </c>
      <c r="H1003" s="11" t="s">
        <v>961</v>
      </c>
      <c r="I1003" s="12" t="s">
        <v>58</v>
      </c>
      <c r="J1003" s="11" t="s">
        <v>960</v>
      </c>
      <c r="K1003" s="8" t="s">
        <v>959</v>
      </c>
    </row>
    <row r="1004" spans="1:11" ht="15.5" x14ac:dyDescent="0.35">
      <c r="A1004" s="10"/>
      <c r="B1004" s="10"/>
      <c r="C1004" s="10"/>
      <c r="D1004" s="9"/>
      <c r="E1004" s="9"/>
      <c r="F1004" s="9"/>
      <c r="G1004" s="9"/>
      <c r="H1004" s="9"/>
      <c r="I1004" s="9"/>
      <c r="J1004" s="9"/>
      <c r="K1004" s="8" t="s">
        <v>958</v>
      </c>
    </row>
    <row r="1005" spans="1:11" ht="15.5" x14ac:dyDescent="0.35">
      <c r="A1005" s="10"/>
      <c r="B1005" s="10"/>
      <c r="C1005" s="10"/>
      <c r="D1005" s="11" t="s">
        <v>957</v>
      </c>
      <c r="E1005" s="11" t="s">
        <v>956</v>
      </c>
      <c r="F1005" s="11" t="s">
        <v>244</v>
      </c>
      <c r="G1005" s="11" t="s">
        <v>955</v>
      </c>
      <c r="H1005" s="11" t="s">
        <v>954</v>
      </c>
      <c r="I1005" s="12" t="s">
        <v>58</v>
      </c>
      <c r="J1005" s="11" t="s">
        <v>953</v>
      </c>
      <c r="K1005" s="8" t="s">
        <v>952</v>
      </c>
    </row>
    <row r="1006" spans="1:11" ht="15.5" x14ac:dyDescent="0.35">
      <c r="A1006" s="10"/>
      <c r="B1006" s="10"/>
      <c r="C1006" s="10"/>
      <c r="D1006" s="10"/>
      <c r="E1006" s="10"/>
      <c r="F1006" s="10"/>
      <c r="G1006" s="9"/>
      <c r="H1006" s="9"/>
      <c r="I1006" s="9"/>
      <c r="J1006" s="9"/>
      <c r="K1006" s="8" t="s">
        <v>844</v>
      </c>
    </row>
    <row r="1007" spans="1:11" ht="15.5" x14ac:dyDescent="0.35">
      <c r="A1007" s="10"/>
      <c r="B1007" s="10"/>
      <c r="C1007" s="10"/>
      <c r="D1007" s="10"/>
      <c r="E1007" s="10"/>
      <c r="F1007" s="10"/>
      <c r="G1007" s="11" t="s">
        <v>951</v>
      </c>
      <c r="H1007" s="11" t="s">
        <v>950</v>
      </c>
      <c r="I1007" s="12" t="s">
        <v>58</v>
      </c>
      <c r="J1007" s="11" t="s">
        <v>949</v>
      </c>
      <c r="K1007" s="8" t="s">
        <v>948</v>
      </c>
    </row>
    <row r="1008" spans="1:11" ht="15.5" x14ac:dyDescent="0.35">
      <c r="A1008" s="10"/>
      <c r="B1008" s="10"/>
      <c r="C1008" s="10"/>
      <c r="D1008" s="9"/>
      <c r="E1008" s="9"/>
      <c r="F1008" s="9"/>
      <c r="G1008" s="9"/>
      <c r="H1008" s="9"/>
      <c r="I1008" s="9"/>
      <c r="J1008" s="9"/>
      <c r="K1008" s="8" t="s">
        <v>947</v>
      </c>
    </row>
    <row r="1009" spans="1:11" ht="15.5" x14ac:dyDescent="0.35">
      <c r="A1009" s="10"/>
      <c r="B1009" s="10"/>
      <c r="C1009" s="10"/>
      <c r="D1009" s="11" t="s">
        <v>946</v>
      </c>
      <c r="E1009" s="11" t="s">
        <v>945</v>
      </c>
      <c r="F1009" s="11" t="s">
        <v>244</v>
      </c>
      <c r="G1009" s="11" t="s">
        <v>944</v>
      </c>
      <c r="H1009" s="11" t="s">
        <v>943</v>
      </c>
      <c r="I1009" s="12" t="s">
        <v>58</v>
      </c>
      <c r="J1009" s="11" t="s">
        <v>942</v>
      </c>
      <c r="K1009" s="8" t="s">
        <v>941</v>
      </c>
    </row>
    <row r="1010" spans="1:11" ht="15.5" x14ac:dyDescent="0.35">
      <c r="A1010" s="10"/>
      <c r="B1010" s="10"/>
      <c r="C1010" s="10"/>
      <c r="D1010" s="10"/>
      <c r="E1010" s="10"/>
      <c r="F1010" s="10"/>
      <c r="G1010" s="9"/>
      <c r="H1010" s="9"/>
      <c r="I1010" s="9"/>
      <c r="J1010" s="9"/>
      <c r="K1010" s="8" t="s">
        <v>940</v>
      </c>
    </row>
    <row r="1011" spans="1:11" ht="15.5" x14ac:dyDescent="0.35">
      <c r="A1011" s="10"/>
      <c r="B1011" s="10"/>
      <c r="C1011" s="10"/>
      <c r="D1011" s="10"/>
      <c r="E1011" s="10"/>
      <c r="F1011" s="10"/>
      <c r="G1011" s="11" t="s">
        <v>939</v>
      </c>
      <c r="H1011" s="11" t="s">
        <v>938</v>
      </c>
      <c r="I1011" s="12" t="s">
        <v>58</v>
      </c>
      <c r="J1011" s="11" t="s">
        <v>937</v>
      </c>
      <c r="K1011" s="8" t="s">
        <v>936</v>
      </c>
    </row>
    <row r="1012" spans="1:11" ht="15.5" x14ac:dyDescent="0.35">
      <c r="A1012" s="10"/>
      <c r="B1012" s="10"/>
      <c r="C1012" s="9"/>
      <c r="D1012" s="9"/>
      <c r="E1012" s="9"/>
      <c r="F1012" s="9"/>
      <c r="G1012" s="9"/>
      <c r="H1012" s="9"/>
      <c r="I1012" s="9"/>
      <c r="J1012" s="9"/>
      <c r="K1012" s="8" t="s">
        <v>935</v>
      </c>
    </row>
    <row r="1013" spans="1:11" ht="15.5" x14ac:dyDescent="0.35">
      <c r="A1013" s="10"/>
      <c r="B1013" s="10"/>
      <c r="C1013" s="13" t="s">
        <v>934</v>
      </c>
      <c r="D1013" s="11" t="s">
        <v>933</v>
      </c>
      <c r="E1013" s="11" t="s">
        <v>932</v>
      </c>
      <c r="F1013" s="11" t="s">
        <v>244</v>
      </c>
      <c r="G1013" s="11" t="s">
        <v>931</v>
      </c>
      <c r="H1013" s="11" t="s">
        <v>930</v>
      </c>
      <c r="I1013" s="12" t="s">
        <v>58</v>
      </c>
      <c r="J1013" s="11" t="s">
        <v>929</v>
      </c>
      <c r="K1013" s="8" t="s">
        <v>928</v>
      </c>
    </row>
    <row r="1014" spans="1:11" ht="15.5" x14ac:dyDescent="0.35">
      <c r="A1014" s="10"/>
      <c r="B1014" s="10"/>
      <c r="C1014" s="10"/>
      <c r="D1014" s="10"/>
      <c r="E1014" s="10"/>
      <c r="F1014" s="10"/>
      <c r="G1014" s="10"/>
      <c r="H1014" s="9"/>
      <c r="I1014" s="9"/>
      <c r="J1014" s="9"/>
      <c r="K1014" s="8" t="s">
        <v>927</v>
      </c>
    </row>
    <row r="1015" spans="1:11" ht="15.5" x14ac:dyDescent="0.35">
      <c r="A1015" s="10"/>
      <c r="B1015" s="10"/>
      <c r="C1015" s="10"/>
      <c r="D1015" s="10"/>
      <c r="E1015" s="10"/>
      <c r="F1015" s="10"/>
      <c r="G1015" s="11" t="s">
        <v>926</v>
      </c>
      <c r="H1015" s="11" t="s">
        <v>925</v>
      </c>
      <c r="I1015" s="12" t="s">
        <v>58</v>
      </c>
      <c r="J1015" s="11" t="s">
        <v>924</v>
      </c>
      <c r="K1015" s="8" t="s">
        <v>923</v>
      </c>
    </row>
    <row r="1016" spans="1:11" ht="15.5" x14ac:dyDescent="0.35">
      <c r="A1016" s="10"/>
      <c r="B1016" s="10"/>
      <c r="C1016" s="10"/>
      <c r="D1016" s="9"/>
      <c r="E1016" s="9"/>
      <c r="F1016" s="9"/>
      <c r="G1016" s="9"/>
      <c r="H1016" s="9"/>
      <c r="I1016" s="9"/>
      <c r="J1016" s="9"/>
      <c r="K1016" s="8" t="s">
        <v>922</v>
      </c>
    </row>
    <row r="1017" spans="1:11" ht="15.5" x14ac:dyDescent="0.35">
      <c r="A1017" s="10"/>
      <c r="B1017" s="10"/>
      <c r="C1017" s="10"/>
      <c r="D1017" s="11" t="s">
        <v>921</v>
      </c>
      <c r="E1017" s="11" t="s">
        <v>920</v>
      </c>
      <c r="F1017" s="11" t="s">
        <v>65</v>
      </c>
      <c r="G1017" s="11" t="s">
        <v>919</v>
      </c>
      <c r="H1017" s="11" t="s">
        <v>918</v>
      </c>
      <c r="I1017" s="12" t="s">
        <v>58</v>
      </c>
      <c r="J1017" s="11" t="s">
        <v>917</v>
      </c>
      <c r="K1017" s="8" t="s">
        <v>916</v>
      </c>
    </row>
    <row r="1018" spans="1:11" ht="15.5" x14ac:dyDescent="0.35">
      <c r="A1018" s="10"/>
      <c r="B1018" s="10"/>
      <c r="C1018" s="10"/>
      <c r="D1018" s="10"/>
      <c r="E1018" s="10"/>
      <c r="F1018" s="10"/>
      <c r="G1018" s="9"/>
      <c r="H1018" s="9"/>
      <c r="I1018" s="9"/>
      <c r="J1018" s="9"/>
      <c r="K1018" s="8" t="s">
        <v>915</v>
      </c>
    </row>
    <row r="1019" spans="1:11" ht="15.5" x14ac:dyDescent="0.35">
      <c r="A1019" s="10"/>
      <c r="B1019" s="10"/>
      <c r="C1019" s="10"/>
      <c r="D1019" s="10"/>
      <c r="E1019" s="10"/>
      <c r="F1019" s="10"/>
      <c r="G1019" s="11" t="s">
        <v>914</v>
      </c>
      <c r="H1019" s="11" t="s">
        <v>913</v>
      </c>
      <c r="I1019" s="14" t="s">
        <v>120</v>
      </c>
      <c r="J1019" s="11" t="s">
        <v>912</v>
      </c>
      <c r="K1019" s="8" t="s">
        <v>911</v>
      </c>
    </row>
    <row r="1020" spans="1:11" ht="15.5" x14ac:dyDescent="0.35">
      <c r="A1020" s="10"/>
      <c r="B1020" s="10"/>
      <c r="C1020" s="10"/>
      <c r="D1020" s="9"/>
      <c r="E1020" s="9"/>
      <c r="F1020" s="9"/>
      <c r="G1020" s="9"/>
      <c r="H1020" s="9"/>
      <c r="I1020" s="9"/>
      <c r="J1020" s="9"/>
      <c r="K1020" s="8" t="s">
        <v>910</v>
      </c>
    </row>
    <row r="1021" spans="1:11" ht="15.5" x14ac:dyDescent="0.35">
      <c r="A1021" s="10"/>
      <c r="B1021" s="10"/>
      <c r="C1021" s="10"/>
      <c r="D1021" s="11" t="s">
        <v>909</v>
      </c>
      <c r="E1021" s="11" t="s">
        <v>908</v>
      </c>
      <c r="F1021" s="11" t="s">
        <v>244</v>
      </c>
      <c r="G1021" s="11" t="s">
        <v>907</v>
      </c>
      <c r="H1021" s="11" t="s">
        <v>906</v>
      </c>
      <c r="I1021" s="14" t="s">
        <v>120</v>
      </c>
      <c r="J1021" s="11" t="s">
        <v>905</v>
      </c>
      <c r="K1021" s="8" t="s">
        <v>904</v>
      </c>
    </row>
    <row r="1022" spans="1:11" ht="15.5" x14ac:dyDescent="0.35">
      <c r="A1022" s="10"/>
      <c r="B1022" s="10"/>
      <c r="C1022" s="10"/>
      <c r="D1022" s="10"/>
      <c r="E1022" s="10"/>
      <c r="F1022" s="10"/>
      <c r="G1022" s="9"/>
      <c r="H1022" s="9"/>
      <c r="I1022" s="9"/>
      <c r="J1022" s="9"/>
      <c r="K1022" s="8" t="s">
        <v>903</v>
      </c>
    </row>
    <row r="1023" spans="1:11" ht="15.5" x14ac:dyDescent="0.35">
      <c r="A1023" s="10"/>
      <c r="B1023" s="10"/>
      <c r="C1023" s="10"/>
      <c r="D1023" s="10"/>
      <c r="E1023" s="10"/>
      <c r="F1023" s="10"/>
      <c r="G1023" s="11" t="s">
        <v>902</v>
      </c>
      <c r="H1023" s="11" t="s">
        <v>901</v>
      </c>
      <c r="I1023" s="14" t="s">
        <v>120</v>
      </c>
      <c r="J1023" s="11" t="s">
        <v>900</v>
      </c>
      <c r="K1023" s="8" t="s">
        <v>899</v>
      </c>
    </row>
    <row r="1024" spans="1:11" ht="15.5" x14ac:dyDescent="0.35">
      <c r="A1024" s="10"/>
      <c r="B1024" s="10"/>
      <c r="C1024" s="10"/>
      <c r="D1024" s="9"/>
      <c r="E1024" s="9"/>
      <c r="F1024" s="9"/>
      <c r="G1024" s="9"/>
      <c r="H1024" s="9"/>
      <c r="I1024" s="9"/>
      <c r="J1024" s="9"/>
      <c r="K1024" s="8" t="s">
        <v>898</v>
      </c>
    </row>
    <row r="1025" spans="1:11" ht="15.5" x14ac:dyDescent="0.35">
      <c r="A1025" s="10"/>
      <c r="B1025" s="10"/>
      <c r="C1025" s="10"/>
      <c r="D1025" s="11" t="s">
        <v>897</v>
      </c>
      <c r="E1025" s="11" t="s">
        <v>896</v>
      </c>
      <c r="F1025" s="11" t="s">
        <v>244</v>
      </c>
      <c r="G1025" s="11" t="s">
        <v>895</v>
      </c>
      <c r="H1025" s="11" t="s">
        <v>894</v>
      </c>
      <c r="I1025" s="14" t="s">
        <v>120</v>
      </c>
      <c r="J1025" s="11" t="s">
        <v>893</v>
      </c>
      <c r="K1025" s="8" t="s">
        <v>892</v>
      </c>
    </row>
    <row r="1026" spans="1:11" ht="15.5" x14ac:dyDescent="0.35">
      <c r="A1026" s="10"/>
      <c r="B1026" s="10"/>
      <c r="C1026" s="10"/>
      <c r="D1026" s="10"/>
      <c r="E1026" s="10"/>
      <c r="F1026" s="10"/>
      <c r="G1026" s="9"/>
      <c r="H1026" s="9"/>
      <c r="I1026" s="9"/>
      <c r="J1026" s="9"/>
      <c r="K1026" s="8" t="s">
        <v>891</v>
      </c>
    </row>
    <row r="1027" spans="1:11" ht="15.5" x14ac:dyDescent="0.35">
      <c r="A1027" s="10"/>
      <c r="B1027" s="10"/>
      <c r="C1027" s="10"/>
      <c r="D1027" s="10"/>
      <c r="E1027" s="10"/>
      <c r="F1027" s="10"/>
      <c r="G1027" s="11" t="s">
        <v>890</v>
      </c>
      <c r="H1027" s="11" t="s">
        <v>889</v>
      </c>
      <c r="I1027" s="14" t="s">
        <v>120</v>
      </c>
      <c r="J1027" s="11" t="s">
        <v>859</v>
      </c>
      <c r="K1027" s="8" t="s">
        <v>888</v>
      </c>
    </row>
    <row r="1028" spans="1:11" ht="15.5" x14ac:dyDescent="0.35">
      <c r="A1028" s="10"/>
      <c r="B1028" s="10"/>
      <c r="C1028" s="10"/>
      <c r="D1028" s="9"/>
      <c r="E1028" s="9"/>
      <c r="F1028" s="9"/>
      <c r="G1028" s="9"/>
      <c r="H1028" s="9"/>
      <c r="I1028" s="9"/>
      <c r="J1028" s="9"/>
      <c r="K1028" s="8" t="s">
        <v>887</v>
      </c>
    </row>
    <row r="1029" spans="1:11" ht="15.5" x14ac:dyDescent="0.35">
      <c r="A1029" s="10"/>
      <c r="B1029" s="10"/>
      <c r="C1029" s="10"/>
      <c r="D1029" s="11" t="s">
        <v>886</v>
      </c>
      <c r="E1029" s="11" t="s">
        <v>885</v>
      </c>
      <c r="F1029" s="11" t="s">
        <v>244</v>
      </c>
      <c r="G1029" s="11" t="s">
        <v>884</v>
      </c>
      <c r="H1029" s="11" t="s">
        <v>883</v>
      </c>
      <c r="I1029" s="14" t="s">
        <v>120</v>
      </c>
      <c r="J1029" s="11" t="s">
        <v>882</v>
      </c>
      <c r="K1029" s="8" t="s">
        <v>881</v>
      </c>
    </row>
    <row r="1030" spans="1:11" ht="15.5" x14ac:dyDescent="0.35">
      <c r="A1030" s="10"/>
      <c r="B1030" s="10"/>
      <c r="C1030" s="10"/>
      <c r="D1030" s="10"/>
      <c r="E1030" s="10"/>
      <c r="F1030" s="10"/>
      <c r="G1030" s="9"/>
      <c r="H1030" s="9"/>
      <c r="I1030" s="10"/>
      <c r="J1030" s="9"/>
      <c r="K1030" s="8" t="s">
        <v>659</v>
      </c>
    </row>
    <row r="1031" spans="1:11" ht="15.5" x14ac:dyDescent="0.35">
      <c r="A1031" s="10"/>
      <c r="B1031" s="10"/>
      <c r="C1031" s="10"/>
      <c r="D1031" s="10"/>
      <c r="E1031" s="10"/>
      <c r="F1031" s="10"/>
      <c r="G1031" s="11" t="s">
        <v>880</v>
      </c>
      <c r="H1031" s="11" t="s">
        <v>879</v>
      </c>
      <c r="I1031" s="14" t="s">
        <v>878</v>
      </c>
      <c r="J1031" s="11" t="s">
        <v>877</v>
      </c>
      <c r="K1031" s="8" t="s">
        <v>876</v>
      </c>
    </row>
    <row r="1032" spans="1:11" ht="15.5" x14ac:dyDescent="0.35">
      <c r="A1032" s="10"/>
      <c r="B1032" s="10"/>
      <c r="C1032" s="9"/>
      <c r="D1032" s="9"/>
      <c r="E1032" s="9"/>
      <c r="F1032" s="9"/>
      <c r="G1032" s="9"/>
      <c r="H1032" s="9"/>
      <c r="I1032" s="9"/>
      <c r="J1032" s="9"/>
      <c r="K1032" s="8" t="s">
        <v>875</v>
      </c>
    </row>
    <row r="1033" spans="1:11" ht="15.5" x14ac:dyDescent="0.35">
      <c r="A1033" s="10"/>
      <c r="B1033" s="10"/>
      <c r="C1033" s="20" t="s">
        <v>874</v>
      </c>
      <c r="D1033" s="11" t="s">
        <v>873</v>
      </c>
      <c r="E1033" s="11" t="s">
        <v>872</v>
      </c>
      <c r="F1033" s="11" t="s">
        <v>244</v>
      </c>
      <c r="G1033" s="11" t="s">
        <v>871</v>
      </c>
      <c r="H1033" s="11" t="s">
        <v>870</v>
      </c>
      <c r="I1033" s="14" t="s">
        <v>120</v>
      </c>
      <c r="J1033" s="11" t="s">
        <v>869</v>
      </c>
      <c r="K1033" s="8" t="s">
        <v>868</v>
      </c>
    </row>
    <row r="1034" spans="1:11" ht="15.5" x14ac:dyDescent="0.35">
      <c r="A1034" s="10"/>
      <c r="B1034" s="10"/>
      <c r="C1034" s="10"/>
      <c r="D1034" s="10"/>
      <c r="E1034" s="10"/>
      <c r="F1034" s="10"/>
      <c r="G1034" s="9"/>
      <c r="H1034" s="9"/>
      <c r="I1034" s="9"/>
      <c r="J1034" s="9"/>
      <c r="K1034" s="8" t="s">
        <v>867</v>
      </c>
    </row>
    <row r="1035" spans="1:11" ht="15.5" x14ac:dyDescent="0.35">
      <c r="A1035" s="10"/>
      <c r="B1035" s="10"/>
      <c r="C1035" s="10"/>
      <c r="D1035" s="10"/>
      <c r="E1035" s="10"/>
      <c r="F1035" s="10"/>
      <c r="G1035" s="11" t="s">
        <v>866</v>
      </c>
      <c r="H1035" s="11" t="s">
        <v>865</v>
      </c>
      <c r="I1035" s="14" t="s">
        <v>120</v>
      </c>
      <c r="J1035" s="11" t="s">
        <v>835</v>
      </c>
      <c r="K1035" s="8" t="s">
        <v>864</v>
      </c>
    </row>
    <row r="1036" spans="1:11" ht="15.5" x14ac:dyDescent="0.35">
      <c r="A1036" s="10"/>
      <c r="B1036" s="10"/>
      <c r="C1036" s="10"/>
      <c r="D1036" s="9"/>
      <c r="E1036" s="9"/>
      <c r="F1036" s="9"/>
      <c r="G1036" s="9"/>
      <c r="H1036" s="9"/>
      <c r="I1036" s="9"/>
      <c r="J1036" s="9"/>
      <c r="K1036" s="8" t="s">
        <v>863</v>
      </c>
    </row>
    <row r="1037" spans="1:11" ht="15.5" x14ac:dyDescent="0.35">
      <c r="A1037" s="10"/>
      <c r="B1037" s="10"/>
      <c r="C1037" s="10"/>
      <c r="D1037" s="11" t="s">
        <v>862</v>
      </c>
      <c r="E1037" s="11" t="s">
        <v>861</v>
      </c>
      <c r="F1037" s="11" t="s">
        <v>65</v>
      </c>
      <c r="G1037" s="11" t="s">
        <v>860</v>
      </c>
      <c r="H1037" s="11" t="s">
        <v>859</v>
      </c>
      <c r="I1037" s="14" t="s">
        <v>120</v>
      </c>
      <c r="J1037" s="11" t="s">
        <v>858</v>
      </c>
      <c r="K1037" s="8" t="s">
        <v>857</v>
      </c>
    </row>
    <row r="1038" spans="1:11" ht="15.5" x14ac:dyDescent="0.35">
      <c r="A1038" s="10"/>
      <c r="B1038" s="10"/>
      <c r="C1038" s="10"/>
      <c r="D1038" s="10"/>
      <c r="E1038" s="10"/>
      <c r="F1038" s="10"/>
      <c r="G1038" s="9"/>
      <c r="H1038" s="9"/>
      <c r="I1038" s="9"/>
      <c r="J1038" s="9"/>
      <c r="K1038" s="8" t="s">
        <v>856</v>
      </c>
    </row>
    <row r="1039" spans="1:11" ht="15.5" x14ac:dyDescent="0.35">
      <c r="A1039" s="10"/>
      <c r="B1039" s="10"/>
      <c r="C1039" s="10"/>
      <c r="D1039" s="10"/>
      <c r="E1039" s="10"/>
      <c r="F1039" s="10"/>
      <c r="G1039" s="11" t="s">
        <v>855</v>
      </c>
      <c r="H1039" s="11" t="s">
        <v>854</v>
      </c>
      <c r="I1039" s="14" t="s">
        <v>120</v>
      </c>
      <c r="J1039" s="11" t="s">
        <v>853</v>
      </c>
      <c r="K1039" s="8" t="s">
        <v>852</v>
      </c>
    </row>
    <row r="1040" spans="1:11" ht="15.5" x14ac:dyDescent="0.35">
      <c r="A1040" s="10"/>
      <c r="B1040" s="10"/>
      <c r="C1040" s="10"/>
      <c r="D1040" s="9"/>
      <c r="E1040" s="9"/>
      <c r="F1040" s="9"/>
      <c r="G1040" s="9"/>
      <c r="H1040" s="9"/>
      <c r="I1040" s="9"/>
      <c r="J1040" s="9"/>
      <c r="K1040" s="8" t="s">
        <v>851</v>
      </c>
    </row>
    <row r="1041" spans="1:11" ht="15.5" x14ac:dyDescent="0.35">
      <c r="A1041" s="10"/>
      <c r="B1041" s="10"/>
      <c r="C1041" s="10"/>
      <c r="D1041" s="11" t="s">
        <v>850</v>
      </c>
      <c r="E1041" s="11" t="s">
        <v>849</v>
      </c>
      <c r="F1041" s="11" t="s">
        <v>65</v>
      </c>
      <c r="G1041" s="11" t="s">
        <v>848</v>
      </c>
      <c r="H1041" s="11" t="s">
        <v>847</v>
      </c>
      <c r="I1041" s="14" t="s">
        <v>120</v>
      </c>
      <c r="J1041" s="11" t="s">
        <v>846</v>
      </c>
      <c r="K1041" s="8" t="s">
        <v>845</v>
      </c>
    </row>
    <row r="1042" spans="1:11" ht="15.5" x14ac:dyDescent="0.35">
      <c r="A1042" s="10"/>
      <c r="B1042" s="10"/>
      <c r="C1042" s="10"/>
      <c r="D1042" s="10"/>
      <c r="E1042" s="10"/>
      <c r="F1042" s="10"/>
      <c r="G1042" s="9"/>
      <c r="H1042" s="9"/>
      <c r="I1042" s="9"/>
      <c r="J1042" s="9"/>
      <c r="K1042" s="8" t="s">
        <v>844</v>
      </c>
    </row>
    <row r="1043" spans="1:11" ht="15.5" x14ac:dyDescent="0.35">
      <c r="A1043" s="10"/>
      <c r="B1043" s="10"/>
      <c r="C1043" s="10"/>
      <c r="D1043" s="10"/>
      <c r="E1043" s="10"/>
      <c r="F1043" s="10"/>
      <c r="G1043" s="11" t="s">
        <v>843</v>
      </c>
      <c r="H1043" s="11" t="s">
        <v>842</v>
      </c>
      <c r="I1043" s="14" t="s">
        <v>120</v>
      </c>
      <c r="J1043" s="11" t="s">
        <v>841</v>
      </c>
      <c r="K1043" s="8" t="s">
        <v>840</v>
      </c>
    </row>
    <row r="1044" spans="1:11" ht="15.5" x14ac:dyDescent="0.35">
      <c r="A1044" s="10"/>
      <c r="B1044" s="10"/>
      <c r="C1044" s="10"/>
      <c r="D1044" s="9"/>
      <c r="E1044" s="9"/>
      <c r="F1044" s="9"/>
      <c r="G1044" s="9"/>
      <c r="H1044" s="9"/>
      <c r="I1044" s="9"/>
      <c r="J1044" s="9"/>
      <c r="K1044" s="8" t="s">
        <v>839</v>
      </c>
    </row>
    <row r="1045" spans="1:11" ht="15.5" x14ac:dyDescent="0.35">
      <c r="A1045" s="10"/>
      <c r="B1045" s="10"/>
      <c r="C1045" s="10"/>
      <c r="D1045" s="11" t="s">
        <v>838</v>
      </c>
      <c r="E1045" s="11" t="s">
        <v>837</v>
      </c>
      <c r="F1045" s="11" t="s">
        <v>65</v>
      </c>
      <c r="G1045" s="11" t="s">
        <v>836</v>
      </c>
      <c r="H1045" s="11" t="s">
        <v>835</v>
      </c>
      <c r="I1045" s="14" t="s">
        <v>120</v>
      </c>
      <c r="J1045" s="11" t="s">
        <v>834</v>
      </c>
      <c r="K1045" s="8" t="s">
        <v>833</v>
      </c>
    </row>
    <row r="1046" spans="1:11" ht="15.5" x14ac:dyDescent="0.35">
      <c r="A1046" s="10"/>
      <c r="B1046" s="10"/>
      <c r="C1046" s="10"/>
      <c r="D1046" s="10"/>
      <c r="E1046" s="10"/>
      <c r="F1046" s="10"/>
      <c r="G1046" s="9"/>
      <c r="H1046" s="9"/>
      <c r="I1046" s="9"/>
      <c r="J1046" s="9"/>
      <c r="K1046" s="8" t="s">
        <v>832</v>
      </c>
    </row>
    <row r="1047" spans="1:11" ht="15.5" x14ac:dyDescent="0.35">
      <c r="A1047" s="10"/>
      <c r="B1047" s="10"/>
      <c r="C1047" s="10"/>
      <c r="D1047" s="10"/>
      <c r="E1047" s="10"/>
      <c r="F1047" s="10"/>
      <c r="G1047" s="11" t="s">
        <v>831</v>
      </c>
      <c r="H1047" s="11" t="s">
        <v>830</v>
      </c>
      <c r="I1047" s="14" t="s">
        <v>120</v>
      </c>
      <c r="J1047" s="11" t="s">
        <v>801</v>
      </c>
      <c r="K1047" s="8" t="s">
        <v>829</v>
      </c>
    </row>
    <row r="1048" spans="1:11" ht="15.5" x14ac:dyDescent="0.35">
      <c r="A1048" s="10"/>
      <c r="B1048" s="10"/>
      <c r="C1048" s="10"/>
      <c r="D1048" s="9"/>
      <c r="E1048" s="9"/>
      <c r="F1048" s="9"/>
      <c r="G1048" s="9"/>
      <c r="H1048" s="9"/>
      <c r="I1048" s="9"/>
      <c r="J1048" s="9"/>
      <c r="K1048" s="8" t="s">
        <v>828</v>
      </c>
    </row>
    <row r="1049" spans="1:11" ht="15.5" x14ac:dyDescent="0.35">
      <c r="A1049" s="10"/>
      <c r="B1049" s="10"/>
      <c r="C1049" s="10"/>
      <c r="D1049" s="11" t="s">
        <v>827</v>
      </c>
      <c r="E1049" s="11" t="s">
        <v>826</v>
      </c>
      <c r="F1049" s="11" t="s">
        <v>244</v>
      </c>
      <c r="G1049" s="11" t="s">
        <v>825</v>
      </c>
      <c r="H1049" s="11" t="s">
        <v>824</v>
      </c>
      <c r="I1049" s="14" t="s">
        <v>120</v>
      </c>
      <c r="J1049" s="11" t="s">
        <v>823</v>
      </c>
      <c r="K1049" s="8" t="s">
        <v>822</v>
      </c>
    </row>
    <row r="1050" spans="1:11" ht="15.5" x14ac:dyDescent="0.35">
      <c r="A1050" s="10"/>
      <c r="B1050" s="10"/>
      <c r="C1050" s="10"/>
      <c r="D1050" s="10"/>
      <c r="E1050" s="10"/>
      <c r="F1050" s="10"/>
      <c r="G1050" s="9"/>
      <c r="H1050" s="9"/>
      <c r="I1050" s="9"/>
      <c r="J1050" s="9"/>
      <c r="K1050" s="8" t="s">
        <v>821</v>
      </c>
    </row>
    <row r="1051" spans="1:11" ht="15.5" x14ac:dyDescent="0.35">
      <c r="A1051" s="10"/>
      <c r="B1051" s="10"/>
      <c r="C1051" s="10"/>
      <c r="D1051" s="10"/>
      <c r="E1051" s="10"/>
      <c r="F1051" s="10"/>
      <c r="G1051" s="11" t="s">
        <v>820</v>
      </c>
      <c r="H1051" s="11" t="s">
        <v>819</v>
      </c>
      <c r="I1051" s="14" t="s">
        <v>120</v>
      </c>
      <c r="J1051" s="11" t="s">
        <v>818</v>
      </c>
      <c r="K1051" s="8" t="s">
        <v>817</v>
      </c>
    </row>
    <row r="1052" spans="1:11" ht="15.5" x14ac:dyDescent="0.35">
      <c r="A1052" s="10"/>
      <c r="B1052" s="10"/>
      <c r="C1052" s="9"/>
      <c r="D1052" s="9"/>
      <c r="E1052" s="9"/>
      <c r="F1052" s="9"/>
      <c r="G1052" s="9"/>
      <c r="H1052" s="9"/>
      <c r="I1052" s="9"/>
      <c r="J1052" s="9"/>
      <c r="K1052" s="8" t="s">
        <v>816</v>
      </c>
    </row>
    <row r="1053" spans="1:11" ht="15.5" x14ac:dyDescent="0.35">
      <c r="A1053" s="10"/>
      <c r="B1053" s="10"/>
      <c r="C1053" s="20" t="s">
        <v>815</v>
      </c>
      <c r="D1053" s="11" t="s">
        <v>814</v>
      </c>
      <c r="E1053" s="11" t="s">
        <v>813</v>
      </c>
      <c r="F1053" s="11" t="s">
        <v>244</v>
      </c>
      <c r="G1053" s="11" t="s">
        <v>812</v>
      </c>
      <c r="H1053" s="11" t="s">
        <v>811</v>
      </c>
      <c r="I1053" s="14" t="s">
        <v>120</v>
      </c>
      <c r="J1053" s="11" t="s">
        <v>810</v>
      </c>
      <c r="K1053" s="8" t="s">
        <v>809</v>
      </c>
    </row>
    <row r="1054" spans="1:11" ht="15.5" x14ac:dyDescent="0.35">
      <c r="A1054" s="10"/>
      <c r="B1054" s="10"/>
      <c r="C1054" s="10"/>
      <c r="D1054" s="10"/>
      <c r="E1054" s="10"/>
      <c r="F1054" s="10"/>
      <c r="G1054" s="9"/>
      <c r="H1054" s="9"/>
      <c r="I1054" s="9"/>
      <c r="J1054" s="9"/>
      <c r="K1054" s="8" t="s">
        <v>808</v>
      </c>
    </row>
    <row r="1055" spans="1:11" ht="15.5" x14ac:dyDescent="0.35">
      <c r="A1055" s="10"/>
      <c r="B1055" s="10"/>
      <c r="C1055" s="10"/>
      <c r="D1055" s="10"/>
      <c r="E1055" s="10"/>
      <c r="F1055" s="10"/>
      <c r="G1055" s="11" t="s">
        <v>807</v>
      </c>
      <c r="H1055" s="11" t="s">
        <v>806</v>
      </c>
      <c r="I1055" s="14" t="s">
        <v>120</v>
      </c>
      <c r="J1055" s="11" t="s">
        <v>779</v>
      </c>
      <c r="K1055" s="8" t="s">
        <v>502</v>
      </c>
    </row>
    <row r="1056" spans="1:11" ht="15.5" x14ac:dyDescent="0.35">
      <c r="A1056" s="10"/>
      <c r="B1056" s="10"/>
      <c r="C1056" s="10"/>
      <c r="D1056" s="9"/>
      <c r="E1056" s="9"/>
      <c r="F1056" s="9"/>
      <c r="G1056" s="9"/>
      <c r="H1056" s="9"/>
      <c r="I1056" s="9"/>
      <c r="J1056" s="9"/>
      <c r="K1056" s="8" t="s">
        <v>805</v>
      </c>
    </row>
    <row r="1057" spans="1:11" ht="15.5" x14ac:dyDescent="0.35">
      <c r="A1057" s="10"/>
      <c r="B1057" s="10"/>
      <c r="C1057" s="10"/>
      <c r="D1057" s="11" t="s">
        <v>804</v>
      </c>
      <c r="E1057" s="11" t="s">
        <v>803</v>
      </c>
      <c r="F1057" s="11" t="s">
        <v>244</v>
      </c>
      <c r="G1057" s="11" t="s">
        <v>802</v>
      </c>
      <c r="H1057" s="11" t="s">
        <v>801</v>
      </c>
      <c r="I1057" s="14" t="s">
        <v>120</v>
      </c>
      <c r="J1057" s="11" t="s">
        <v>800</v>
      </c>
      <c r="K1057" s="8" t="s">
        <v>799</v>
      </c>
    </row>
    <row r="1058" spans="1:11" ht="15.5" x14ac:dyDescent="0.35">
      <c r="A1058" s="10"/>
      <c r="B1058" s="10"/>
      <c r="C1058" s="10"/>
      <c r="D1058" s="10"/>
      <c r="E1058" s="10"/>
      <c r="F1058" s="10"/>
      <c r="G1058" s="9"/>
      <c r="H1058" s="9"/>
      <c r="I1058" s="9"/>
      <c r="J1058" s="9"/>
      <c r="K1058" s="8" t="s">
        <v>798</v>
      </c>
    </row>
    <row r="1059" spans="1:11" ht="15.5" x14ac:dyDescent="0.35">
      <c r="A1059" s="10"/>
      <c r="B1059" s="10"/>
      <c r="C1059" s="10"/>
      <c r="D1059" s="10"/>
      <c r="E1059" s="10"/>
      <c r="F1059" s="10"/>
      <c r="G1059" s="11" t="s">
        <v>797</v>
      </c>
      <c r="H1059" s="11" t="s">
        <v>796</v>
      </c>
      <c r="I1059" s="14" t="s">
        <v>120</v>
      </c>
      <c r="J1059" s="11" t="s">
        <v>795</v>
      </c>
      <c r="K1059" s="8" t="s">
        <v>794</v>
      </c>
    </row>
    <row r="1060" spans="1:11" ht="15.5" x14ac:dyDescent="0.35">
      <c r="A1060" s="10"/>
      <c r="B1060" s="10"/>
      <c r="C1060" s="10"/>
      <c r="D1060" s="9"/>
      <c r="E1060" s="9"/>
      <c r="F1060" s="9"/>
      <c r="G1060" s="9"/>
      <c r="H1060" s="9"/>
      <c r="I1060" s="9"/>
      <c r="J1060" s="9"/>
      <c r="K1060" s="8" t="s">
        <v>793</v>
      </c>
    </row>
    <row r="1061" spans="1:11" ht="15.5" x14ac:dyDescent="0.35">
      <c r="A1061" s="10"/>
      <c r="B1061" s="10"/>
      <c r="C1061" s="10"/>
      <c r="D1061" s="11" t="s">
        <v>792</v>
      </c>
      <c r="E1061" s="11" t="s">
        <v>791</v>
      </c>
      <c r="F1061" s="11" t="s">
        <v>65</v>
      </c>
      <c r="G1061" s="11" t="s">
        <v>790</v>
      </c>
      <c r="H1061" s="11" t="s">
        <v>789</v>
      </c>
      <c r="I1061" s="14" t="s">
        <v>120</v>
      </c>
      <c r="J1061" s="11" t="s">
        <v>765</v>
      </c>
      <c r="K1061" s="8" t="s">
        <v>788</v>
      </c>
    </row>
    <row r="1062" spans="1:11" ht="15.5" x14ac:dyDescent="0.35">
      <c r="A1062" s="10"/>
      <c r="B1062" s="10"/>
      <c r="C1062" s="10"/>
      <c r="D1062" s="10"/>
      <c r="E1062" s="10"/>
      <c r="F1062" s="10"/>
      <c r="G1062" s="9"/>
      <c r="H1062" s="9"/>
      <c r="I1062" s="9"/>
      <c r="J1062" s="9"/>
      <c r="K1062" s="8" t="s">
        <v>787</v>
      </c>
    </row>
    <row r="1063" spans="1:11" ht="15.5" x14ac:dyDescent="0.35">
      <c r="A1063" s="10"/>
      <c r="B1063" s="10"/>
      <c r="C1063" s="10"/>
      <c r="D1063" s="10"/>
      <c r="E1063" s="10"/>
      <c r="F1063" s="10"/>
      <c r="G1063" s="11" t="s">
        <v>786</v>
      </c>
      <c r="H1063" s="11" t="s">
        <v>785</v>
      </c>
      <c r="I1063" s="12" t="s">
        <v>58</v>
      </c>
      <c r="J1063" s="11" t="s">
        <v>756</v>
      </c>
      <c r="K1063" s="8" t="s">
        <v>784</v>
      </c>
    </row>
    <row r="1064" spans="1:11" ht="15.5" x14ac:dyDescent="0.35">
      <c r="A1064" s="10"/>
      <c r="B1064" s="10"/>
      <c r="C1064" s="10"/>
      <c r="D1064" s="9"/>
      <c r="E1064" s="9"/>
      <c r="F1064" s="9"/>
      <c r="G1064" s="9"/>
      <c r="H1064" s="9"/>
      <c r="I1064" s="9"/>
      <c r="J1064" s="9"/>
      <c r="K1064" s="8" t="s">
        <v>783</v>
      </c>
    </row>
    <row r="1065" spans="1:11" ht="15.5" x14ac:dyDescent="0.35">
      <c r="A1065" s="10"/>
      <c r="B1065" s="10"/>
      <c r="C1065" s="10"/>
      <c r="D1065" s="11" t="s">
        <v>782</v>
      </c>
      <c r="E1065" s="11" t="s">
        <v>781</v>
      </c>
      <c r="F1065" s="11" t="s">
        <v>65</v>
      </c>
      <c r="G1065" s="11" t="s">
        <v>780</v>
      </c>
      <c r="H1065" s="11" t="s">
        <v>779</v>
      </c>
      <c r="I1065" s="12" t="s">
        <v>58</v>
      </c>
      <c r="J1065" s="11" t="s">
        <v>752</v>
      </c>
      <c r="K1065" s="8" t="s">
        <v>778</v>
      </c>
    </row>
    <row r="1066" spans="1:11" ht="15.5" x14ac:dyDescent="0.35">
      <c r="A1066" s="10"/>
      <c r="B1066" s="10"/>
      <c r="C1066" s="10"/>
      <c r="D1066" s="10"/>
      <c r="E1066" s="10"/>
      <c r="F1066" s="10"/>
      <c r="G1066" s="9"/>
      <c r="H1066" s="9"/>
      <c r="I1066" s="9"/>
      <c r="J1066" s="9"/>
      <c r="K1066" s="8" t="s">
        <v>777</v>
      </c>
    </row>
    <row r="1067" spans="1:11" ht="15.5" x14ac:dyDescent="0.35">
      <c r="A1067" s="10"/>
      <c r="B1067" s="10"/>
      <c r="C1067" s="10"/>
      <c r="D1067" s="10"/>
      <c r="E1067" s="10"/>
      <c r="F1067" s="10"/>
      <c r="G1067" s="11" t="s">
        <v>776</v>
      </c>
      <c r="H1067" s="11" t="s">
        <v>775</v>
      </c>
      <c r="I1067" s="12" t="s">
        <v>58</v>
      </c>
      <c r="J1067" s="11" t="s">
        <v>746</v>
      </c>
      <c r="K1067" s="8" t="s">
        <v>774</v>
      </c>
    </row>
    <row r="1068" spans="1:11" ht="15.5" x14ac:dyDescent="0.35">
      <c r="A1068" s="10"/>
      <c r="B1068" s="10"/>
      <c r="C1068" s="10"/>
      <c r="D1068" s="9"/>
      <c r="E1068" s="9"/>
      <c r="F1068" s="10"/>
      <c r="G1068" s="9"/>
      <c r="H1068" s="9"/>
      <c r="I1068" s="9"/>
      <c r="J1068" s="9"/>
      <c r="K1068" s="8" t="s">
        <v>773</v>
      </c>
    </row>
    <row r="1069" spans="1:11" ht="15.5" x14ac:dyDescent="0.35">
      <c r="A1069" s="10"/>
      <c r="B1069" s="10"/>
      <c r="C1069" s="10"/>
      <c r="D1069" s="11" t="s">
        <v>772</v>
      </c>
      <c r="E1069" s="11" t="s">
        <v>771</v>
      </c>
      <c r="F1069" s="11" t="s">
        <v>244</v>
      </c>
      <c r="G1069" s="11" t="s">
        <v>770</v>
      </c>
      <c r="H1069" s="11" t="s">
        <v>769</v>
      </c>
      <c r="I1069" s="12" t="s">
        <v>58</v>
      </c>
      <c r="J1069" s="11" t="s">
        <v>742</v>
      </c>
      <c r="K1069" s="8" t="s">
        <v>768</v>
      </c>
    </row>
    <row r="1070" spans="1:11" ht="15.5" x14ac:dyDescent="0.35">
      <c r="A1070" s="10"/>
      <c r="B1070" s="10"/>
      <c r="C1070" s="10"/>
      <c r="D1070" s="10"/>
      <c r="E1070" s="10"/>
      <c r="F1070" s="10"/>
      <c r="G1070" s="9"/>
      <c r="H1070" s="9"/>
      <c r="I1070" s="9"/>
      <c r="J1070" s="9"/>
      <c r="K1070" s="8" t="s">
        <v>767</v>
      </c>
    </row>
    <row r="1071" spans="1:11" ht="15.5" x14ac:dyDescent="0.35">
      <c r="A1071" s="10"/>
      <c r="B1071" s="10"/>
      <c r="C1071" s="10"/>
      <c r="D1071" s="10"/>
      <c r="E1071" s="10"/>
      <c r="F1071" s="10"/>
      <c r="G1071" s="11" t="s">
        <v>766</v>
      </c>
      <c r="H1071" s="11" t="s">
        <v>765</v>
      </c>
      <c r="I1071" s="12" t="s">
        <v>58</v>
      </c>
      <c r="J1071" s="11" t="s">
        <v>764</v>
      </c>
      <c r="K1071" s="8" t="s">
        <v>763</v>
      </c>
    </row>
    <row r="1072" spans="1:11" ht="15.5" x14ac:dyDescent="0.35">
      <c r="A1072" s="10"/>
      <c r="B1072" s="9"/>
      <c r="C1072" s="9"/>
      <c r="D1072" s="9"/>
      <c r="E1072" s="9"/>
      <c r="F1072" s="9"/>
      <c r="G1072" s="9"/>
      <c r="H1072" s="9"/>
      <c r="I1072" s="9"/>
      <c r="J1072" s="9"/>
      <c r="K1072" s="8" t="s">
        <v>762</v>
      </c>
    </row>
    <row r="1073" spans="1:11" ht="15.5" x14ac:dyDescent="0.35">
      <c r="A1073" s="10"/>
      <c r="B1073" s="13" t="s">
        <v>761</v>
      </c>
      <c r="C1073" s="20" t="s">
        <v>760</v>
      </c>
      <c r="D1073" s="11" t="s">
        <v>759</v>
      </c>
      <c r="E1073" s="11" t="s">
        <v>758</v>
      </c>
      <c r="F1073" s="11" t="s">
        <v>244</v>
      </c>
      <c r="G1073" s="11" t="s">
        <v>757</v>
      </c>
      <c r="H1073" s="11" t="s">
        <v>756</v>
      </c>
      <c r="I1073" s="12" t="s">
        <v>58</v>
      </c>
      <c r="J1073" s="11" t="s">
        <v>732</v>
      </c>
      <c r="K1073" s="8" t="s">
        <v>755</v>
      </c>
    </row>
    <row r="1074" spans="1:11" ht="15.5" x14ac:dyDescent="0.35">
      <c r="A1074" s="10"/>
      <c r="B1074" s="10"/>
      <c r="C1074" s="10"/>
      <c r="D1074" s="10"/>
      <c r="E1074" s="10"/>
      <c r="F1074" s="10"/>
      <c r="G1074" s="9"/>
      <c r="H1074" s="9"/>
      <c r="I1074" s="9"/>
      <c r="J1074" s="9"/>
      <c r="K1074" s="8" t="s">
        <v>754</v>
      </c>
    </row>
    <row r="1075" spans="1:11" ht="15.5" x14ac:dyDescent="0.35">
      <c r="A1075" s="10"/>
      <c r="B1075" s="10"/>
      <c r="C1075" s="10"/>
      <c r="D1075" s="10"/>
      <c r="E1075" s="10"/>
      <c r="F1075" s="10"/>
      <c r="G1075" s="11" t="s">
        <v>753</v>
      </c>
      <c r="H1075" s="11" t="s">
        <v>752</v>
      </c>
      <c r="I1075" s="12" t="s">
        <v>58</v>
      </c>
      <c r="J1075" s="11" t="s">
        <v>726</v>
      </c>
      <c r="K1075" s="8" t="s">
        <v>751</v>
      </c>
    </row>
    <row r="1076" spans="1:11" ht="15.5" x14ac:dyDescent="0.35">
      <c r="A1076" s="10"/>
      <c r="B1076" s="10"/>
      <c r="C1076" s="10"/>
      <c r="D1076" s="9"/>
      <c r="E1076" s="9"/>
      <c r="F1076" s="9"/>
      <c r="G1076" s="9"/>
      <c r="H1076" s="9"/>
      <c r="I1076" s="9"/>
      <c r="J1076" s="9"/>
      <c r="K1076" s="8" t="s">
        <v>750</v>
      </c>
    </row>
    <row r="1077" spans="1:11" ht="15.5" x14ac:dyDescent="0.35">
      <c r="A1077" s="10"/>
      <c r="B1077" s="10"/>
      <c r="C1077" s="10"/>
      <c r="D1077" s="11" t="s">
        <v>749</v>
      </c>
      <c r="E1077" s="11" t="s">
        <v>748</v>
      </c>
      <c r="F1077" s="11" t="s">
        <v>244</v>
      </c>
      <c r="G1077" s="11" t="s">
        <v>747</v>
      </c>
      <c r="H1077" s="11" t="s">
        <v>746</v>
      </c>
      <c r="I1077" s="12" t="s">
        <v>58</v>
      </c>
      <c r="J1077" s="11" t="s">
        <v>722</v>
      </c>
      <c r="K1077" s="8" t="s">
        <v>745</v>
      </c>
    </row>
    <row r="1078" spans="1:11" ht="15.5" x14ac:dyDescent="0.35">
      <c r="A1078" s="10"/>
      <c r="B1078" s="10"/>
      <c r="C1078" s="10"/>
      <c r="D1078" s="10"/>
      <c r="E1078" s="10"/>
      <c r="F1078" s="10"/>
      <c r="G1078" s="9"/>
      <c r="H1078" s="9"/>
      <c r="I1078" s="9"/>
      <c r="J1078" s="9"/>
      <c r="K1078" s="8" t="s">
        <v>744</v>
      </c>
    </row>
    <row r="1079" spans="1:11" ht="15.5" x14ac:dyDescent="0.35">
      <c r="A1079" s="10"/>
      <c r="B1079" s="10"/>
      <c r="C1079" s="10"/>
      <c r="D1079" s="10"/>
      <c r="E1079" s="10"/>
      <c r="F1079" s="10"/>
      <c r="G1079" s="11" t="s">
        <v>743</v>
      </c>
      <c r="H1079" s="11" t="s">
        <v>742</v>
      </c>
      <c r="I1079" s="12" t="s">
        <v>58</v>
      </c>
      <c r="J1079" s="11" t="s">
        <v>716</v>
      </c>
      <c r="K1079" s="8" t="s">
        <v>741</v>
      </c>
    </row>
    <row r="1080" spans="1:11" ht="15.5" x14ac:dyDescent="0.35">
      <c r="A1080" s="10"/>
      <c r="B1080" s="10"/>
      <c r="C1080" s="10"/>
      <c r="D1080" s="9"/>
      <c r="E1080" s="9"/>
      <c r="F1080" s="9"/>
      <c r="G1080" s="9"/>
      <c r="H1080" s="9"/>
      <c r="I1080" s="9"/>
      <c r="J1080" s="9"/>
      <c r="K1080" s="8" t="s">
        <v>740</v>
      </c>
    </row>
    <row r="1081" spans="1:11" ht="15.5" x14ac:dyDescent="0.35">
      <c r="A1081" s="10"/>
      <c r="B1081" s="10"/>
      <c r="C1081" s="10"/>
      <c r="D1081" s="11" t="s">
        <v>739</v>
      </c>
      <c r="E1081" s="11" t="s">
        <v>738</v>
      </c>
      <c r="F1081" s="11" t="s">
        <v>65</v>
      </c>
      <c r="G1081" s="11" t="s">
        <v>737</v>
      </c>
      <c r="H1081" s="11" t="s">
        <v>736</v>
      </c>
      <c r="I1081" s="12" t="s">
        <v>58</v>
      </c>
      <c r="J1081" s="11" t="s">
        <v>712</v>
      </c>
      <c r="K1081" s="8" t="s">
        <v>735</v>
      </c>
    </row>
    <row r="1082" spans="1:11" ht="15.5" x14ac:dyDescent="0.35">
      <c r="A1082" s="10"/>
      <c r="B1082" s="10"/>
      <c r="C1082" s="10"/>
      <c r="D1082" s="10"/>
      <c r="E1082" s="10"/>
      <c r="F1082" s="10"/>
      <c r="G1082" s="9"/>
      <c r="H1082" s="9"/>
      <c r="I1082" s="9"/>
      <c r="J1082" s="9"/>
      <c r="K1082" s="8" t="s">
        <v>734</v>
      </c>
    </row>
    <row r="1083" spans="1:11" ht="15.5" x14ac:dyDescent="0.35">
      <c r="A1083" s="10"/>
      <c r="B1083" s="10"/>
      <c r="C1083" s="10"/>
      <c r="D1083" s="10"/>
      <c r="E1083" s="10"/>
      <c r="F1083" s="10"/>
      <c r="G1083" s="11" t="s">
        <v>733</v>
      </c>
      <c r="H1083" s="11" t="s">
        <v>732</v>
      </c>
      <c r="I1083" s="12" t="s">
        <v>58</v>
      </c>
      <c r="J1083" s="11" t="s">
        <v>705</v>
      </c>
      <c r="K1083" s="8" t="s">
        <v>731</v>
      </c>
    </row>
    <row r="1084" spans="1:11" ht="15.5" x14ac:dyDescent="0.35">
      <c r="A1084" s="10"/>
      <c r="B1084" s="10"/>
      <c r="C1084" s="10"/>
      <c r="D1084" s="9"/>
      <c r="E1084" s="9"/>
      <c r="F1084" s="9"/>
      <c r="G1084" s="9"/>
      <c r="H1084" s="9"/>
      <c r="I1084" s="9"/>
      <c r="J1084" s="9"/>
      <c r="K1084" s="8" t="s">
        <v>730</v>
      </c>
    </row>
    <row r="1085" spans="1:11" ht="15.5" x14ac:dyDescent="0.35">
      <c r="A1085" s="10"/>
      <c r="B1085" s="10"/>
      <c r="C1085" s="10"/>
      <c r="D1085" s="11" t="s">
        <v>729</v>
      </c>
      <c r="E1085" s="11" t="s">
        <v>728</v>
      </c>
      <c r="F1085" s="11" t="s">
        <v>244</v>
      </c>
      <c r="G1085" s="11" t="s">
        <v>727</v>
      </c>
      <c r="H1085" s="11" t="s">
        <v>726</v>
      </c>
      <c r="I1085" s="12" t="s">
        <v>58</v>
      </c>
      <c r="J1085" s="11" t="s">
        <v>701</v>
      </c>
      <c r="K1085" s="8" t="s">
        <v>725</v>
      </c>
    </row>
    <row r="1086" spans="1:11" ht="15.5" x14ac:dyDescent="0.35">
      <c r="A1086" s="10"/>
      <c r="B1086" s="10"/>
      <c r="C1086" s="10"/>
      <c r="D1086" s="10"/>
      <c r="E1086" s="10"/>
      <c r="F1086" s="10"/>
      <c r="G1086" s="9"/>
      <c r="H1086" s="9"/>
      <c r="I1086" s="9"/>
      <c r="J1086" s="9"/>
      <c r="K1086" s="8" t="s">
        <v>724</v>
      </c>
    </row>
    <row r="1087" spans="1:11" ht="15.5" x14ac:dyDescent="0.35">
      <c r="A1087" s="10"/>
      <c r="B1087" s="10"/>
      <c r="C1087" s="10"/>
      <c r="D1087" s="10"/>
      <c r="E1087" s="10"/>
      <c r="F1087" s="10"/>
      <c r="G1087" s="11" t="s">
        <v>723</v>
      </c>
      <c r="H1087" s="11" t="s">
        <v>722</v>
      </c>
      <c r="I1087" s="12" t="s">
        <v>58</v>
      </c>
      <c r="J1087" s="11" t="s">
        <v>695</v>
      </c>
      <c r="K1087" s="8" t="s">
        <v>721</v>
      </c>
    </row>
    <row r="1088" spans="1:11" ht="15.5" x14ac:dyDescent="0.35">
      <c r="A1088" s="10"/>
      <c r="B1088" s="10"/>
      <c r="C1088" s="10"/>
      <c r="D1088" s="9"/>
      <c r="E1088" s="9"/>
      <c r="F1088" s="9"/>
      <c r="G1088" s="9"/>
      <c r="H1088" s="9"/>
      <c r="I1088" s="9"/>
      <c r="J1088" s="9"/>
      <c r="K1088" s="8" t="s">
        <v>720</v>
      </c>
    </row>
    <row r="1089" spans="1:11" ht="15.5" x14ac:dyDescent="0.35">
      <c r="A1089" s="10"/>
      <c r="B1089" s="10"/>
      <c r="C1089" s="10"/>
      <c r="D1089" s="11" t="s">
        <v>719</v>
      </c>
      <c r="E1089" s="11" t="s">
        <v>718</v>
      </c>
      <c r="F1089" s="11" t="s">
        <v>65</v>
      </c>
      <c r="G1089" s="11" t="s">
        <v>717</v>
      </c>
      <c r="H1089" s="11" t="s">
        <v>716</v>
      </c>
      <c r="I1089" s="12" t="s">
        <v>58</v>
      </c>
      <c r="J1089" s="11" t="s">
        <v>691</v>
      </c>
      <c r="K1089" s="8" t="s">
        <v>715</v>
      </c>
    </row>
    <row r="1090" spans="1:11" ht="15.5" x14ac:dyDescent="0.35">
      <c r="A1090" s="10"/>
      <c r="B1090" s="10"/>
      <c r="C1090" s="10"/>
      <c r="D1090" s="10"/>
      <c r="E1090" s="10"/>
      <c r="F1090" s="10"/>
      <c r="G1090" s="9"/>
      <c r="H1090" s="9"/>
      <c r="I1090" s="9"/>
      <c r="J1090" s="9"/>
      <c r="K1090" s="8" t="s">
        <v>714</v>
      </c>
    </row>
    <row r="1091" spans="1:11" ht="15.5" x14ac:dyDescent="0.35">
      <c r="A1091" s="10"/>
      <c r="B1091" s="10"/>
      <c r="C1091" s="10"/>
      <c r="D1091" s="10"/>
      <c r="E1091" s="10"/>
      <c r="F1091" s="10"/>
      <c r="G1091" s="11" t="s">
        <v>713</v>
      </c>
      <c r="H1091" s="11" t="s">
        <v>712</v>
      </c>
      <c r="I1091" s="12" t="s">
        <v>58</v>
      </c>
      <c r="J1091" s="11" t="s">
        <v>685</v>
      </c>
      <c r="K1091" s="8" t="s">
        <v>711</v>
      </c>
    </row>
    <row r="1092" spans="1:11" ht="15.5" x14ac:dyDescent="0.35">
      <c r="A1092" s="10"/>
      <c r="B1092" s="10"/>
      <c r="C1092" s="9"/>
      <c r="D1092" s="9"/>
      <c r="E1092" s="9"/>
      <c r="F1092" s="9"/>
      <c r="G1092" s="9"/>
      <c r="H1092" s="9"/>
      <c r="I1092" s="9"/>
      <c r="J1092" s="9"/>
      <c r="K1092" s="8" t="s">
        <v>710</v>
      </c>
    </row>
    <row r="1093" spans="1:11" ht="15.5" x14ac:dyDescent="0.35">
      <c r="A1093" s="10"/>
      <c r="B1093" s="10"/>
      <c r="C1093" s="20" t="s">
        <v>709</v>
      </c>
      <c r="D1093" s="11" t="s">
        <v>708</v>
      </c>
      <c r="E1093" s="11" t="s">
        <v>707</v>
      </c>
      <c r="F1093" s="11" t="s">
        <v>244</v>
      </c>
      <c r="G1093" s="11" t="s">
        <v>706</v>
      </c>
      <c r="H1093" s="11" t="s">
        <v>705</v>
      </c>
      <c r="I1093" s="12" t="s">
        <v>58</v>
      </c>
      <c r="J1093" s="11" t="s">
        <v>680</v>
      </c>
      <c r="K1093" s="8" t="s">
        <v>704</v>
      </c>
    </row>
    <row r="1094" spans="1:11" ht="15.5" x14ac:dyDescent="0.35">
      <c r="A1094" s="10"/>
      <c r="B1094" s="10"/>
      <c r="C1094" s="10"/>
      <c r="D1094" s="10"/>
      <c r="E1094" s="10"/>
      <c r="F1094" s="10"/>
      <c r="G1094" s="9"/>
      <c r="H1094" s="9"/>
      <c r="I1094" s="9"/>
      <c r="J1094" s="9"/>
      <c r="K1094" s="8" t="s">
        <v>703</v>
      </c>
    </row>
    <row r="1095" spans="1:11" ht="15.5" x14ac:dyDescent="0.35">
      <c r="A1095" s="10"/>
      <c r="B1095" s="10"/>
      <c r="C1095" s="10"/>
      <c r="D1095" s="10"/>
      <c r="E1095" s="10"/>
      <c r="F1095" s="10"/>
      <c r="G1095" s="11" t="s">
        <v>702</v>
      </c>
      <c r="H1095" s="11" t="s">
        <v>701</v>
      </c>
      <c r="I1095" s="12" t="s">
        <v>58</v>
      </c>
      <c r="J1095" s="11" t="s">
        <v>674</v>
      </c>
      <c r="K1095" s="8" t="s">
        <v>700</v>
      </c>
    </row>
    <row r="1096" spans="1:11" ht="15.5" x14ac:dyDescent="0.35">
      <c r="A1096" s="10"/>
      <c r="B1096" s="10"/>
      <c r="C1096" s="10"/>
      <c r="D1096" s="9"/>
      <c r="E1096" s="9"/>
      <c r="F1096" s="9"/>
      <c r="G1096" s="9"/>
      <c r="H1096" s="9"/>
      <c r="I1096" s="9"/>
      <c r="J1096" s="9"/>
      <c r="K1096" s="8" t="s">
        <v>699</v>
      </c>
    </row>
    <row r="1097" spans="1:11" ht="15.5" x14ac:dyDescent="0.35">
      <c r="A1097" s="10"/>
      <c r="B1097" s="10"/>
      <c r="C1097" s="10"/>
      <c r="D1097" s="11" t="s">
        <v>698</v>
      </c>
      <c r="E1097" s="11" t="s">
        <v>697</v>
      </c>
      <c r="F1097" s="11" t="s">
        <v>65</v>
      </c>
      <c r="G1097" s="11" t="s">
        <v>696</v>
      </c>
      <c r="H1097" s="11" t="s">
        <v>695</v>
      </c>
      <c r="I1097" s="12" t="s">
        <v>58</v>
      </c>
      <c r="J1097" s="11" t="s">
        <v>669</v>
      </c>
      <c r="K1097" s="8" t="s">
        <v>694</v>
      </c>
    </row>
    <row r="1098" spans="1:11" ht="15.5" x14ac:dyDescent="0.35">
      <c r="A1098" s="10"/>
      <c r="B1098" s="10"/>
      <c r="C1098" s="10"/>
      <c r="D1098" s="10"/>
      <c r="E1098" s="10"/>
      <c r="F1098" s="10"/>
      <c r="G1098" s="9"/>
      <c r="H1098" s="9"/>
      <c r="I1098" s="9"/>
      <c r="J1098" s="9"/>
      <c r="K1098" s="8" t="s">
        <v>693</v>
      </c>
    </row>
    <row r="1099" spans="1:11" ht="15.5" x14ac:dyDescent="0.35">
      <c r="A1099" s="10"/>
      <c r="B1099" s="10"/>
      <c r="C1099" s="10"/>
      <c r="D1099" s="10"/>
      <c r="E1099" s="10"/>
      <c r="F1099" s="10"/>
      <c r="G1099" s="11" t="s">
        <v>692</v>
      </c>
      <c r="H1099" s="11" t="s">
        <v>691</v>
      </c>
      <c r="I1099" s="12" t="s">
        <v>58</v>
      </c>
      <c r="J1099" s="11" t="s">
        <v>662</v>
      </c>
      <c r="K1099" s="8" t="s">
        <v>690</v>
      </c>
    </row>
    <row r="1100" spans="1:11" ht="15.5" x14ac:dyDescent="0.35">
      <c r="A1100" s="10"/>
      <c r="B1100" s="10"/>
      <c r="C1100" s="10"/>
      <c r="D1100" s="9"/>
      <c r="E1100" s="9"/>
      <c r="F1100" s="9"/>
      <c r="G1100" s="9"/>
      <c r="H1100" s="9"/>
      <c r="I1100" s="9"/>
      <c r="J1100" s="9"/>
      <c r="K1100" s="8" t="s">
        <v>689</v>
      </c>
    </row>
    <row r="1101" spans="1:11" ht="15.5" x14ac:dyDescent="0.35">
      <c r="A1101" s="10"/>
      <c r="B1101" s="10"/>
      <c r="C1101" s="10"/>
      <c r="D1101" s="11" t="s">
        <v>688</v>
      </c>
      <c r="E1101" s="11" t="s">
        <v>687</v>
      </c>
      <c r="F1101" s="11" t="s">
        <v>244</v>
      </c>
      <c r="G1101" s="11" t="s">
        <v>686</v>
      </c>
      <c r="H1101" s="11" t="s">
        <v>685</v>
      </c>
      <c r="I1101" s="12" t="s">
        <v>58</v>
      </c>
      <c r="J1101" s="11" t="s">
        <v>684</v>
      </c>
      <c r="K1101" s="8" t="s">
        <v>683</v>
      </c>
    </row>
    <row r="1102" spans="1:11" ht="15.5" x14ac:dyDescent="0.35">
      <c r="A1102" s="10"/>
      <c r="B1102" s="10"/>
      <c r="C1102" s="10"/>
      <c r="D1102" s="10"/>
      <c r="E1102" s="10"/>
      <c r="F1102" s="10"/>
      <c r="G1102" s="9"/>
      <c r="H1102" s="9"/>
      <c r="I1102" s="9"/>
      <c r="J1102" s="9"/>
      <c r="K1102" s="8" t="s">
        <v>682</v>
      </c>
    </row>
    <row r="1103" spans="1:11" ht="15.5" x14ac:dyDescent="0.35">
      <c r="A1103" s="10"/>
      <c r="B1103" s="10"/>
      <c r="C1103" s="10"/>
      <c r="D1103" s="10"/>
      <c r="E1103" s="10"/>
      <c r="F1103" s="10"/>
      <c r="G1103" s="11" t="s">
        <v>681</v>
      </c>
      <c r="H1103" s="11" t="s">
        <v>680</v>
      </c>
      <c r="I1103" s="12" t="s">
        <v>58</v>
      </c>
      <c r="J1103" s="11" t="s">
        <v>649</v>
      </c>
      <c r="K1103" s="8" t="s">
        <v>679</v>
      </c>
    </row>
    <row r="1104" spans="1:11" ht="15.5" x14ac:dyDescent="0.35">
      <c r="A1104" s="10"/>
      <c r="B1104" s="10"/>
      <c r="C1104" s="10"/>
      <c r="D1104" s="9"/>
      <c r="E1104" s="9"/>
      <c r="F1104" s="9"/>
      <c r="G1104" s="9"/>
      <c r="H1104" s="9"/>
      <c r="I1104" s="9"/>
      <c r="J1104" s="9"/>
      <c r="K1104" s="8" t="s">
        <v>678</v>
      </c>
    </row>
    <row r="1105" spans="1:11" ht="15.5" x14ac:dyDescent="0.35">
      <c r="A1105" s="10"/>
      <c r="B1105" s="10"/>
      <c r="C1105" s="10"/>
      <c r="D1105" s="11" t="s">
        <v>677</v>
      </c>
      <c r="E1105" s="11" t="s">
        <v>676</v>
      </c>
      <c r="F1105" s="11" t="s">
        <v>65</v>
      </c>
      <c r="G1105" s="11" t="s">
        <v>675</v>
      </c>
      <c r="H1105" s="11" t="s">
        <v>674</v>
      </c>
      <c r="I1105" s="12" t="s">
        <v>58</v>
      </c>
      <c r="J1105" s="11" t="s">
        <v>673</v>
      </c>
      <c r="K1105" s="8" t="s">
        <v>672</v>
      </c>
    </row>
    <row r="1106" spans="1:11" ht="15.5" x14ac:dyDescent="0.35">
      <c r="A1106" s="10"/>
      <c r="B1106" s="10"/>
      <c r="C1106" s="10"/>
      <c r="D1106" s="10"/>
      <c r="E1106" s="10"/>
      <c r="F1106" s="10"/>
      <c r="G1106" s="9"/>
      <c r="H1106" s="9"/>
      <c r="I1106" s="9"/>
      <c r="J1106" s="9"/>
      <c r="K1106" s="8" t="s">
        <v>671</v>
      </c>
    </row>
    <row r="1107" spans="1:11" ht="15.5" x14ac:dyDescent="0.35">
      <c r="A1107" s="10"/>
      <c r="B1107" s="10"/>
      <c r="C1107" s="10"/>
      <c r="D1107" s="10"/>
      <c r="E1107" s="10"/>
      <c r="F1107" s="10"/>
      <c r="G1107" s="11" t="s">
        <v>670</v>
      </c>
      <c r="H1107" s="11" t="s">
        <v>669</v>
      </c>
      <c r="I1107" s="12" t="s">
        <v>58</v>
      </c>
      <c r="J1107" s="11" t="s">
        <v>668</v>
      </c>
      <c r="K1107" s="8" t="s">
        <v>667</v>
      </c>
    </row>
    <row r="1108" spans="1:11" ht="15.5" x14ac:dyDescent="0.35">
      <c r="A1108" s="10"/>
      <c r="B1108" s="10"/>
      <c r="C1108" s="10"/>
      <c r="D1108" s="9"/>
      <c r="E1108" s="9"/>
      <c r="F1108" s="9"/>
      <c r="G1108" s="9"/>
      <c r="H1108" s="9"/>
      <c r="I1108" s="9"/>
      <c r="J1108" s="9"/>
      <c r="K1108" s="8" t="s">
        <v>666</v>
      </c>
    </row>
    <row r="1109" spans="1:11" ht="15.5" x14ac:dyDescent="0.35">
      <c r="A1109" s="10"/>
      <c r="B1109" s="10"/>
      <c r="C1109" s="10"/>
      <c r="D1109" s="11" t="s">
        <v>665</v>
      </c>
      <c r="E1109" s="11" t="s">
        <v>664</v>
      </c>
      <c r="F1109" s="11" t="s">
        <v>65</v>
      </c>
      <c r="G1109" s="11" t="s">
        <v>663</v>
      </c>
      <c r="H1109" s="11" t="s">
        <v>662</v>
      </c>
      <c r="I1109" s="12" t="s">
        <v>58</v>
      </c>
      <c r="J1109" s="11" t="s">
        <v>661</v>
      </c>
      <c r="K1109" s="8" t="s">
        <v>660</v>
      </c>
    </row>
    <row r="1110" spans="1:11" ht="15.5" x14ac:dyDescent="0.35">
      <c r="A1110" s="10"/>
      <c r="B1110" s="10"/>
      <c r="C1110" s="10"/>
      <c r="D1110" s="10"/>
      <c r="E1110" s="10"/>
      <c r="F1110" s="10"/>
      <c r="G1110" s="9"/>
      <c r="H1110" s="9"/>
      <c r="I1110" s="9"/>
      <c r="J1110" s="9"/>
      <c r="K1110" s="8" t="s">
        <v>659</v>
      </c>
    </row>
    <row r="1111" spans="1:11" ht="15.5" x14ac:dyDescent="0.35">
      <c r="A1111" s="10"/>
      <c r="B1111" s="10"/>
      <c r="C1111" s="10"/>
      <c r="D1111" s="10"/>
      <c r="E1111" s="10"/>
      <c r="F1111" s="10"/>
      <c r="G1111" s="11" t="s">
        <v>658</v>
      </c>
      <c r="H1111" s="11" t="s">
        <v>657</v>
      </c>
      <c r="I1111" s="12" t="s">
        <v>58</v>
      </c>
      <c r="J1111" s="11" t="s">
        <v>656</v>
      </c>
      <c r="K1111" s="8" t="s">
        <v>655</v>
      </c>
    </row>
    <row r="1112" spans="1:11" ht="15.5" x14ac:dyDescent="0.35">
      <c r="A1112" s="10"/>
      <c r="B1112" s="10"/>
      <c r="C1112" s="9"/>
      <c r="D1112" s="9"/>
      <c r="E1112" s="9"/>
      <c r="F1112" s="9"/>
      <c r="G1112" s="9"/>
      <c r="H1112" s="9"/>
      <c r="I1112" s="9"/>
      <c r="J1112" s="9"/>
      <c r="K1112" s="8" t="s">
        <v>654</v>
      </c>
    </row>
    <row r="1113" spans="1:11" ht="15.5" x14ac:dyDescent="0.35">
      <c r="A1113" s="10"/>
      <c r="B1113" s="10"/>
      <c r="C1113" s="20" t="s">
        <v>653</v>
      </c>
      <c r="D1113" s="11" t="s">
        <v>652</v>
      </c>
      <c r="E1113" s="11" t="s">
        <v>651</v>
      </c>
      <c r="F1113" s="11" t="s">
        <v>244</v>
      </c>
      <c r="G1113" s="11" t="s">
        <v>650</v>
      </c>
      <c r="H1113" s="11" t="s">
        <v>649</v>
      </c>
      <c r="I1113" s="12" t="s">
        <v>58</v>
      </c>
      <c r="J1113" s="11" t="s">
        <v>648</v>
      </c>
      <c r="K1113" s="8" t="s">
        <v>647</v>
      </c>
    </row>
    <row r="1114" spans="1:11" ht="15.5" x14ac:dyDescent="0.35">
      <c r="A1114" s="10"/>
      <c r="B1114" s="10"/>
      <c r="C1114" s="10"/>
      <c r="D1114" s="10"/>
      <c r="E1114" s="10"/>
      <c r="F1114" s="10"/>
      <c r="G1114" s="9"/>
      <c r="H1114" s="9"/>
      <c r="I1114" s="9"/>
      <c r="J1114" s="9"/>
      <c r="K1114" s="8" t="s">
        <v>646</v>
      </c>
    </row>
    <row r="1115" spans="1:11" ht="15.5" x14ac:dyDescent="0.35">
      <c r="A1115" s="10"/>
      <c r="B1115" s="10"/>
      <c r="C1115" s="10"/>
      <c r="D1115" s="10"/>
      <c r="E1115" s="10"/>
      <c r="F1115" s="10"/>
      <c r="G1115" s="11" t="s">
        <v>645</v>
      </c>
      <c r="H1115" s="11" t="s">
        <v>644</v>
      </c>
      <c r="I1115" s="12" t="s">
        <v>58</v>
      </c>
      <c r="J1115" s="11" t="s">
        <v>643</v>
      </c>
      <c r="K1115" s="8" t="s">
        <v>642</v>
      </c>
    </row>
    <row r="1116" spans="1:11" ht="15.5" x14ac:dyDescent="0.35">
      <c r="A1116" s="10"/>
      <c r="B1116" s="10"/>
      <c r="C1116" s="10"/>
      <c r="D1116" s="9"/>
      <c r="E1116" s="9"/>
      <c r="F1116" s="9"/>
      <c r="G1116" s="9"/>
      <c r="H1116" s="9"/>
      <c r="I1116" s="9"/>
      <c r="J1116" s="9"/>
      <c r="K1116" s="8" t="s">
        <v>641</v>
      </c>
    </row>
    <row r="1117" spans="1:11" ht="15.5" x14ac:dyDescent="0.35">
      <c r="A1117" s="10"/>
      <c r="B1117" s="10"/>
      <c r="C1117" s="10"/>
      <c r="D1117" s="11" t="s">
        <v>640</v>
      </c>
      <c r="E1117" s="11" t="s">
        <v>639</v>
      </c>
      <c r="F1117" s="11" t="s">
        <v>65</v>
      </c>
      <c r="G1117" s="11" t="s">
        <v>638</v>
      </c>
      <c r="H1117" s="11" t="s">
        <v>637</v>
      </c>
      <c r="I1117" s="12" t="s">
        <v>58</v>
      </c>
      <c r="J1117" s="11" t="s">
        <v>636</v>
      </c>
      <c r="K1117" s="8" t="s">
        <v>635</v>
      </c>
    </row>
    <row r="1118" spans="1:11" ht="15.5" x14ac:dyDescent="0.35">
      <c r="A1118" s="10"/>
      <c r="B1118" s="10"/>
      <c r="C1118" s="10"/>
      <c r="D1118" s="10"/>
      <c r="E1118" s="10"/>
      <c r="F1118" s="10"/>
      <c r="G1118" s="9"/>
      <c r="H1118" s="9"/>
      <c r="I1118" s="9"/>
      <c r="J1118" s="9"/>
      <c r="K1118" s="8" t="s">
        <v>634</v>
      </c>
    </row>
    <row r="1119" spans="1:11" ht="15.5" x14ac:dyDescent="0.35">
      <c r="A1119" s="10"/>
      <c r="B1119" s="10"/>
      <c r="C1119" s="10"/>
      <c r="D1119" s="10"/>
      <c r="E1119" s="10"/>
      <c r="F1119" s="10"/>
      <c r="G1119" s="11" t="s">
        <v>633</v>
      </c>
      <c r="H1119" s="11" t="s">
        <v>632</v>
      </c>
      <c r="I1119" s="12" t="s">
        <v>58</v>
      </c>
      <c r="J1119" s="11" t="s">
        <v>631</v>
      </c>
      <c r="K1119" s="8" t="s">
        <v>630</v>
      </c>
    </row>
    <row r="1120" spans="1:11" ht="15.5" x14ac:dyDescent="0.35">
      <c r="A1120" s="10"/>
      <c r="B1120" s="10"/>
      <c r="C1120" s="10"/>
      <c r="D1120" s="9"/>
      <c r="E1120" s="9"/>
      <c r="F1120" s="9"/>
      <c r="G1120" s="9"/>
      <c r="H1120" s="9"/>
      <c r="I1120" s="9"/>
      <c r="J1120" s="9"/>
      <c r="K1120" s="8" t="s">
        <v>629</v>
      </c>
    </row>
    <row r="1121" spans="1:11" ht="15.5" x14ac:dyDescent="0.35">
      <c r="A1121" s="10"/>
      <c r="B1121" s="10"/>
      <c r="C1121" s="10"/>
      <c r="D1121" s="11" t="s">
        <v>628</v>
      </c>
      <c r="E1121" s="11" t="s">
        <v>627</v>
      </c>
      <c r="F1121" s="11" t="s">
        <v>65</v>
      </c>
      <c r="G1121" s="11" t="s">
        <v>626</v>
      </c>
      <c r="H1121" s="11" t="s">
        <v>625</v>
      </c>
      <c r="I1121" s="14" t="s">
        <v>120</v>
      </c>
      <c r="J1121" s="11" t="s">
        <v>624</v>
      </c>
      <c r="K1121" s="8" t="s">
        <v>212</v>
      </c>
    </row>
    <row r="1122" spans="1:11" ht="15.5" x14ac:dyDescent="0.35">
      <c r="A1122" s="10"/>
      <c r="B1122" s="10"/>
      <c r="C1122" s="10"/>
      <c r="D1122" s="10"/>
      <c r="E1122" s="10"/>
      <c r="F1122" s="10"/>
      <c r="G1122" s="9"/>
      <c r="H1122" s="9"/>
      <c r="I1122" s="9"/>
      <c r="J1122" s="9"/>
      <c r="K1122" s="8" t="s">
        <v>623</v>
      </c>
    </row>
    <row r="1123" spans="1:11" ht="15.5" x14ac:dyDescent="0.35">
      <c r="A1123" s="10"/>
      <c r="B1123" s="10"/>
      <c r="C1123" s="10"/>
      <c r="D1123" s="10"/>
      <c r="E1123" s="10"/>
      <c r="F1123" s="10"/>
      <c r="G1123" s="11" t="s">
        <v>622</v>
      </c>
      <c r="H1123" s="11" t="s">
        <v>621</v>
      </c>
      <c r="I1123" s="14" t="s">
        <v>120</v>
      </c>
      <c r="J1123" s="11" t="s">
        <v>620</v>
      </c>
      <c r="K1123" s="8" t="s">
        <v>619</v>
      </c>
    </row>
    <row r="1124" spans="1:11" ht="15.5" x14ac:dyDescent="0.35">
      <c r="A1124" s="10"/>
      <c r="B1124" s="10"/>
      <c r="C1124" s="10"/>
      <c r="D1124" s="9"/>
      <c r="E1124" s="9"/>
      <c r="F1124" s="9"/>
      <c r="G1124" s="9"/>
      <c r="H1124" s="9"/>
      <c r="I1124" s="9"/>
      <c r="J1124" s="9"/>
      <c r="K1124" s="8" t="s">
        <v>618</v>
      </c>
    </row>
    <row r="1125" spans="1:11" ht="15.5" x14ac:dyDescent="0.35">
      <c r="A1125" s="10"/>
      <c r="B1125" s="10"/>
      <c r="C1125" s="10"/>
      <c r="D1125" s="11" t="s">
        <v>617</v>
      </c>
      <c r="E1125" s="11" t="s">
        <v>616</v>
      </c>
      <c r="F1125" s="11" t="s">
        <v>65</v>
      </c>
      <c r="G1125" s="11" t="s">
        <v>615</v>
      </c>
      <c r="H1125" s="11" t="s">
        <v>614</v>
      </c>
      <c r="I1125" s="12" t="s">
        <v>58</v>
      </c>
      <c r="J1125" s="11" t="s">
        <v>613</v>
      </c>
      <c r="K1125" s="8" t="s">
        <v>612</v>
      </c>
    </row>
    <row r="1126" spans="1:11" ht="15.5" x14ac:dyDescent="0.35">
      <c r="A1126" s="10"/>
      <c r="B1126" s="10"/>
      <c r="C1126" s="10"/>
      <c r="D1126" s="10"/>
      <c r="E1126" s="10"/>
      <c r="F1126" s="10"/>
      <c r="G1126" s="9"/>
      <c r="H1126" s="9"/>
      <c r="I1126" s="9"/>
      <c r="J1126" s="9"/>
      <c r="K1126" s="8" t="s">
        <v>611</v>
      </c>
    </row>
    <row r="1127" spans="1:11" ht="15.5" x14ac:dyDescent="0.35">
      <c r="A1127" s="10"/>
      <c r="B1127" s="10"/>
      <c r="C1127" s="10"/>
      <c r="D1127" s="10"/>
      <c r="E1127" s="10"/>
      <c r="F1127" s="10"/>
      <c r="G1127" s="11" t="s">
        <v>610</v>
      </c>
      <c r="H1127" s="11" t="s">
        <v>609</v>
      </c>
      <c r="I1127" s="12" t="s">
        <v>58</v>
      </c>
      <c r="J1127" s="11" t="s">
        <v>608</v>
      </c>
      <c r="K1127" s="8" t="s">
        <v>607</v>
      </c>
    </row>
    <row r="1128" spans="1:11" ht="15.5" x14ac:dyDescent="0.35">
      <c r="A1128" s="10"/>
      <c r="B1128" s="10"/>
      <c r="C1128" s="10"/>
      <c r="D1128" s="9"/>
      <c r="E1128" s="9"/>
      <c r="F1128" s="9"/>
      <c r="G1128" s="9"/>
      <c r="H1128" s="9"/>
      <c r="I1128" s="9"/>
      <c r="J1128" s="9"/>
      <c r="K1128" s="8" t="s">
        <v>606</v>
      </c>
    </row>
    <row r="1129" spans="1:11" ht="15.5" x14ac:dyDescent="0.35">
      <c r="A1129" s="10"/>
      <c r="B1129" s="10"/>
      <c r="C1129" s="10"/>
      <c r="D1129" s="11" t="s">
        <v>605</v>
      </c>
      <c r="E1129" s="11" t="s">
        <v>604</v>
      </c>
      <c r="F1129" s="11" t="s">
        <v>65</v>
      </c>
      <c r="G1129" s="11" t="s">
        <v>603</v>
      </c>
      <c r="H1129" s="11" t="s">
        <v>602</v>
      </c>
      <c r="I1129" s="12" t="s">
        <v>58</v>
      </c>
      <c r="J1129" s="11" t="s">
        <v>601</v>
      </c>
      <c r="K1129" s="8" t="s">
        <v>600</v>
      </c>
    </row>
    <row r="1130" spans="1:11" ht="15.5" x14ac:dyDescent="0.35">
      <c r="A1130" s="10"/>
      <c r="B1130" s="10"/>
      <c r="C1130" s="10"/>
      <c r="D1130" s="10"/>
      <c r="E1130" s="10"/>
      <c r="F1130" s="10"/>
      <c r="G1130" s="9"/>
      <c r="H1130" s="9"/>
      <c r="I1130" s="9"/>
      <c r="J1130" s="9"/>
      <c r="K1130" s="8" t="s">
        <v>599</v>
      </c>
    </row>
    <row r="1131" spans="1:11" ht="15.5" x14ac:dyDescent="0.35">
      <c r="A1131" s="10"/>
      <c r="B1131" s="10"/>
      <c r="C1131" s="10"/>
      <c r="D1131" s="10"/>
      <c r="E1131" s="10"/>
      <c r="F1131" s="10"/>
      <c r="G1131" s="11" t="s">
        <v>598</v>
      </c>
      <c r="H1131" s="11" t="s">
        <v>597</v>
      </c>
      <c r="I1131" s="12" t="s">
        <v>58</v>
      </c>
      <c r="J1131" s="11" t="s">
        <v>596</v>
      </c>
      <c r="K1131" s="8" t="s">
        <v>595</v>
      </c>
    </row>
    <row r="1132" spans="1:11" ht="15.5" x14ac:dyDescent="0.35">
      <c r="A1132" s="10"/>
      <c r="B1132" s="10"/>
      <c r="C1132" s="9"/>
      <c r="D1132" s="9"/>
      <c r="E1132" s="9"/>
      <c r="F1132" s="9"/>
      <c r="G1132" s="9"/>
      <c r="H1132" s="9"/>
      <c r="I1132" s="9"/>
      <c r="J1132" s="9"/>
      <c r="K1132" s="8" t="s">
        <v>594</v>
      </c>
    </row>
    <row r="1133" spans="1:11" ht="15.5" x14ac:dyDescent="0.35">
      <c r="A1133" s="10"/>
      <c r="B1133" s="10"/>
      <c r="C1133" s="11" t="s">
        <v>593</v>
      </c>
      <c r="D1133" s="11" t="s">
        <v>592</v>
      </c>
      <c r="E1133" s="11" t="s">
        <v>591</v>
      </c>
      <c r="F1133" s="11" t="s">
        <v>65</v>
      </c>
      <c r="G1133" s="11" t="s">
        <v>590</v>
      </c>
      <c r="H1133" s="11" t="s">
        <v>589</v>
      </c>
      <c r="I1133" s="12" t="s">
        <v>58</v>
      </c>
      <c r="J1133" s="11" t="s">
        <v>588</v>
      </c>
      <c r="K1133" s="8" t="s">
        <v>587</v>
      </c>
    </row>
    <row r="1134" spans="1:11" ht="15.5" x14ac:dyDescent="0.35">
      <c r="A1134" s="10"/>
      <c r="B1134" s="10"/>
      <c r="C1134" s="10"/>
      <c r="D1134" s="10"/>
      <c r="E1134" s="10"/>
      <c r="F1134" s="10"/>
      <c r="G1134" s="9"/>
      <c r="H1134" s="9"/>
      <c r="I1134" s="9"/>
      <c r="J1134" s="9"/>
      <c r="K1134" s="8" t="s">
        <v>586</v>
      </c>
    </row>
    <row r="1135" spans="1:11" ht="15.5" x14ac:dyDescent="0.35">
      <c r="A1135" s="10"/>
      <c r="B1135" s="10"/>
      <c r="C1135" s="10"/>
      <c r="D1135" s="10"/>
      <c r="E1135" s="10"/>
      <c r="F1135" s="10"/>
      <c r="G1135" s="11" t="s">
        <v>585</v>
      </c>
      <c r="H1135" s="11" t="s">
        <v>584</v>
      </c>
      <c r="I1135" s="12" t="s">
        <v>58</v>
      </c>
      <c r="J1135" s="11" t="s">
        <v>583</v>
      </c>
      <c r="K1135" s="8" t="s">
        <v>582</v>
      </c>
    </row>
    <row r="1136" spans="1:11" ht="15.5" x14ac:dyDescent="0.35">
      <c r="A1136" s="10"/>
      <c r="B1136" s="10"/>
      <c r="C1136" s="10"/>
      <c r="D1136" s="9"/>
      <c r="E1136" s="9"/>
      <c r="F1136" s="9"/>
      <c r="G1136" s="9"/>
      <c r="H1136" s="9"/>
      <c r="I1136" s="9"/>
      <c r="J1136" s="9"/>
      <c r="K1136" s="8" t="s">
        <v>581</v>
      </c>
    </row>
    <row r="1137" spans="1:11" ht="15.5" x14ac:dyDescent="0.35">
      <c r="A1137" s="10"/>
      <c r="B1137" s="10"/>
      <c r="C1137" s="10"/>
      <c r="D1137" s="11" t="s">
        <v>580</v>
      </c>
      <c r="E1137" s="11" t="s">
        <v>579</v>
      </c>
      <c r="F1137" s="11" t="s">
        <v>65</v>
      </c>
      <c r="G1137" s="11" t="s">
        <v>578</v>
      </c>
      <c r="H1137" s="11" t="s">
        <v>577</v>
      </c>
      <c r="I1137" s="12" t="s">
        <v>58</v>
      </c>
      <c r="J1137" s="11" t="s">
        <v>576</v>
      </c>
      <c r="K1137" s="8" t="s">
        <v>575</v>
      </c>
    </row>
    <row r="1138" spans="1:11" ht="15.5" x14ac:dyDescent="0.35">
      <c r="A1138" s="10"/>
      <c r="B1138" s="10"/>
      <c r="C1138" s="10"/>
      <c r="D1138" s="10"/>
      <c r="E1138" s="10"/>
      <c r="F1138" s="10"/>
      <c r="G1138" s="9"/>
      <c r="H1138" s="9"/>
      <c r="I1138" s="9"/>
      <c r="J1138" s="9"/>
      <c r="K1138" s="8" t="s">
        <v>574</v>
      </c>
    </row>
    <row r="1139" spans="1:11" ht="15.5" x14ac:dyDescent="0.35">
      <c r="A1139" s="10"/>
      <c r="B1139" s="10"/>
      <c r="C1139" s="10"/>
      <c r="D1139" s="10"/>
      <c r="E1139" s="10"/>
      <c r="F1139" s="10"/>
      <c r="G1139" s="11" t="s">
        <v>573</v>
      </c>
      <c r="H1139" s="11" t="s">
        <v>572</v>
      </c>
      <c r="I1139" s="12" t="s">
        <v>58</v>
      </c>
      <c r="J1139" s="11" t="s">
        <v>571</v>
      </c>
      <c r="K1139" s="8" t="s">
        <v>570</v>
      </c>
    </row>
    <row r="1140" spans="1:11" ht="15.5" x14ac:dyDescent="0.35">
      <c r="A1140" s="10"/>
      <c r="B1140" s="10"/>
      <c r="C1140" s="10"/>
      <c r="D1140" s="9"/>
      <c r="E1140" s="9"/>
      <c r="F1140" s="9"/>
      <c r="G1140" s="9"/>
      <c r="H1140" s="9"/>
      <c r="I1140" s="9"/>
      <c r="J1140" s="9"/>
      <c r="K1140" s="8" t="s">
        <v>569</v>
      </c>
    </row>
    <row r="1141" spans="1:11" ht="15.5" x14ac:dyDescent="0.35">
      <c r="A1141" s="10"/>
      <c r="B1141" s="10"/>
      <c r="C1141" s="10"/>
      <c r="D1141" s="11" t="s">
        <v>568</v>
      </c>
      <c r="E1141" s="11" t="s">
        <v>567</v>
      </c>
      <c r="F1141" s="11" t="s">
        <v>65</v>
      </c>
      <c r="G1141" s="11" t="s">
        <v>566</v>
      </c>
      <c r="H1141" s="11" t="s">
        <v>565</v>
      </c>
      <c r="I1141" s="12" t="s">
        <v>58</v>
      </c>
      <c r="J1141" s="11" t="s">
        <v>564</v>
      </c>
      <c r="K1141" s="8" t="s">
        <v>563</v>
      </c>
    </row>
    <row r="1142" spans="1:11" ht="15.5" x14ac:dyDescent="0.35">
      <c r="A1142" s="10"/>
      <c r="B1142" s="10"/>
      <c r="C1142" s="10"/>
      <c r="D1142" s="10"/>
      <c r="E1142" s="10"/>
      <c r="F1142" s="10"/>
      <c r="G1142" s="9"/>
      <c r="H1142" s="9"/>
      <c r="I1142" s="9"/>
      <c r="J1142" s="9"/>
      <c r="K1142" s="8" t="s">
        <v>562</v>
      </c>
    </row>
    <row r="1143" spans="1:11" ht="15.5" x14ac:dyDescent="0.35">
      <c r="A1143" s="10"/>
      <c r="B1143" s="10"/>
      <c r="C1143" s="10"/>
      <c r="D1143" s="10"/>
      <c r="E1143" s="10"/>
      <c r="F1143" s="10"/>
      <c r="G1143" s="11" t="s">
        <v>561</v>
      </c>
      <c r="H1143" s="11" t="s">
        <v>560</v>
      </c>
      <c r="I1143" s="12" t="s">
        <v>58</v>
      </c>
      <c r="J1143" s="11" t="s">
        <v>559</v>
      </c>
      <c r="K1143" s="8" t="s">
        <v>558</v>
      </c>
    </row>
    <row r="1144" spans="1:11" ht="15.5" x14ac:dyDescent="0.35">
      <c r="A1144" s="10"/>
      <c r="B1144" s="10"/>
      <c r="C1144" s="10"/>
      <c r="D1144" s="9"/>
      <c r="E1144" s="9"/>
      <c r="F1144" s="9"/>
      <c r="G1144" s="9"/>
      <c r="H1144" s="9"/>
      <c r="I1144" s="9"/>
      <c r="J1144" s="9"/>
      <c r="K1144" s="8" t="s">
        <v>557</v>
      </c>
    </row>
    <row r="1145" spans="1:11" ht="15.5" x14ac:dyDescent="0.35">
      <c r="A1145" s="10"/>
      <c r="B1145" s="10"/>
      <c r="C1145" s="10"/>
      <c r="D1145" s="11" t="s">
        <v>556</v>
      </c>
      <c r="E1145" s="11" t="s">
        <v>555</v>
      </c>
      <c r="F1145" s="11" t="s">
        <v>65</v>
      </c>
      <c r="G1145" s="11" t="s">
        <v>554</v>
      </c>
      <c r="H1145" s="11" t="s">
        <v>553</v>
      </c>
      <c r="I1145" s="14" t="s">
        <v>120</v>
      </c>
      <c r="J1145" s="11" t="s">
        <v>552</v>
      </c>
      <c r="K1145" s="8" t="s">
        <v>551</v>
      </c>
    </row>
    <row r="1146" spans="1:11" ht="15.5" x14ac:dyDescent="0.35">
      <c r="A1146" s="10"/>
      <c r="B1146" s="10"/>
      <c r="C1146" s="10"/>
      <c r="D1146" s="10"/>
      <c r="E1146" s="10"/>
      <c r="F1146" s="10"/>
      <c r="G1146" s="9"/>
      <c r="H1146" s="9"/>
      <c r="I1146" s="9"/>
      <c r="J1146" s="9"/>
      <c r="K1146" s="8" t="s">
        <v>550</v>
      </c>
    </row>
    <row r="1147" spans="1:11" ht="15.5" x14ac:dyDescent="0.35">
      <c r="A1147" s="10"/>
      <c r="B1147" s="10"/>
      <c r="C1147" s="10"/>
      <c r="D1147" s="10"/>
      <c r="E1147" s="10"/>
      <c r="F1147" s="10"/>
      <c r="G1147" s="11" t="s">
        <v>549</v>
      </c>
      <c r="H1147" s="11" t="s">
        <v>548</v>
      </c>
      <c r="I1147" s="14" t="s">
        <v>120</v>
      </c>
      <c r="J1147" s="11" t="s">
        <v>547</v>
      </c>
      <c r="K1147" s="8" t="s">
        <v>546</v>
      </c>
    </row>
    <row r="1148" spans="1:11" ht="15.5" x14ac:dyDescent="0.35">
      <c r="A1148" s="10"/>
      <c r="B1148" s="10"/>
      <c r="C1148" s="10"/>
      <c r="D1148" s="9"/>
      <c r="E1148" s="9"/>
      <c r="F1148" s="9"/>
      <c r="G1148" s="9"/>
      <c r="H1148" s="9"/>
      <c r="I1148" s="9"/>
      <c r="J1148" s="9"/>
      <c r="K1148" s="8" t="s">
        <v>545</v>
      </c>
    </row>
    <row r="1149" spans="1:11" ht="15.5" x14ac:dyDescent="0.35">
      <c r="A1149" s="10"/>
      <c r="B1149" s="10"/>
      <c r="C1149" s="10"/>
      <c r="D1149" s="11" t="s">
        <v>544</v>
      </c>
      <c r="E1149" s="11" t="s">
        <v>543</v>
      </c>
      <c r="F1149" s="11" t="s">
        <v>65</v>
      </c>
      <c r="G1149" s="11" t="s">
        <v>542</v>
      </c>
      <c r="H1149" s="11" t="s">
        <v>541</v>
      </c>
      <c r="I1149" s="14" t="s">
        <v>120</v>
      </c>
      <c r="J1149" s="11" t="s">
        <v>540</v>
      </c>
      <c r="K1149" s="8" t="s">
        <v>539</v>
      </c>
    </row>
    <row r="1150" spans="1:11" ht="15.5" x14ac:dyDescent="0.35">
      <c r="A1150" s="10"/>
      <c r="B1150" s="10"/>
      <c r="C1150" s="10"/>
      <c r="D1150" s="10"/>
      <c r="E1150" s="10"/>
      <c r="F1150" s="10"/>
      <c r="G1150" s="9"/>
      <c r="H1150" s="9"/>
      <c r="I1150" s="9"/>
      <c r="J1150" s="9"/>
      <c r="K1150" s="8" t="s">
        <v>538</v>
      </c>
    </row>
    <row r="1151" spans="1:11" ht="15.5" x14ac:dyDescent="0.35">
      <c r="A1151" s="10"/>
      <c r="B1151" s="10"/>
      <c r="C1151" s="10"/>
      <c r="D1151" s="10"/>
      <c r="E1151" s="10"/>
      <c r="F1151" s="10"/>
      <c r="G1151" s="11" t="s">
        <v>537</v>
      </c>
      <c r="H1151" s="11" t="s">
        <v>536</v>
      </c>
      <c r="I1151" s="14" t="s">
        <v>120</v>
      </c>
      <c r="J1151" s="11" t="s">
        <v>535</v>
      </c>
      <c r="K1151" s="8" t="s">
        <v>534</v>
      </c>
    </row>
    <row r="1152" spans="1:11" ht="15.5" x14ac:dyDescent="0.35">
      <c r="A1152" s="10"/>
      <c r="B1152" s="10"/>
      <c r="C1152" s="9"/>
      <c r="D1152" s="9"/>
      <c r="E1152" s="9"/>
      <c r="F1152" s="9"/>
      <c r="G1152" s="9"/>
      <c r="H1152" s="9"/>
      <c r="I1152" s="9"/>
      <c r="J1152" s="9"/>
      <c r="K1152" s="8" t="s">
        <v>533</v>
      </c>
    </row>
    <row r="1153" spans="1:11" ht="15.5" x14ac:dyDescent="0.35">
      <c r="A1153" s="10"/>
      <c r="B1153" s="10"/>
      <c r="C1153" s="11" t="s">
        <v>532</v>
      </c>
      <c r="D1153" s="11" t="s">
        <v>531</v>
      </c>
      <c r="E1153" s="11" t="s">
        <v>530</v>
      </c>
      <c r="F1153" s="11" t="s">
        <v>65</v>
      </c>
      <c r="G1153" s="11" t="s">
        <v>529</v>
      </c>
      <c r="H1153" s="11" t="s">
        <v>528</v>
      </c>
      <c r="I1153" s="14" t="s">
        <v>120</v>
      </c>
      <c r="J1153" s="11" t="s">
        <v>527</v>
      </c>
      <c r="K1153" s="8" t="s">
        <v>526</v>
      </c>
    </row>
    <row r="1154" spans="1:11" ht="15.5" x14ac:dyDescent="0.35">
      <c r="A1154" s="10"/>
      <c r="B1154" s="10"/>
      <c r="C1154" s="10"/>
      <c r="D1154" s="10"/>
      <c r="E1154" s="10"/>
      <c r="F1154" s="10"/>
      <c r="G1154" s="9"/>
      <c r="H1154" s="9"/>
      <c r="I1154" s="9"/>
      <c r="J1154" s="9"/>
      <c r="K1154" s="8" t="s">
        <v>525</v>
      </c>
    </row>
    <row r="1155" spans="1:11" ht="15.5" x14ac:dyDescent="0.35">
      <c r="A1155" s="10"/>
      <c r="B1155" s="10"/>
      <c r="C1155" s="10"/>
      <c r="D1155" s="10"/>
      <c r="E1155" s="10"/>
      <c r="F1155" s="10"/>
      <c r="G1155" s="11" t="s">
        <v>524</v>
      </c>
      <c r="H1155" s="11" t="s">
        <v>523</v>
      </c>
      <c r="I1155" s="14" t="s">
        <v>120</v>
      </c>
      <c r="J1155" s="11" t="s">
        <v>522</v>
      </c>
      <c r="K1155" s="8" t="s">
        <v>521</v>
      </c>
    </row>
    <row r="1156" spans="1:11" ht="15.5" x14ac:dyDescent="0.35">
      <c r="A1156" s="10"/>
      <c r="B1156" s="10"/>
      <c r="C1156" s="10"/>
      <c r="D1156" s="9"/>
      <c r="E1156" s="9"/>
      <c r="F1156" s="9"/>
      <c r="G1156" s="9"/>
      <c r="H1156" s="9"/>
      <c r="I1156" s="9"/>
      <c r="J1156" s="9"/>
      <c r="K1156" s="8" t="s">
        <v>520</v>
      </c>
    </row>
    <row r="1157" spans="1:11" ht="15.5" x14ac:dyDescent="0.35">
      <c r="A1157" s="10"/>
      <c r="B1157" s="10"/>
      <c r="C1157" s="10"/>
      <c r="D1157" s="11" t="s">
        <v>519</v>
      </c>
      <c r="E1157" s="11" t="s">
        <v>518</v>
      </c>
      <c r="F1157" s="11" t="s">
        <v>65</v>
      </c>
      <c r="G1157" s="11" t="s">
        <v>517</v>
      </c>
      <c r="H1157" s="11" t="s">
        <v>516</v>
      </c>
      <c r="I1157" s="14" t="s">
        <v>120</v>
      </c>
      <c r="J1157" s="11" t="s">
        <v>515</v>
      </c>
      <c r="K1157" s="8" t="s">
        <v>514</v>
      </c>
    </row>
    <row r="1158" spans="1:11" ht="15.5" x14ac:dyDescent="0.35">
      <c r="A1158" s="10"/>
      <c r="B1158" s="10"/>
      <c r="C1158" s="10"/>
      <c r="D1158" s="10"/>
      <c r="E1158" s="10"/>
      <c r="F1158" s="10"/>
      <c r="G1158" s="9"/>
      <c r="H1158" s="9"/>
      <c r="I1158" s="9"/>
      <c r="J1158" s="9"/>
      <c r="K1158" s="8" t="s">
        <v>513</v>
      </c>
    </row>
    <row r="1159" spans="1:11" ht="15.5" x14ac:dyDescent="0.35">
      <c r="A1159" s="10"/>
      <c r="B1159" s="10"/>
      <c r="C1159" s="10"/>
      <c r="D1159" s="10"/>
      <c r="E1159" s="10"/>
      <c r="F1159" s="10"/>
      <c r="G1159" s="11" t="s">
        <v>512</v>
      </c>
      <c r="H1159" s="11" t="s">
        <v>511</v>
      </c>
      <c r="I1159" s="14" t="s">
        <v>120</v>
      </c>
      <c r="J1159" s="11" t="s">
        <v>510</v>
      </c>
      <c r="K1159" s="8" t="s">
        <v>509</v>
      </c>
    </row>
    <row r="1160" spans="1:11" ht="15.5" x14ac:dyDescent="0.35">
      <c r="A1160" s="10"/>
      <c r="B1160" s="10"/>
      <c r="C1160" s="10"/>
      <c r="D1160" s="9"/>
      <c r="E1160" s="9"/>
      <c r="F1160" s="9"/>
      <c r="G1160" s="9"/>
      <c r="H1160" s="9"/>
      <c r="I1160" s="9"/>
      <c r="J1160" s="9"/>
      <c r="K1160" s="8" t="s">
        <v>508</v>
      </c>
    </row>
    <row r="1161" spans="1:11" ht="15.5" x14ac:dyDescent="0.35">
      <c r="A1161" s="10"/>
      <c r="B1161" s="10"/>
      <c r="C1161" s="10"/>
      <c r="D1161" s="11" t="s">
        <v>507</v>
      </c>
      <c r="E1161" s="11" t="s">
        <v>506</v>
      </c>
      <c r="F1161" s="11" t="s">
        <v>65</v>
      </c>
      <c r="G1161" s="11" t="s">
        <v>505</v>
      </c>
      <c r="H1161" s="11" t="s">
        <v>504</v>
      </c>
      <c r="I1161" s="14" t="s">
        <v>120</v>
      </c>
      <c r="J1161" s="11" t="s">
        <v>503</v>
      </c>
      <c r="K1161" s="8" t="s">
        <v>502</v>
      </c>
    </row>
    <row r="1162" spans="1:11" ht="15.5" x14ac:dyDescent="0.35">
      <c r="A1162" s="10"/>
      <c r="B1162" s="10"/>
      <c r="C1162" s="10"/>
      <c r="D1162" s="10"/>
      <c r="E1162" s="10"/>
      <c r="F1162" s="10"/>
      <c r="G1162" s="9"/>
      <c r="H1162" s="9"/>
      <c r="I1162" s="9"/>
      <c r="J1162" s="9"/>
      <c r="K1162" s="8" t="s">
        <v>501</v>
      </c>
    </row>
    <row r="1163" spans="1:11" ht="15.5" x14ac:dyDescent="0.35">
      <c r="A1163" s="10"/>
      <c r="B1163" s="10"/>
      <c r="C1163" s="10"/>
      <c r="D1163" s="10"/>
      <c r="E1163" s="10"/>
      <c r="F1163" s="10"/>
      <c r="G1163" s="11" t="s">
        <v>500</v>
      </c>
      <c r="H1163" s="11" t="s">
        <v>499</v>
      </c>
      <c r="I1163" s="12" t="s">
        <v>58</v>
      </c>
      <c r="J1163" s="11" t="s">
        <v>498</v>
      </c>
      <c r="K1163" s="8" t="s">
        <v>497</v>
      </c>
    </row>
    <row r="1164" spans="1:11" ht="15.5" x14ac:dyDescent="0.35">
      <c r="A1164" s="10"/>
      <c r="B1164" s="10"/>
      <c r="C1164" s="10"/>
      <c r="D1164" s="9"/>
      <c r="E1164" s="9"/>
      <c r="F1164" s="9"/>
      <c r="G1164" s="10"/>
      <c r="H1164" s="9"/>
      <c r="I1164" s="9"/>
      <c r="J1164" s="9"/>
      <c r="K1164" s="8" t="s">
        <v>496</v>
      </c>
    </row>
    <row r="1165" spans="1:11" ht="15.5" x14ac:dyDescent="0.35">
      <c r="A1165" s="10"/>
      <c r="B1165" s="10"/>
      <c r="C1165" s="10"/>
      <c r="D1165" s="11" t="s">
        <v>495</v>
      </c>
      <c r="E1165" s="11" t="s">
        <v>494</v>
      </c>
      <c r="F1165" s="11" t="s">
        <v>65</v>
      </c>
      <c r="G1165" s="11" t="s">
        <v>493</v>
      </c>
      <c r="H1165" s="11" t="s">
        <v>492</v>
      </c>
      <c r="I1165" s="12" t="s">
        <v>58</v>
      </c>
      <c r="J1165" s="11" t="s">
        <v>491</v>
      </c>
      <c r="K1165" s="8" t="s">
        <v>490</v>
      </c>
    </row>
    <row r="1166" spans="1:11" ht="15.5" x14ac:dyDescent="0.35">
      <c r="A1166" s="10"/>
      <c r="B1166" s="10"/>
      <c r="C1166" s="10"/>
      <c r="D1166" s="10"/>
      <c r="E1166" s="10"/>
      <c r="F1166" s="10"/>
      <c r="G1166" s="9"/>
      <c r="H1166" s="9"/>
      <c r="I1166" s="9"/>
      <c r="J1166" s="9"/>
      <c r="K1166" s="8" t="s">
        <v>489</v>
      </c>
    </row>
    <row r="1167" spans="1:11" ht="15.5" x14ac:dyDescent="0.35">
      <c r="A1167" s="10"/>
      <c r="B1167" s="10"/>
      <c r="C1167" s="10"/>
      <c r="D1167" s="10"/>
      <c r="E1167" s="10"/>
      <c r="F1167" s="10"/>
      <c r="G1167" s="11" t="s">
        <v>488</v>
      </c>
      <c r="H1167" s="11" t="s">
        <v>487</v>
      </c>
      <c r="I1167" s="12" t="s">
        <v>58</v>
      </c>
      <c r="J1167" s="11" t="s">
        <v>486</v>
      </c>
      <c r="K1167" s="8" t="s">
        <v>485</v>
      </c>
    </row>
    <row r="1168" spans="1:11" ht="15.5" x14ac:dyDescent="0.35">
      <c r="A1168" s="10"/>
      <c r="B1168" s="10"/>
      <c r="C1168" s="10"/>
      <c r="D1168" s="9"/>
      <c r="E1168" s="9"/>
      <c r="F1168" s="9"/>
      <c r="G1168" s="9"/>
      <c r="H1168" s="9"/>
      <c r="I1168" s="9"/>
      <c r="J1168" s="9"/>
      <c r="K1168" s="8" t="s">
        <v>484</v>
      </c>
    </row>
    <row r="1169" spans="1:11" ht="15.5" x14ac:dyDescent="0.35">
      <c r="A1169" s="10"/>
      <c r="B1169" s="10"/>
      <c r="C1169" s="10"/>
      <c r="D1169" s="11" t="s">
        <v>483</v>
      </c>
      <c r="E1169" s="11" t="s">
        <v>482</v>
      </c>
      <c r="F1169" s="11" t="s">
        <v>65</v>
      </c>
      <c r="G1169" s="11" t="s">
        <v>481</v>
      </c>
      <c r="H1169" s="11" t="s">
        <v>480</v>
      </c>
      <c r="I1169" s="12" t="s">
        <v>58</v>
      </c>
      <c r="J1169" s="11" t="s">
        <v>479</v>
      </c>
      <c r="K1169" s="8" t="s">
        <v>478</v>
      </c>
    </row>
    <row r="1170" spans="1:11" ht="15.5" x14ac:dyDescent="0.35">
      <c r="A1170" s="10"/>
      <c r="B1170" s="10"/>
      <c r="C1170" s="10"/>
      <c r="D1170" s="10"/>
      <c r="E1170" s="10"/>
      <c r="F1170" s="10"/>
      <c r="G1170" s="9"/>
      <c r="H1170" s="9"/>
      <c r="I1170" s="9"/>
      <c r="J1170" s="9"/>
      <c r="K1170" s="8" t="s">
        <v>477</v>
      </c>
    </row>
    <row r="1171" spans="1:11" ht="15.5" x14ac:dyDescent="0.35">
      <c r="A1171" s="10"/>
      <c r="B1171" s="10"/>
      <c r="C1171" s="10"/>
      <c r="D1171" s="10"/>
      <c r="E1171" s="10"/>
      <c r="F1171" s="10"/>
      <c r="G1171" s="11" t="s">
        <v>476</v>
      </c>
      <c r="H1171" s="11" t="s">
        <v>475</v>
      </c>
      <c r="I1171" s="12" t="s">
        <v>58</v>
      </c>
      <c r="J1171" s="11" t="s">
        <v>474</v>
      </c>
      <c r="K1171" s="8" t="s">
        <v>473</v>
      </c>
    </row>
    <row r="1172" spans="1:11" ht="15.5" x14ac:dyDescent="0.35">
      <c r="A1172" s="10"/>
      <c r="B1172" s="10"/>
      <c r="C1172" s="9"/>
      <c r="D1172" s="9"/>
      <c r="E1172" s="9"/>
      <c r="F1172" s="9"/>
      <c r="G1172" s="9"/>
      <c r="H1172" s="9"/>
      <c r="I1172" s="9"/>
      <c r="J1172" s="9"/>
      <c r="K1172" s="8" t="s">
        <v>472</v>
      </c>
    </row>
    <row r="1173" spans="1:11" ht="15.5" x14ac:dyDescent="0.35">
      <c r="A1173" s="10"/>
      <c r="B1173" s="10"/>
      <c r="C1173" s="13" t="s">
        <v>471</v>
      </c>
      <c r="D1173" s="11" t="s">
        <v>470</v>
      </c>
      <c r="E1173" s="11" t="s">
        <v>469</v>
      </c>
      <c r="F1173" s="11" t="s">
        <v>65</v>
      </c>
      <c r="G1173" s="11" t="s">
        <v>468</v>
      </c>
      <c r="H1173" s="11" t="s">
        <v>467</v>
      </c>
      <c r="I1173" s="12" t="s">
        <v>58</v>
      </c>
      <c r="J1173" s="11" t="s">
        <v>466</v>
      </c>
      <c r="K1173" s="8" t="s">
        <v>465</v>
      </c>
    </row>
    <row r="1174" spans="1:11" ht="15.5" x14ac:dyDescent="0.35">
      <c r="A1174" s="10"/>
      <c r="B1174" s="10"/>
      <c r="C1174" s="10"/>
      <c r="D1174" s="10"/>
      <c r="E1174" s="10"/>
      <c r="F1174" s="10"/>
      <c r="G1174" s="9"/>
      <c r="H1174" s="9"/>
      <c r="I1174" s="9"/>
      <c r="J1174" s="9"/>
      <c r="K1174" s="8" t="s">
        <v>464</v>
      </c>
    </row>
    <row r="1175" spans="1:11" ht="15.5" x14ac:dyDescent="0.35">
      <c r="A1175" s="10"/>
      <c r="B1175" s="10"/>
      <c r="C1175" s="10"/>
      <c r="D1175" s="10"/>
      <c r="E1175" s="10"/>
      <c r="F1175" s="10"/>
      <c r="G1175" s="11" t="s">
        <v>463</v>
      </c>
      <c r="H1175" s="11" t="s">
        <v>462</v>
      </c>
      <c r="I1175" s="12" t="s">
        <v>58</v>
      </c>
      <c r="J1175" s="11" t="s">
        <v>461</v>
      </c>
      <c r="K1175" s="8" t="s">
        <v>460</v>
      </c>
    </row>
    <row r="1176" spans="1:11" ht="15.5" x14ac:dyDescent="0.35">
      <c r="A1176" s="10"/>
      <c r="B1176" s="10"/>
      <c r="C1176" s="10"/>
      <c r="D1176" s="9"/>
      <c r="E1176" s="9"/>
      <c r="F1176" s="9"/>
      <c r="G1176" s="9"/>
      <c r="H1176" s="9"/>
      <c r="I1176" s="9"/>
      <c r="J1176" s="9"/>
      <c r="K1176" s="8" t="s">
        <v>459</v>
      </c>
    </row>
    <row r="1177" spans="1:11" ht="15.5" x14ac:dyDescent="0.35">
      <c r="A1177" s="10"/>
      <c r="B1177" s="10"/>
      <c r="C1177" s="10"/>
      <c r="D1177" s="11" t="s">
        <v>458</v>
      </c>
      <c r="E1177" s="11" t="s">
        <v>457</v>
      </c>
      <c r="F1177" s="11" t="s">
        <v>65</v>
      </c>
      <c r="G1177" s="11" t="s">
        <v>456</v>
      </c>
      <c r="H1177" s="11" t="s">
        <v>455</v>
      </c>
      <c r="I1177" s="12" t="s">
        <v>58</v>
      </c>
      <c r="J1177" s="11" t="s">
        <v>455</v>
      </c>
      <c r="K1177" s="8" t="s">
        <v>454</v>
      </c>
    </row>
    <row r="1178" spans="1:11" ht="15.5" x14ac:dyDescent="0.35">
      <c r="A1178" s="10"/>
      <c r="B1178" s="10"/>
      <c r="C1178" s="10"/>
      <c r="D1178" s="10"/>
      <c r="E1178" s="10"/>
      <c r="F1178" s="10"/>
      <c r="G1178" s="9"/>
      <c r="H1178" s="9"/>
      <c r="I1178" s="9"/>
      <c r="J1178" s="9"/>
      <c r="K1178" s="8" t="s">
        <v>453</v>
      </c>
    </row>
    <row r="1179" spans="1:11" ht="15.5" x14ac:dyDescent="0.35">
      <c r="A1179" s="10"/>
      <c r="B1179" s="10"/>
      <c r="C1179" s="10"/>
      <c r="D1179" s="10"/>
      <c r="E1179" s="10"/>
      <c r="F1179" s="10"/>
      <c r="G1179" s="11" t="s">
        <v>452</v>
      </c>
      <c r="H1179" s="11" t="s">
        <v>451</v>
      </c>
      <c r="I1179" s="12" t="s">
        <v>58</v>
      </c>
      <c r="J1179" s="11" t="s">
        <v>450</v>
      </c>
      <c r="K1179" s="8" t="s">
        <v>449</v>
      </c>
    </row>
    <row r="1180" spans="1:11" ht="15.5" x14ac:dyDescent="0.35">
      <c r="A1180" s="10"/>
      <c r="B1180" s="10"/>
      <c r="C1180" s="10"/>
      <c r="D1180" s="9"/>
      <c r="E1180" s="9"/>
      <c r="F1180" s="9"/>
      <c r="G1180" s="9"/>
      <c r="H1180" s="9"/>
      <c r="I1180" s="9"/>
      <c r="J1180" s="9"/>
      <c r="K1180" s="8" t="s">
        <v>448</v>
      </c>
    </row>
    <row r="1181" spans="1:11" ht="15.5" x14ac:dyDescent="0.35">
      <c r="A1181" s="10"/>
      <c r="B1181" s="10"/>
      <c r="C1181" s="10"/>
      <c r="D1181" s="11" t="s">
        <v>447</v>
      </c>
      <c r="E1181" s="11" t="s">
        <v>446</v>
      </c>
      <c r="F1181" s="11" t="s">
        <v>65</v>
      </c>
      <c r="G1181" s="11" t="s">
        <v>445</v>
      </c>
      <c r="H1181" s="11" t="s">
        <v>444</v>
      </c>
      <c r="I1181" s="12" t="s">
        <v>58</v>
      </c>
      <c r="J1181" s="11" t="s">
        <v>443</v>
      </c>
      <c r="K1181" s="8" t="s">
        <v>442</v>
      </c>
    </row>
    <row r="1182" spans="1:11" ht="15.5" x14ac:dyDescent="0.35">
      <c r="A1182" s="10"/>
      <c r="B1182" s="10"/>
      <c r="C1182" s="10"/>
      <c r="D1182" s="10"/>
      <c r="E1182" s="10"/>
      <c r="F1182" s="10"/>
      <c r="G1182" s="9"/>
      <c r="H1182" s="9"/>
      <c r="I1182" s="9"/>
      <c r="J1182" s="9"/>
      <c r="K1182" s="8" t="s">
        <v>441</v>
      </c>
    </row>
    <row r="1183" spans="1:11" ht="15.5" x14ac:dyDescent="0.35">
      <c r="A1183" s="10"/>
      <c r="B1183" s="10"/>
      <c r="C1183" s="10"/>
      <c r="D1183" s="10"/>
      <c r="E1183" s="10"/>
      <c r="F1183" s="10"/>
      <c r="G1183" s="11" t="s">
        <v>440</v>
      </c>
      <c r="H1183" s="11" t="s">
        <v>439</v>
      </c>
      <c r="I1183" s="12" t="s">
        <v>58</v>
      </c>
      <c r="J1183" s="11" t="s">
        <v>439</v>
      </c>
      <c r="K1183" s="8" t="s">
        <v>438</v>
      </c>
    </row>
    <row r="1184" spans="1:11" ht="15.5" x14ac:dyDescent="0.35">
      <c r="A1184" s="10"/>
      <c r="B1184" s="10"/>
      <c r="C1184" s="10"/>
      <c r="D1184" s="9"/>
      <c r="E1184" s="9"/>
      <c r="F1184" s="9"/>
      <c r="G1184" s="9"/>
      <c r="H1184" s="9"/>
      <c r="I1184" s="9"/>
      <c r="J1184" s="9"/>
      <c r="K1184" s="8" t="s">
        <v>437</v>
      </c>
    </row>
    <row r="1185" spans="1:11" ht="15.5" x14ac:dyDescent="0.35">
      <c r="A1185" s="10"/>
      <c r="B1185" s="10"/>
      <c r="C1185" s="10"/>
      <c r="D1185" s="11" t="s">
        <v>436</v>
      </c>
      <c r="E1185" s="11" t="s">
        <v>435</v>
      </c>
      <c r="F1185" s="11" t="s">
        <v>65</v>
      </c>
      <c r="G1185" s="11" t="s">
        <v>434</v>
      </c>
      <c r="H1185" s="11" t="s">
        <v>433</v>
      </c>
      <c r="I1185" s="12" t="s">
        <v>58</v>
      </c>
      <c r="J1185" s="11" t="s">
        <v>432</v>
      </c>
      <c r="K1185" s="8" t="s">
        <v>431</v>
      </c>
    </row>
    <row r="1186" spans="1:11" ht="15.5" x14ac:dyDescent="0.35">
      <c r="A1186" s="10"/>
      <c r="B1186" s="10"/>
      <c r="C1186" s="10"/>
      <c r="D1186" s="10"/>
      <c r="E1186" s="10"/>
      <c r="F1186" s="10"/>
      <c r="G1186" s="9"/>
      <c r="H1186" s="9"/>
      <c r="I1186" s="9"/>
      <c r="J1186" s="9"/>
      <c r="K1186" s="8" t="s">
        <v>61</v>
      </c>
    </row>
    <row r="1187" spans="1:11" ht="15.5" x14ac:dyDescent="0.35">
      <c r="A1187" s="10"/>
      <c r="B1187" s="10"/>
      <c r="C1187" s="10"/>
      <c r="D1187" s="10"/>
      <c r="E1187" s="10"/>
      <c r="F1187" s="10"/>
      <c r="G1187" s="11" t="s">
        <v>430</v>
      </c>
      <c r="H1187" s="11" t="s">
        <v>429</v>
      </c>
      <c r="I1187" s="12" t="s">
        <v>58</v>
      </c>
      <c r="J1187" s="11" t="s">
        <v>428</v>
      </c>
      <c r="K1187" s="8" t="s">
        <v>427</v>
      </c>
    </row>
    <row r="1188" spans="1:11" ht="15.5" x14ac:dyDescent="0.35">
      <c r="A1188" s="10"/>
      <c r="B1188" s="10"/>
      <c r="C1188" s="10"/>
      <c r="D1188" s="9"/>
      <c r="E1188" s="9"/>
      <c r="F1188" s="9"/>
      <c r="G1188" s="9"/>
      <c r="H1188" s="9"/>
      <c r="I1188" s="9"/>
      <c r="J1188" s="9"/>
      <c r="K1188" s="8" t="s">
        <v>426</v>
      </c>
    </row>
    <row r="1189" spans="1:11" ht="15.5" x14ac:dyDescent="0.35">
      <c r="A1189" s="10"/>
      <c r="B1189" s="10"/>
      <c r="C1189" s="10"/>
      <c r="D1189" s="11" t="s">
        <v>425</v>
      </c>
      <c r="E1189" s="11" t="s">
        <v>424</v>
      </c>
      <c r="F1189" s="11" t="s">
        <v>65</v>
      </c>
      <c r="G1189" s="11" t="s">
        <v>423</v>
      </c>
      <c r="H1189" s="11" t="s">
        <v>422</v>
      </c>
      <c r="I1189" s="19" t="s">
        <v>120</v>
      </c>
      <c r="J1189" s="11" t="s">
        <v>421</v>
      </c>
      <c r="K1189" s="8" t="s">
        <v>420</v>
      </c>
    </row>
    <row r="1190" spans="1:11" ht="15.5" x14ac:dyDescent="0.35">
      <c r="A1190" s="10"/>
      <c r="B1190" s="10"/>
      <c r="C1190" s="10"/>
      <c r="D1190" s="10"/>
      <c r="E1190" s="10"/>
      <c r="F1190" s="10"/>
      <c r="G1190" s="9"/>
      <c r="H1190" s="9"/>
      <c r="I1190" s="18"/>
      <c r="J1190" s="9"/>
      <c r="K1190" s="8" t="s">
        <v>419</v>
      </c>
    </row>
    <row r="1191" spans="1:11" ht="15.5" x14ac:dyDescent="0.35">
      <c r="A1191" s="10"/>
      <c r="B1191" s="10"/>
      <c r="C1191" s="10"/>
      <c r="D1191" s="10"/>
      <c r="E1191" s="10"/>
      <c r="F1191" s="10"/>
      <c r="G1191" s="11" t="s">
        <v>418</v>
      </c>
      <c r="H1191" s="11" t="s">
        <v>417</v>
      </c>
      <c r="I1191" s="14" t="s">
        <v>120</v>
      </c>
      <c r="J1191" s="11" t="s">
        <v>417</v>
      </c>
      <c r="K1191" s="8" t="s">
        <v>416</v>
      </c>
    </row>
    <row r="1192" spans="1:11" ht="15.5" x14ac:dyDescent="0.35">
      <c r="A1192" s="9"/>
      <c r="B1192" s="9"/>
      <c r="C1192" s="9"/>
      <c r="D1192" s="10"/>
      <c r="E1192" s="9"/>
      <c r="F1192" s="9"/>
      <c r="G1192" s="9"/>
      <c r="H1192" s="9"/>
      <c r="I1192" s="10"/>
      <c r="J1192" s="9"/>
      <c r="K1192" s="8" t="s">
        <v>415</v>
      </c>
    </row>
    <row r="1193" spans="1:11" ht="15.5" x14ac:dyDescent="0.35">
      <c r="A1193" s="13" t="s">
        <v>414</v>
      </c>
      <c r="B1193" s="13" t="s">
        <v>413</v>
      </c>
      <c r="C1193" s="13" t="s">
        <v>412</v>
      </c>
      <c r="D1193" s="11" t="s">
        <v>411</v>
      </c>
      <c r="E1193" s="11" t="s">
        <v>410</v>
      </c>
      <c r="F1193" s="11" t="s">
        <v>65</v>
      </c>
      <c r="G1193" s="11" t="s">
        <v>409</v>
      </c>
      <c r="H1193" s="11" t="s">
        <v>408</v>
      </c>
      <c r="I1193" s="14" t="s">
        <v>120</v>
      </c>
      <c r="J1193" s="11" t="s">
        <v>407</v>
      </c>
      <c r="K1193" s="8" t="s">
        <v>406</v>
      </c>
    </row>
    <row r="1194" spans="1:11" ht="15.5" x14ac:dyDescent="0.35">
      <c r="A1194" s="10"/>
      <c r="B1194" s="10"/>
      <c r="C1194" s="10"/>
      <c r="D1194" s="10"/>
      <c r="E1194" s="10"/>
      <c r="F1194" s="10"/>
      <c r="G1194" s="9"/>
      <c r="H1194" s="9"/>
      <c r="I1194" s="9"/>
      <c r="J1194" s="9"/>
      <c r="K1194" s="8" t="s">
        <v>405</v>
      </c>
    </row>
    <row r="1195" spans="1:11" ht="15.5" x14ac:dyDescent="0.35">
      <c r="A1195" s="10"/>
      <c r="B1195" s="10"/>
      <c r="C1195" s="10"/>
      <c r="D1195" s="10"/>
      <c r="E1195" s="10"/>
      <c r="F1195" s="10"/>
      <c r="G1195" s="11" t="s">
        <v>404</v>
      </c>
      <c r="H1195" s="11" t="s">
        <v>403</v>
      </c>
      <c r="I1195" s="14" t="s">
        <v>120</v>
      </c>
      <c r="J1195" s="11" t="s">
        <v>402</v>
      </c>
      <c r="K1195" s="8" t="s">
        <v>401</v>
      </c>
    </row>
    <row r="1196" spans="1:11" ht="15.5" x14ac:dyDescent="0.35">
      <c r="A1196" s="10"/>
      <c r="B1196" s="10"/>
      <c r="C1196" s="10"/>
      <c r="D1196" s="9"/>
      <c r="E1196" s="9"/>
      <c r="F1196" s="9"/>
      <c r="G1196" s="9"/>
      <c r="H1196" s="9"/>
      <c r="I1196" s="9"/>
      <c r="J1196" s="9"/>
      <c r="K1196" s="8" t="s">
        <v>400</v>
      </c>
    </row>
    <row r="1197" spans="1:11" ht="15.5" x14ac:dyDescent="0.35">
      <c r="A1197" s="10"/>
      <c r="B1197" s="10"/>
      <c r="C1197" s="10"/>
      <c r="D1197" s="11" t="s">
        <v>399</v>
      </c>
      <c r="E1197" s="11" t="s">
        <v>398</v>
      </c>
      <c r="F1197" s="11" t="s">
        <v>65</v>
      </c>
      <c r="G1197" s="11" t="s">
        <v>397</v>
      </c>
      <c r="H1197" s="11" t="s">
        <v>396</v>
      </c>
      <c r="I1197" s="14" t="s">
        <v>120</v>
      </c>
      <c r="J1197" s="11" t="s">
        <v>395</v>
      </c>
      <c r="K1197" s="8" t="s">
        <v>200</v>
      </c>
    </row>
    <row r="1198" spans="1:11" ht="15.5" x14ac:dyDescent="0.35">
      <c r="A1198" s="10"/>
      <c r="B1198" s="10"/>
      <c r="C1198" s="10"/>
      <c r="D1198" s="10"/>
      <c r="E1198" s="10"/>
      <c r="F1198" s="10"/>
      <c r="G1198" s="9"/>
      <c r="H1198" s="10"/>
      <c r="I1198" s="9"/>
      <c r="J1198" s="9"/>
      <c r="K1198" s="8" t="s">
        <v>394</v>
      </c>
    </row>
    <row r="1199" spans="1:11" ht="15.5" x14ac:dyDescent="0.35">
      <c r="A1199" s="10"/>
      <c r="B1199" s="10"/>
      <c r="C1199" s="10"/>
      <c r="D1199" s="10"/>
      <c r="E1199" s="10"/>
      <c r="F1199" s="10"/>
      <c r="G1199" s="11" t="s">
        <v>393</v>
      </c>
      <c r="H1199" s="11" t="s">
        <v>392</v>
      </c>
      <c r="I1199" s="12" t="s">
        <v>58</v>
      </c>
      <c r="J1199" s="11" t="s">
        <v>391</v>
      </c>
      <c r="K1199" s="8" t="s">
        <v>390</v>
      </c>
    </row>
    <row r="1200" spans="1:11" ht="15.5" x14ac:dyDescent="0.35">
      <c r="A1200" s="10"/>
      <c r="B1200" s="10"/>
      <c r="C1200" s="10"/>
      <c r="D1200" s="9"/>
      <c r="E1200" s="9"/>
      <c r="F1200" s="9"/>
      <c r="G1200" s="9"/>
      <c r="H1200" s="9"/>
      <c r="I1200" s="9"/>
      <c r="J1200" s="9"/>
      <c r="K1200" s="8" t="s">
        <v>389</v>
      </c>
    </row>
    <row r="1201" spans="1:11" ht="15.5" x14ac:dyDescent="0.35">
      <c r="A1201" s="10"/>
      <c r="B1201" s="10"/>
      <c r="C1201" s="10"/>
      <c r="D1201" s="11" t="s">
        <v>388</v>
      </c>
      <c r="E1201" s="11" t="s">
        <v>387</v>
      </c>
      <c r="F1201" s="11" t="s">
        <v>65</v>
      </c>
      <c r="G1201" s="11" t="s">
        <v>386</v>
      </c>
      <c r="H1201" s="11" t="s">
        <v>385</v>
      </c>
      <c r="I1201" s="12" t="s">
        <v>58</v>
      </c>
      <c r="J1201" s="11" t="s">
        <v>384</v>
      </c>
      <c r="K1201" s="8" t="s">
        <v>383</v>
      </c>
    </row>
    <row r="1202" spans="1:11" ht="15.5" x14ac:dyDescent="0.35">
      <c r="A1202" s="10"/>
      <c r="B1202" s="10"/>
      <c r="C1202" s="10"/>
      <c r="D1202" s="10"/>
      <c r="E1202" s="10"/>
      <c r="F1202" s="10"/>
      <c r="G1202" s="9"/>
      <c r="H1202" s="9"/>
      <c r="I1202" s="9"/>
      <c r="J1202" s="9"/>
      <c r="K1202" s="8" t="s">
        <v>382</v>
      </c>
    </row>
    <row r="1203" spans="1:11" ht="15.5" x14ac:dyDescent="0.35">
      <c r="A1203" s="10"/>
      <c r="B1203" s="10"/>
      <c r="C1203" s="10"/>
      <c r="D1203" s="10"/>
      <c r="E1203" s="10"/>
      <c r="F1203" s="10"/>
      <c r="G1203" s="11" t="s">
        <v>381</v>
      </c>
      <c r="H1203" s="11" t="s">
        <v>380</v>
      </c>
      <c r="I1203" s="12" t="s">
        <v>58</v>
      </c>
      <c r="J1203" s="11" t="s">
        <v>379</v>
      </c>
      <c r="K1203" s="8" t="s">
        <v>378</v>
      </c>
    </row>
    <row r="1204" spans="1:11" ht="15.5" x14ac:dyDescent="0.35">
      <c r="A1204" s="10"/>
      <c r="B1204" s="10"/>
      <c r="C1204" s="10"/>
      <c r="D1204" s="9"/>
      <c r="E1204" s="9"/>
      <c r="F1204" s="9"/>
      <c r="G1204" s="9"/>
      <c r="H1204" s="9"/>
      <c r="I1204" s="9"/>
      <c r="J1204" s="9"/>
      <c r="K1204" s="8" t="s">
        <v>377</v>
      </c>
    </row>
    <row r="1205" spans="1:11" ht="15.5" x14ac:dyDescent="0.35">
      <c r="A1205" s="10"/>
      <c r="B1205" s="10"/>
      <c r="C1205" s="10"/>
      <c r="D1205" s="11" t="s">
        <v>376</v>
      </c>
      <c r="E1205" s="11" t="s">
        <v>375</v>
      </c>
      <c r="F1205" s="11" t="s">
        <v>244</v>
      </c>
      <c r="G1205" s="11" t="s">
        <v>374</v>
      </c>
      <c r="H1205" s="8" t="s">
        <v>373</v>
      </c>
      <c r="I1205" s="17" t="s">
        <v>58</v>
      </c>
      <c r="J1205" s="8" t="s">
        <v>372</v>
      </c>
      <c r="K1205" s="8" t="s">
        <v>371</v>
      </c>
    </row>
    <row r="1206" spans="1:11" ht="15.5" x14ac:dyDescent="0.35">
      <c r="A1206" s="10"/>
      <c r="B1206" s="10"/>
      <c r="C1206" s="10"/>
      <c r="D1206" s="10"/>
      <c r="E1206" s="10"/>
      <c r="F1206" s="10"/>
      <c r="G1206" s="9"/>
      <c r="H1206" s="8"/>
      <c r="I1206" s="16"/>
      <c r="J1206" s="8"/>
      <c r="K1206" s="8" t="s">
        <v>370</v>
      </c>
    </row>
    <row r="1207" spans="1:11" ht="15.5" x14ac:dyDescent="0.35">
      <c r="A1207" s="10"/>
      <c r="B1207" s="10"/>
      <c r="C1207" s="10"/>
      <c r="D1207" s="10"/>
      <c r="E1207" s="10"/>
      <c r="F1207" s="10"/>
      <c r="G1207" s="11" t="s">
        <v>369</v>
      </c>
      <c r="H1207" s="11" t="s">
        <v>368</v>
      </c>
      <c r="I1207" s="12" t="s">
        <v>58</v>
      </c>
      <c r="J1207" s="11" t="s">
        <v>367</v>
      </c>
      <c r="K1207" s="8" t="s">
        <v>366</v>
      </c>
    </row>
    <row r="1208" spans="1:11" ht="15.5" x14ac:dyDescent="0.35">
      <c r="A1208" s="10"/>
      <c r="B1208" s="10"/>
      <c r="C1208" s="10"/>
      <c r="D1208" s="9"/>
      <c r="E1208" s="9"/>
      <c r="F1208" s="9"/>
      <c r="G1208" s="9"/>
      <c r="H1208" s="9"/>
      <c r="I1208" s="9"/>
      <c r="J1208" s="9"/>
      <c r="K1208" s="8" t="s">
        <v>365</v>
      </c>
    </row>
    <row r="1209" spans="1:11" ht="15.5" x14ac:dyDescent="0.35">
      <c r="A1209" s="10"/>
      <c r="B1209" s="10"/>
      <c r="C1209" s="10"/>
      <c r="D1209" s="11" t="s">
        <v>364</v>
      </c>
      <c r="E1209" s="11" t="s">
        <v>363</v>
      </c>
      <c r="F1209" s="11" t="s">
        <v>65</v>
      </c>
      <c r="G1209" s="11" t="s">
        <v>362</v>
      </c>
      <c r="H1209" s="11" t="s">
        <v>361</v>
      </c>
      <c r="I1209" s="12" t="s">
        <v>58</v>
      </c>
      <c r="J1209" s="11" t="s">
        <v>360</v>
      </c>
      <c r="K1209" s="8" t="s">
        <v>359</v>
      </c>
    </row>
    <row r="1210" spans="1:11" ht="15.5" x14ac:dyDescent="0.35">
      <c r="A1210" s="10"/>
      <c r="B1210" s="10"/>
      <c r="C1210" s="10"/>
      <c r="D1210" s="10"/>
      <c r="E1210" s="10"/>
      <c r="F1210" s="10"/>
      <c r="G1210" s="9"/>
      <c r="H1210" s="9"/>
      <c r="I1210" s="9"/>
      <c r="J1210" s="9"/>
      <c r="K1210" s="8" t="s">
        <v>358</v>
      </c>
    </row>
    <row r="1211" spans="1:11" ht="15.5" x14ac:dyDescent="0.35">
      <c r="A1211" s="10"/>
      <c r="B1211" s="10"/>
      <c r="C1211" s="10"/>
      <c r="D1211" s="10"/>
      <c r="E1211" s="10"/>
      <c r="F1211" s="10"/>
      <c r="G1211" s="11" t="s">
        <v>357</v>
      </c>
      <c r="H1211" s="11" t="s">
        <v>356</v>
      </c>
      <c r="I1211" s="12" t="s">
        <v>58</v>
      </c>
      <c r="J1211" s="11" t="s">
        <v>355</v>
      </c>
      <c r="K1211" s="8" t="s">
        <v>354</v>
      </c>
    </row>
    <row r="1212" spans="1:11" ht="15.5" x14ac:dyDescent="0.35">
      <c r="A1212" s="10"/>
      <c r="B1212" s="10"/>
      <c r="C1212" s="9"/>
      <c r="D1212" s="9"/>
      <c r="E1212" s="9"/>
      <c r="F1212" s="9"/>
      <c r="G1212" s="9"/>
      <c r="H1212" s="9"/>
      <c r="I1212" s="9"/>
      <c r="J1212" s="9"/>
      <c r="K1212" s="8" t="s">
        <v>353</v>
      </c>
    </row>
    <row r="1213" spans="1:11" ht="15.5" x14ac:dyDescent="0.35">
      <c r="A1213" s="10"/>
      <c r="B1213" s="10"/>
      <c r="C1213" s="13" t="s">
        <v>352</v>
      </c>
      <c r="D1213" s="11" t="s">
        <v>351</v>
      </c>
      <c r="E1213" s="11" t="s">
        <v>350</v>
      </c>
      <c r="F1213" s="11" t="s">
        <v>65</v>
      </c>
      <c r="G1213" s="11" t="s">
        <v>349</v>
      </c>
      <c r="H1213" s="11" t="s">
        <v>348</v>
      </c>
      <c r="I1213" s="12" t="s">
        <v>58</v>
      </c>
      <c r="J1213" s="11" t="s">
        <v>347</v>
      </c>
      <c r="K1213" s="8" t="s">
        <v>346</v>
      </c>
    </row>
    <row r="1214" spans="1:11" ht="15.5" x14ac:dyDescent="0.35">
      <c r="A1214" s="10"/>
      <c r="B1214" s="10"/>
      <c r="C1214" s="10"/>
      <c r="D1214" s="10"/>
      <c r="E1214" s="10"/>
      <c r="F1214" s="10"/>
      <c r="G1214" s="9"/>
      <c r="H1214" s="9"/>
      <c r="I1214" s="9"/>
      <c r="J1214" s="9"/>
      <c r="K1214" s="8" t="s">
        <v>345</v>
      </c>
    </row>
    <row r="1215" spans="1:11" ht="15.5" x14ac:dyDescent="0.35">
      <c r="A1215" s="10"/>
      <c r="B1215" s="10"/>
      <c r="C1215" s="10"/>
      <c r="D1215" s="10"/>
      <c r="E1215" s="10"/>
      <c r="F1215" s="10"/>
      <c r="G1215" s="11" t="s">
        <v>344</v>
      </c>
      <c r="H1215" s="11" t="s">
        <v>343</v>
      </c>
      <c r="I1215" s="12" t="s">
        <v>58</v>
      </c>
      <c r="J1215" s="11" t="s">
        <v>342</v>
      </c>
      <c r="K1215" s="8" t="s">
        <v>341</v>
      </c>
    </row>
    <row r="1216" spans="1:11" ht="15.5" x14ac:dyDescent="0.35">
      <c r="A1216" s="10"/>
      <c r="B1216" s="10"/>
      <c r="C1216" s="10"/>
      <c r="D1216" s="9"/>
      <c r="E1216" s="9"/>
      <c r="F1216" s="9"/>
      <c r="G1216" s="9"/>
      <c r="H1216" s="9"/>
      <c r="I1216" s="9"/>
      <c r="J1216" s="9"/>
      <c r="K1216" s="8" t="s">
        <v>340</v>
      </c>
    </row>
    <row r="1217" spans="1:11" ht="15.5" x14ac:dyDescent="0.35">
      <c r="A1217" s="10"/>
      <c r="B1217" s="10"/>
      <c r="C1217" s="10"/>
      <c r="D1217" s="11" t="s">
        <v>339</v>
      </c>
      <c r="E1217" s="11" t="s">
        <v>338</v>
      </c>
      <c r="F1217" s="11" t="s">
        <v>65</v>
      </c>
      <c r="G1217" s="11" t="s">
        <v>337</v>
      </c>
      <c r="H1217" s="11" t="s">
        <v>336</v>
      </c>
      <c r="I1217" s="12" t="s">
        <v>58</v>
      </c>
      <c r="J1217" s="11" t="s">
        <v>335</v>
      </c>
      <c r="K1217" s="8" t="s">
        <v>334</v>
      </c>
    </row>
    <row r="1218" spans="1:11" ht="15.5" x14ac:dyDescent="0.35">
      <c r="A1218" s="10"/>
      <c r="B1218" s="10"/>
      <c r="C1218" s="10"/>
      <c r="D1218" s="10"/>
      <c r="E1218" s="10"/>
      <c r="F1218" s="10"/>
      <c r="G1218" s="9"/>
      <c r="H1218" s="9"/>
      <c r="I1218" s="9"/>
      <c r="J1218" s="9"/>
      <c r="K1218" s="8" t="s">
        <v>333</v>
      </c>
    </row>
    <row r="1219" spans="1:11" ht="15.5" x14ac:dyDescent="0.35">
      <c r="A1219" s="10"/>
      <c r="B1219" s="10"/>
      <c r="C1219" s="10"/>
      <c r="D1219" s="10"/>
      <c r="E1219" s="10"/>
      <c r="F1219" s="10"/>
      <c r="G1219" s="11" t="s">
        <v>332</v>
      </c>
      <c r="H1219" s="11" t="s">
        <v>331</v>
      </c>
      <c r="I1219" s="12" t="s">
        <v>58</v>
      </c>
      <c r="J1219" s="11" t="s">
        <v>331</v>
      </c>
      <c r="K1219" s="8" t="s">
        <v>330</v>
      </c>
    </row>
    <row r="1220" spans="1:11" ht="15.5" x14ac:dyDescent="0.35">
      <c r="A1220" s="10"/>
      <c r="B1220" s="10"/>
      <c r="C1220" s="10"/>
      <c r="D1220" s="9"/>
      <c r="E1220" s="9"/>
      <c r="F1220" s="9"/>
      <c r="G1220" s="9"/>
      <c r="H1220" s="9"/>
      <c r="I1220" s="9"/>
      <c r="J1220" s="9"/>
      <c r="K1220" s="8" t="s">
        <v>329</v>
      </c>
    </row>
    <row r="1221" spans="1:11" ht="15.5" x14ac:dyDescent="0.35">
      <c r="A1221" s="10"/>
      <c r="B1221" s="10"/>
      <c r="C1221" s="10"/>
      <c r="D1221" s="11" t="s">
        <v>328</v>
      </c>
      <c r="E1221" s="11" t="s">
        <v>327</v>
      </c>
      <c r="F1221" s="11" t="s">
        <v>65</v>
      </c>
      <c r="G1221" s="11" t="s">
        <v>326</v>
      </c>
      <c r="H1221" s="11" t="s">
        <v>325</v>
      </c>
      <c r="I1221" s="12" t="s">
        <v>58</v>
      </c>
      <c r="J1221" s="11" t="s">
        <v>324</v>
      </c>
      <c r="K1221" s="8" t="s">
        <v>323</v>
      </c>
    </row>
    <row r="1222" spans="1:11" ht="15.5" x14ac:dyDescent="0.35">
      <c r="A1222" s="10"/>
      <c r="B1222" s="10"/>
      <c r="C1222" s="10"/>
      <c r="D1222" s="10"/>
      <c r="E1222" s="10"/>
      <c r="F1222" s="10"/>
      <c r="G1222" s="9"/>
      <c r="H1222" s="9"/>
      <c r="I1222" s="9"/>
      <c r="J1222" s="9"/>
      <c r="K1222" s="8" t="s">
        <v>322</v>
      </c>
    </row>
    <row r="1223" spans="1:11" ht="15.5" x14ac:dyDescent="0.35">
      <c r="A1223" s="10"/>
      <c r="B1223" s="10"/>
      <c r="C1223" s="10"/>
      <c r="D1223" s="10"/>
      <c r="E1223" s="10"/>
      <c r="F1223" s="10"/>
      <c r="G1223" s="11" t="s">
        <v>321</v>
      </c>
      <c r="H1223" s="11" t="s">
        <v>320</v>
      </c>
      <c r="I1223" s="12" t="s">
        <v>58</v>
      </c>
      <c r="J1223" s="11" t="s">
        <v>319</v>
      </c>
      <c r="K1223" s="8" t="s">
        <v>318</v>
      </c>
    </row>
    <row r="1224" spans="1:11" ht="15.5" x14ac:dyDescent="0.35">
      <c r="A1224" s="10"/>
      <c r="B1224" s="10"/>
      <c r="C1224" s="10"/>
      <c r="D1224" s="9"/>
      <c r="E1224" s="9"/>
      <c r="F1224" s="9"/>
      <c r="G1224" s="9"/>
      <c r="H1224" s="9"/>
      <c r="I1224" s="9"/>
      <c r="J1224" s="9"/>
      <c r="K1224" s="8" t="s">
        <v>317</v>
      </c>
    </row>
    <row r="1225" spans="1:11" ht="15.5" x14ac:dyDescent="0.35">
      <c r="A1225" s="10"/>
      <c r="B1225" s="10"/>
      <c r="C1225" s="10"/>
      <c r="D1225" s="11" t="s">
        <v>316</v>
      </c>
      <c r="E1225" s="11" t="s">
        <v>315</v>
      </c>
      <c r="F1225" s="11" t="s">
        <v>65</v>
      </c>
      <c r="G1225" s="11" t="s">
        <v>314</v>
      </c>
      <c r="H1225" s="11" t="s">
        <v>313</v>
      </c>
      <c r="I1225" s="12" t="s">
        <v>58</v>
      </c>
      <c r="J1225" s="11" t="s">
        <v>312</v>
      </c>
      <c r="K1225" s="8" t="s">
        <v>311</v>
      </c>
    </row>
    <row r="1226" spans="1:11" ht="15.5" x14ac:dyDescent="0.35">
      <c r="A1226" s="10"/>
      <c r="B1226" s="10"/>
      <c r="C1226" s="10"/>
      <c r="D1226" s="10"/>
      <c r="E1226" s="10"/>
      <c r="F1226" s="10"/>
      <c r="G1226" s="9"/>
      <c r="H1226" s="9"/>
      <c r="I1226" s="9"/>
      <c r="J1226" s="9"/>
      <c r="K1226" s="8" t="s">
        <v>310</v>
      </c>
    </row>
    <row r="1227" spans="1:11" ht="15.5" x14ac:dyDescent="0.35">
      <c r="A1227" s="10"/>
      <c r="B1227" s="10"/>
      <c r="C1227" s="10"/>
      <c r="D1227" s="10"/>
      <c r="E1227" s="10"/>
      <c r="F1227" s="10"/>
      <c r="G1227" s="11" t="s">
        <v>309</v>
      </c>
      <c r="H1227" s="11" t="s">
        <v>308</v>
      </c>
      <c r="I1227" s="12" t="s">
        <v>58</v>
      </c>
      <c r="J1227" s="11" t="s">
        <v>307</v>
      </c>
      <c r="K1227" s="8" t="s">
        <v>306</v>
      </c>
    </row>
    <row r="1228" spans="1:11" ht="15.5" x14ac:dyDescent="0.35">
      <c r="A1228" s="10"/>
      <c r="B1228" s="10"/>
      <c r="C1228" s="10"/>
      <c r="D1228" s="9"/>
      <c r="E1228" s="9"/>
      <c r="F1228" s="9"/>
      <c r="G1228" s="9"/>
      <c r="H1228" s="9"/>
      <c r="I1228" s="9"/>
      <c r="J1228" s="10"/>
      <c r="K1228" s="8" t="s">
        <v>305</v>
      </c>
    </row>
    <row r="1229" spans="1:11" ht="15.5" x14ac:dyDescent="0.35">
      <c r="A1229" s="10"/>
      <c r="B1229" s="10"/>
      <c r="C1229" s="10"/>
      <c r="D1229" s="11" t="s">
        <v>304</v>
      </c>
      <c r="E1229" s="11" t="s">
        <v>303</v>
      </c>
      <c r="F1229" s="11" t="s">
        <v>65</v>
      </c>
      <c r="G1229" s="11" t="s">
        <v>302</v>
      </c>
      <c r="H1229" s="11" t="s">
        <v>301</v>
      </c>
      <c r="I1229" s="12" t="s">
        <v>58</v>
      </c>
      <c r="J1229" s="11" t="s">
        <v>300</v>
      </c>
      <c r="K1229" s="8" t="s">
        <v>299</v>
      </c>
    </row>
    <row r="1230" spans="1:11" ht="15.5" x14ac:dyDescent="0.35">
      <c r="A1230" s="10"/>
      <c r="B1230" s="10"/>
      <c r="C1230" s="10"/>
      <c r="D1230" s="10"/>
      <c r="E1230" s="10"/>
      <c r="F1230" s="10"/>
      <c r="G1230" s="9"/>
      <c r="H1230" s="9"/>
      <c r="I1230" s="9"/>
      <c r="J1230" s="9"/>
      <c r="K1230" s="8" t="s">
        <v>298</v>
      </c>
    </row>
    <row r="1231" spans="1:11" ht="15.5" x14ac:dyDescent="0.35">
      <c r="A1231" s="10"/>
      <c r="B1231" s="10"/>
      <c r="C1231" s="10"/>
      <c r="D1231" s="10"/>
      <c r="E1231" s="10"/>
      <c r="F1231" s="10"/>
      <c r="G1231" s="11" t="s">
        <v>297</v>
      </c>
      <c r="H1231" s="11" t="s">
        <v>296</v>
      </c>
      <c r="I1231" s="12" t="s">
        <v>58</v>
      </c>
      <c r="J1231" s="11" t="s">
        <v>296</v>
      </c>
      <c r="K1231" s="8" t="s">
        <v>295</v>
      </c>
    </row>
    <row r="1232" spans="1:11" ht="15.5" x14ac:dyDescent="0.35">
      <c r="A1232" s="10"/>
      <c r="B1232" s="10"/>
      <c r="C1232" s="9"/>
      <c r="D1232" s="9"/>
      <c r="E1232" s="9"/>
      <c r="F1232" s="9"/>
      <c r="G1232" s="9"/>
      <c r="H1232" s="9"/>
      <c r="I1232" s="9"/>
      <c r="J1232" s="9"/>
      <c r="K1232" s="8" t="s">
        <v>294</v>
      </c>
    </row>
    <row r="1233" spans="1:11" ht="15.5" x14ac:dyDescent="0.35">
      <c r="A1233" s="10"/>
      <c r="B1233" s="10"/>
      <c r="C1233" s="13" t="s">
        <v>293</v>
      </c>
      <c r="D1233" s="11" t="s">
        <v>292</v>
      </c>
      <c r="E1233" s="11" t="s">
        <v>291</v>
      </c>
      <c r="F1233" s="11" t="s">
        <v>65</v>
      </c>
      <c r="G1233" s="11" t="s">
        <v>290</v>
      </c>
      <c r="H1233" s="11" t="s">
        <v>289</v>
      </c>
      <c r="I1233" s="12" t="s">
        <v>58</v>
      </c>
      <c r="J1233" s="11" t="s">
        <v>288</v>
      </c>
      <c r="K1233" s="8" t="s">
        <v>287</v>
      </c>
    </row>
    <row r="1234" spans="1:11" ht="15.5" x14ac:dyDescent="0.35">
      <c r="A1234" s="10"/>
      <c r="B1234" s="10"/>
      <c r="C1234" s="10"/>
      <c r="D1234" s="10"/>
      <c r="E1234" s="10"/>
      <c r="F1234" s="10"/>
      <c r="G1234" s="9"/>
      <c r="H1234" s="9"/>
      <c r="I1234" s="9"/>
      <c r="J1234" s="9"/>
      <c r="K1234" s="8" t="s">
        <v>286</v>
      </c>
    </row>
    <row r="1235" spans="1:11" ht="15.5" x14ac:dyDescent="0.35">
      <c r="A1235" s="10"/>
      <c r="B1235" s="10"/>
      <c r="C1235" s="10"/>
      <c r="D1235" s="10"/>
      <c r="E1235" s="10"/>
      <c r="F1235" s="10"/>
      <c r="G1235" s="11" t="s">
        <v>285</v>
      </c>
      <c r="H1235" s="11" t="s">
        <v>284</v>
      </c>
      <c r="I1235" s="12" t="s">
        <v>58</v>
      </c>
      <c r="J1235" s="11" t="s">
        <v>283</v>
      </c>
      <c r="K1235" s="8" t="s">
        <v>282</v>
      </c>
    </row>
    <row r="1236" spans="1:11" ht="15.5" x14ac:dyDescent="0.35">
      <c r="A1236" s="10"/>
      <c r="B1236" s="10"/>
      <c r="C1236" s="10"/>
      <c r="D1236" s="9"/>
      <c r="E1236" s="9"/>
      <c r="F1236" s="9"/>
      <c r="G1236" s="9"/>
      <c r="H1236" s="9"/>
      <c r="I1236" s="9"/>
      <c r="J1236" s="9"/>
      <c r="K1236" s="8" t="s">
        <v>281</v>
      </c>
    </row>
    <row r="1237" spans="1:11" ht="15.5" x14ac:dyDescent="0.35">
      <c r="A1237" s="10"/>
      <c r="B1237" s="10"/>
      <c r="C1237" s="10"/>
      <c r="D1237" s="11" t="s">
        <v>280</v>
      </c>
      <c r="E1237" s="11" t="s">
        <v>279</v>
      </c>
      <c r="F1237" s="11" t="s">
        <v>65</v>
      </c>
      <c r="G1237" s="11" t="s">
        <v>278</v>
      </c>
      <c r="H1237" s="11" t="s">
        <v>277</v>
      </c>
      <c r="I1237" s="12" t="s">
        <v>58</v>
      </c>
      <c r="J1237" s="11" t="s">
        <v>277</v>
      </c>
      <c r="K1237" s="8" t="s">
        <v>276</v>
      </c>
    </row>
    <row r="1238" spans="1:11" ht="15.5" x14ac:dyDescent="0.35">
      <c r="A1238" s="10"/>
      <c r="B1238" s="10"/>
      <c r="C1238" s="10"/>
      <c r="D1238" s="10"/>
      <c r="E1238" s="10"/>
      <c r="F1238" s="10"/>
      <c r="G1238" s="9"/>
      <c r="H1238" s="9"/>
      <c r="I1238" s="9"/>
      <c r="J1238" s="9"/>
      <c r="K1238" s="8" t="s">
        <v>275</v>
      </c>
    </row>
    <row r="1239" spans="1:11" ht="15.5" x14ac:dyDescent="0.35">
      <c r="A1239" s="10"/>
      <c r="B1239" s="10"/>
      <c r="C1239" s="10"/>
      <c r="D1239" s="10"/>
      <c r="E1239" s="10"/>
      <c r="F1239" s="10"/>
      <c r="G1239" s="11" t="s">
        <v>274</v>
      </c>
      <c r="H1239" s="11" t="s">
        <v>273</v>
      </c>
      <c r="I1239" s="12" t="s">
        <v>58</v>
      </c>
      <c r="J1239" s="11" t="s">
        <v>272</v>
      </c>
      <c r="K1239" s="8" t="s">
        <v>271</v>
      </c>
    </row>
    <row r="1240" spans="1:11" ht="15.5" x14ac:dyDescent="0.35">
      <c r="A1240" s="10"/>
      <c r="B1240" s="10"/>
      <c r="C1240" s="10"/>
      <c r="D1240" s="9"/>
      <c r="E1240" s="9"/>
      <c r="F1240" s="9"/>
      <c r="G1240" s="9"/>
      <c r="H1240" s="9"/>
      <c r="I1240" s="9"/>
      <c r="J1240" s="9"/>
      <c r="K1240" s="8" t="s">
        <v>270</v>
      </c>
    </row>
    <row r="1241" spans="1:11" ht="15.5" x14ac:dyDescent="0.35">
      <c r="A1241" s="10"/>
      <c r="B1241" s="10"/>
      <c r="C1241" s="10"/>
      <c r="D1241" s="11" t="s">
        <v>269</v>
      </c>
      <c r="E1241" s="11" t="s">
        <v>268</v>
      </c>
      <c r="F1241" s="11" t="s">
        <v>65</v>
      </c>
      <c r="G1241" s="11" t="s">
        <v>267</v>
      </c>
      <c r="H1241" s="11" t="s">
        <v>266</v>
      </c>
      <c r="I1241" s="12" t="s">
        <v>58</v>
      </c>
      <c r="J1241" s="11" t="s">
        <v>265</v>
      </c>
      <c r="K1241" s="8" t="s">
        <v>264</v>
      </c>
    </row>
    <row r="1242" spans="1:11" ht="15.5" x14ac:dyDescent="0.35">
      <c r="A1242" s="10"/>
      <c r="B1242" s="10"/>
      <c r="C1242" s="10"/>
      <c r="D1242" s="10"/>
      <c r="E1242" s="10"/>
      <c r="F1242" s="10"/>
      <c r="G1242" s="9"/>
      <c r="H1242" s="9"/>
      <c r="I1242" s="9"/>
      <c r="J1242" s="9"/>
      <c r="K1242" s="8" t="s">
        <v>263</v>
      </c>
    </row>
    <row r="1243" spans="1:11" ht="15.5" x14ac:dyDescent="0.35">
      <c r="A1243" s="10"/>
      <c r="B1243" s="10"/>
      <c r="C1243" s="10"/>
      <c r="D1243" s="10"/>
      <c r="E1243" s="10"/>
      <c r="F1243" s="10"/>
      <c r="G1243" s="11" t="s">
        <v>262</v>
      </c>
      <c r="H1243" s="11" t="s">
        <v>261</v>
      </c>
      <c r="I1243" s="12" t="s">
        <v>58</v>
      </c>
      <c r="J1243" s="11" t="s">
        <v>260</v>
      </c>
      <c r="K1243" s="8" t="s">
        <v>259</v>
      </c>
    </row>
    <row r="1244" spans="1:11" ht="15.5" x14ac:dyDescent="0.35">
      <c r="A1244" s="10"/>
      <c r="B1244" s="10"/>
      <c r="C1244" s="10"/>
      <c r="D1244" s="9"/>
      <c r="E1244" s="9"/>
      <c r="F1244" s="9"/>
      <c r="G1244" s="9"/>
      <c r="H1244" s="9"/>
      <c r="I1244" s="9"/>
      <c r="J1244" s="9"/>
      <c r="K1244" s="8" t="s">
        <v>258</v>
      </c>
    </row>
    <row r="1245" spans="1:11" ht="15.5" x14ac:dyDescent="0.35">
      <c r="A1245" s="10"/>
      <c r="B1245" s="10"/>
      <c r="C1245" s="10"/>
      <c r="D1245" s="11" t="s">
        <v>257</v>
      </c>
      <c r="E1245" s="11" t="s">
        <v>256</v>
      </c>
      <c r="F1245" s="11" t="s">
        <v>65</v>
      </c>
      <c r="G1245" s="11" t="s">
        <v>255</v>
      </c>
      <c r="H1245" s="11" t="s">
        <v>254</v>
      </c>
      <c r="I1245" s="12" t="s">
        <v>58</v>
      </c>
      <c r="J1245" s="11" t="s">
        <v>254</v>
      </c>
      <c r="K1245" s="8" t="s">
        <v>253</v>
      </c>
    </row>
    <row r="1246" spans="1:11" ht="15.5" x14ac:dyDescent="0.35">
      <c r="A1246" s="10"/>
      <c r="B1246" s="10"/>
      <c r="C1246" s="10"/>
      <c r="D1246" s="10"/>
      <c r="E1246" s="10"/>
      <c r="F1246" s="10"/>
      <c r="G1246" s="9"/>
      <c r="H1246" s="9"/>
      <c r="I1246" s="10"/>
      <c r="J1246" s="9"/>
      <c r="K1246" s="8" t="s">
        <v>252</v>
      </c>
    </row>
    <row r="1247" spans="1:11" ht="15.5" x14ac:dyDescent="0.35">
      <c r="A1247" s="10"/>
      <c r="B1247" s="10"/>
      <c r="C1247" s="10"/>
      <c r="D1247" s="10"/>
      <c r="E1247" s="10"/>
      <c r="F1247" s="10"/>
      <c r="G1247" s="11" t="s">
        <v>251</v>
      </c>
      <c r="H1247" s="11" t="s">
        <v>249</v>
      </c>
      <c r="I1247" s="15" t="s">
        <v>250</v>
      </c>
      <c r="J1247" s="11" t="s">
        <v>249</v>
      </c>
      <c r="K1247" s="8" t="s">
        <v>248</v>
      </c>
    </row>
    <row r="1248" spans="1:11" ht="15.5" x14ac:dyDescent="0.35">
      <c r="A1248" s="10"/>
      <c r="B1248" s="10"/>
      <c r="C1248" s="10"/>
      <c r="D1248" s="9"/>
      <c r="E1248" s="9"/>
      <c r="F1248" s="9"/>
      <c r="G1248" s="9"/>
      <c r="H1248" s="9"/>
      <c r="I1248" s="9"/>
      <c r="J1248" s="9"/>
      <c r="K1248" s="8" t="s">
        <v>247</v>
      </c>
    </row>
    <row r="1249" spans="1:11" ht="15.5" x14ac:dyDescent="0.35">
      <c r="A1249" s="10"/>
      <c r="B1249" s="10"/>
      <c r="C1249" s="10"/>
      <c r="D1249" s="11" t="s">
        <v>246</v>
      </c>
      <c r="E1249" s="11" t="s">
        <v>245</v>
      </c>
      <c r="F1249" s="11" t="s">
        <v>244</v>
      </c>
      <c r="G1249" s="11" t="s">
        <v>243</v>
      </c>
      <c r="H1249" s="11" t="s">
        <v>242</v>
      </c>
      <c r="I1249" s="12" t="s">
        <v>58</v>
      </c>
      <c r="J1249" s="11" t="s">
        <v>241</v>
      </c>
      <c r="K1249" s="8" t="s">
        <v>240</v>
      </c>
    </row>
    <row r="1250" spans="1:11" ht="15.5" x14ac:dyDescent="0.35">
      <c r="A1250" s="10"/>
      <c r="B1250" s="10"/>
      <c r="C1250" s="10"/>
      <c r="D1250" s="10"/>
      <c r="E1250" s="10"/>
      <c r="F1250" s="10"/>
      <c r="G1250" s="9"/>
      <c r="H1250" s="9"/>
      <c r="I1250" s="9"/>
      <c r="J1250" s="9"/>
      <c r="K1250" s="8" t="s">
        <v>239</v>
      </c>
    </row>
    <row r="1251" spans="1:11" ht="15.5" x14ac:dyDescent="0.35">
      <c r="A1251" s="10"/>
      <c r="B1251" s="10"/>
      <c r="C1251" s="10"/>
      <c r="D1251" s="10"/>
      <c r="E1251" s="10"/>
      <c r="F1251" s="10"/>
      <c r="G1251" s="11" t="s">
        <v>238</v>
      </c>
      <c r="H1251" s="11" t="s">
        <v>237</v>
      </c>
      <c r="I1251" s="12" t="s">
        <v>58</v>
      </c>
      <c r="J1251" s="11" t="s">
        <v>236</v>
      </c>
      <c r="K1251" s="8" t="s">
        <v>235</v>
      </c>
    </row>
    <row r="1252" spans="1:11" ht="15.5" x14ac:dyDescent="0.35">
      <c r="A1252" s="10"/>
      <c r="B1252" s="10"/>
      <c r="C1252" s="9"/>
      <c r="D1252" s="9"/>
      <c r="E1252" s="9"/>
      <c r="F1252" s="9"/>
      <c r="G1252" s="9"/>
      <c r="H1252" s="9"/>
      <c r="I1252" s="9"/>
      <c r="J1252" s="9"/>
      <c r="K1252" s="8" t="s">
        <v>234</v>
      </c>
    </row>
    <row r="1253" spans="1:11" ht="15.5" x14ac:dyDescent="0.35">
      <c r="A1253" s="10"/>
      <c r="B1253" s="10"/>
      <c r="C1253" s="13" t="s">
        <v>233</v>
      </c>
      <c r="D1253" s="11" t="s">
        <v>232</v>
      </c>
      <c r="E1253" s="11" t="s">
        <v>231</v>
      </c>
      <c r="F1253" s="11" t="s">
        <v>65</v>
      </c>
      <c r="G1253" s="11" t="s">
        <v>230</v>
      </c>
      <c r="H1253" s="11" t="s">
        <v>229</v>
      </c>
      <c r="I1253" s="12" t="s">
        <v>58</v>
      </c>
      <c r="J1253" s="11" t="s">
        <v>229</v>
      </c>
      <c r="K1253" s="8" t="s">
        <v>228</v>
      </c>
    </row>
    <row r="1254" spans="1:11" ht="15.5" x14ac:dyDescent="0.35">
      <c r="A1254" s="10"/>
      <c r="B1254" s="10"/>
      <c r="C1254" s="10"/>
      <c r="D1254" s="10"/>
      <c r="E1254" s="10"/>
      <c r="F1254" s="10"/>
      <c r="G1254" s="9"/>
      <c r="H1254" s="9"/>
      <c r="I1254" s="9"/>
      <c r="J1254" s="9"/>
      <c r="K1254" s="8" t="s">
        <v>227</v>
      </c>
    </row>
    <row r="1255" spans="1:11" ht="15.5" x14ac:dyDescent="0.35">
      <c r="A1255" s="10"/>
      <c r="B1255" s="10"/>
      <c r="C1255" s="10"/>
      <c r="D1255" s="10"/>
      <c r="E1255" s="10"/>
      <c r="F1255" s="10"/>
      <c r="G1255" s="11" t="s">
        <v>226</v>
      </c>
      <c r="H1255" s="11" t="s">
        <v>225</v>
      </c>
      <c r="I1255" s="12" t="s">
        <v>58</v>
      </c>
      <c r="J1255" s="11" t="s">
        <v>225</v>
      </c>
      <c r="K1255" s="8" t="s">
        <v>224</v>
      </c>
    </row>
    <row r="1256" spans="1:11" ht="15.5" x14ac:dyDescent="0.35">
      <c r="A1256" s="10"/>
      <c r="B1256" s="10"/>
      <c r="C1256" s="10"/>
      <c r="D1256" s="9"/>
      <c r="E1256" s="9"/>
      <c r="F1256" s="9"/>
      <c r="G1256" s="9"/>
      <c r="H1256" s="9"/>
      <c r="I1256" s="9"/>
      <c r="J1256" s="9"/>
      <c r="K1256" s="8" t="s">
        <v>223</v>
      </c>
    </row>
    <row r="1257" spans="1:11" ht="15.5" x14ac:dyDescent="0.35">
      <c r="A1257" s="10"/>
      <c r="B1257" s="10"/>
      <c r="C1257" s="10"/>
      <c r="D1257" s="11" t="s">
        <v>222</v>
      </c>
      <c r="E1257" s="11" t="s">
        <v>221</v>
      </c>
      <c r="F1257" s="11" t="s">
        <v>65</v>
      </c>
      <c r="G1257" s="11" t="s">
        <v>220</v>
      </c>
      <c r="H1257" s="11" t="s">
        <v>219</v>
      </c>
      <c r="I1257" s="12" t="s">
        <v>58</v>
      </c>
      <c r="J1257" s="11" t="s">
        <v>218</v>
      </c>
      <c r="K1257" s="8" t="s">
        <v>217</v>
      </c>
    </row>
    <row r="1258" spans="1:11" ht="15.5" x14ac:dyDescent="0.35">
      <c r="A1258" s="10"/>
      <c r="B1258" s="10"/>
      <c r="C1258" s="10"/>
      <c r="D1258" s="10"/>
      <c r="E1258" s="10"/>
      <c r="F1258" s="10"/>
      <c r="G1258" s="9"/>
      <c r="H1258" s="9"/>
      <c r="I1258" s="9"/>
      <c r="J1258" s="9"/>
      <c r="K1258" s="8" t="s">
        <v>216</v>
      </c>
    </row>
    <row r="1259" spans="1:11" ht="15.5" x14ac:dyDescent="0.35">
      <c r="A1259" s="10"/>
      <c r="B1259" s="10"/>
      <c r="C1259" s="10"/>
      <c r="D1259" s="10"/>
      <c r="E1259" s="10"/>
      <c r="F1259" s="10"/>
      <c r="G1259" s="11" t="s">
        <v>215</v>
      </c>
      <c r="H1259" s="11" t="s">
        <v>214</v>
      </c>
      <c r="I1259" s="12" t="s">
        <v>58</v>
      </c>
      <c r="J1259" s="11" t="s">
        <v>214</v>
      </c>
      <c r="K1259" s="8" t="s">
        <v>213</v>
      </c>
    </row>
    <row r="1260" spans="1:11" ht="15.5" x14ac:dyDescent="0.35">
      <c r="A1260" s="10"/>
      <c r="B1260" s="10"/>
      <c r="C1260" s="10"/>
      <c r="D1260" s="9"/>
      <c r="E1260" s="9"/>
      <c r="F1260" s="9"/>
      <c r="G1260" s="9"/>
      <c r="H1260" s="9"/>
      <c r="I1260" s="9"/>
      <c r="J1260" s="9"/>
      <c r="K1260" s="8" t="s">
        <v>212</v>
      </c>
    </row>
    <row r="1261" spans="1:11" ht="15.5" x14ac:dyDescent="0.35">
      <c r="A1261" s="10"/>
      <c r="B1261" s="10"/>
      <c r="C1261" s="10"/>
      <c r="D1261" s="11" t="s">
        <v>211</v>
      </c>
      <c r="E1261" s="11" t="s">
        <v>210</v>
      </c>
      <c r="F1261" s="11" t="s">
        <v>65</v>
      </c>
      <c r="G1261" s="11" t="s">
        <v>209</v>
      </c>
      <c r="H1261" s="11" t="s">
        <v>208</v>
      </c>
      <c r="I1261" s="12" t="s">
        <v>58</v>
      </c>
      <c r="J1261" s="11" t="s">
        <v>207</v>
      </c>
      <c r="K1261" s="8" t="s">
        <v>206</v>
      </c>
    </row>
    <row r="1262" spans="1:11" ht="15.5" x14ac:dyDescent="0.35">
      <c r="A1262" s="10"/>
      <c r="B1262" s="10"/>
      <c r="C1262" s="10"/>
      <c r="D1262" s="10"/>
      <c r="E1262" s="10"/>
      <c r="F1262" s="10"/>
      <c r="G1262" s="9"/>
      <c r="H1262" s="9"/>
      <c r="I1262" s="9"/>
      <c r="J1262" s="9"/>
      <c r="K1262" s="8" t="s">
        <v>205</v>
      </c>
    </row>
    <row r="1263" spans="1:11" ht="15.5" x14ac:dyDescent="0.35">
      <c r="A1263" s="10"/>
      <c r="B1263" s="10"/>
      <c r="C1263" s="10"/>
      <c r="D1263" s="10"/>
      <c r="E1263" s="10"/>
      <c r="F1263" s="10"/>
      <c r="G1263" s="11" t="s">
        <v>204</v>
      </c>
      <c r="H1263" s="11" t="s">
        <v>203</v>
      </c>
      <c r="I1263" s="12" t="s">
        <v>58</v>
      </c>
      <c r="J1263" s="11" t="s">
        <v>202</v>
      </c>
      <c r="K1263" s="8" t="s">
        <v>201</v>
      </c>
    </row>
    <row r="1264" spans="1:11" ht="15.5" x14ac:dyDescent="0.35">
      <c r="A1264" s="10"/>
      <c r="B1264" s="10"/>
      <c r="C1264" s="10"/>
      <c r="D1264" s="9"/>
      <c r="E1264" s="9"/>
      <c r="F1264" s="9"/>
      <c r="G1264" s="9"/>
      <c r="H1264" s="9"/>
      <c r="I1264" s="9"/>
      <c r="J1264" s="9"/>
      <c r="K1264" s="8" t="s">
        <v>200</v>
      </c>
    </row>
    <row r="1265" spans="1:11" ht="15.5" x14ac:dyDescent="0.35">
      <c r="A1265" s="10"/>
      <c r="B1265" s="10"/>
      <c r="C1265" s="10"/>
      <c r="D1265" s="11" t="s">
        <v>199</v>
      </c>
      <c r="E1265" s="11" t="s">
        <v>198</v>
      </c>
      <c r="F1265" s="11" t="s">
        <v>65</v>
      </c>
      <c r="G1265" s="11" t="s">
        <v>197</v>
      </c>
      <c r="H1265" s="11" t="s">
        <v>196</v>
      </c>
      <c r="I1265" s="12" t="s">
        <v>58</v>
      </c>
      <c r="J1265" s="11" t="s">
        <v>195</v>
      </c>
      <c r="K1265" s="8" t="s">
        <v>194</v>
      </c>
    </row>
    <row r="1266" spans="1:11" ht="15.5" x14ac:dyDescent="0.35">
      <c r="A1266" s="10"/>
      <c r="B1266" s="10"/>
      <c r="C1266" s="10"/>
      <c r="D1266" s="10"/>
      <c r="E1266" s="10"/>
      <c r="F1266" s="10"/>
      <c r="G1266" s="9"/>
      <c r="H1266" s="9"/>
      <c r="I1266" s="9"/>
      <c r="J1266" s="9"/>
      <c r="K1266" s="8" t="s">
        <v>193</v>
      </c>
    </row>
    <row r="1267" spans="1:11" ht="15.5" x14ac:dyDescent="0.35">
      <c r="A1267" s="10"/>
      <c r="B1267" s="10"/>
      <c r="C1267" s="10"/>
      <c r="D1267" s="10"/>
      <c r="E1267" s="10"/>
      <c r="F1267" s="10"/>
      <c r="G1267" s="11" t="s">
        <v>192</v>
      </c>
      <c r="H1267" s="11" t="s">
        <v>191</v>
      </c>
      <c r="I1267" s="14" t="s">
        <v>120</v>
      </c>
      <c r="J1267" s="11" t="s">
        <v>190</v>
      </c>
      <c r="K1267" s="8" t="s">
        <v>189</v>
      </c>
    </row>
    <row r="1268" spans="1:11" ht="15.5" x14ac:dyDescent="0.35">
      <c r="A1268" s="10"/>
      <c r="B1268" s="10"/>
      <c r="C1268" s="10"/>
      <c r="D1268" s="9"/>
      <c r="E1268" s="9"/>
      <c r="F1268" s="9"/>
      <c r="G1268" s="9"/>
      <c r="H1268" s="9"/>
      <c r="I1268" s="9"/>
      <c r="J1268" s="9"/>
      <c r="K1268" s="8" t="s">
        <v>188</v>
      </c>
    </row>
    <row r="1269" spans="1:11" ht="15.5" x14ac:dyDescent="0.35">
      <c r="A1269" s="10"/>
      <c r="B1269" s="10"/>
      <c r="C1269" s="10"/>
      <c r="D1269" s="11" t="s">
        <v>187</v>
      </c>
      <c r="E1269" s="11" t="s">
        <v>186</v>
      </c>
      <c r="F1269" s="11" t="s">
        <v>65</v>
      </c>
      <c r="G1269" s="11" t="s">
        <v>185</v>
      </c>
      <c r="H1269" s="11" t="s">
        <v>184</v>
      </c>
      <c r="I1269" s="14" t="s">
        <v>120</v>
      </c>
      <c r="J1269" s="11" t="s">
        <v>183</v>
      </c>
      <c r="K1269" s="8" t="s">
        <v>182</v>
      </c>
    </row>
    <row r="1270" spans="1:11" ht="15.5" x14ac:dyDescent="0.35">
      <c r="A1270" s="10"/>
      <c r="B1270" s="10"/>
      <c r="C1270" s="10"/>
      <c r="D1270" s="10"/>
      <c r="E1270" s="10"/>
      <c r="F1270" s="10"/>
      <c r="G1270" s="9"/>
      <c r="H1270" s="9"/>
      <c r="I1270" s="9"/>
      <c r="J1270" s="10"/>
      <c r="K1270" s="8" t="s">
        <v>181</v>
      </c>
    </row>
    <row r="1271" spans="1:11" ht="15.5" x14ac:dyDescent="0.35">
      <c r="A1271" s="10"/>
      <c r="B1271" s="10"/>
      <c r="C1271" s="10"/>
      <c r="D1271" s="10"/>
      <c r="E1271" s="10"/>
      <c r="F1271" s="10"/>
      <c r="G1271" s="11" t="s">
        <v>180</v>
      </c>
      <c r="H1271" s="11" t="s">
        <v>179</v>
      </c>
      <c r="I1271" s="14" t="s">
        <v>120</v>
      </c>
      <c r="J1271" s="11" t="s">
        <v>172</v>
      </c>
      <c r="K1271" s="8" t="s">
        <v>178</v>
      </c>
    </row>
    <row r="1272" spans="1:11" ht="15.5" x14ac:dyDescent="0.35">
      <c r="A1272" s="10"/>
      <c r="B1272" s="10"/>
      <c r="C1272" s="9"/>
      <c r="D1272" s="9"/>
      <c r="E1272" s="9"/>
      <c r="F1272" s="9"/>
      <c r="G1272" s="9"/>
      <c r="H1272" s="9"/>
      <c r="I1272" s="9"/>
      <c r="J1272" s="10"/>
      <c r="K1272" s="8" t="s">
        <v>177</v>
      </c>
    </row>
    <row r="1273" spans="1:11" ht="15.5" x14ac:dyDescent="0.35">
      <c r="A1273" s="10"/>
      <c r="B1273" s="10"/>
      <c r="C1273" s="13" t="s">
        <v>176</v>
      </c>
      <c r="D1273" s="11" t="s">
        <v>175</v>
      </c>
      <c r="E1273" s="11" t="s">
        <v>174</v>
      </c>
      <c r="F1273" s="11" t="s">
        <v>65</v>
      </c>
      <c r="G1273" s="11" t="s">
        <v>173</v>
      </c>
      <c r="H1273" s="11" t="s">
        <v>172</v>
      </c>
      <c r="I1273" s="14" t="s">
        <v>120</v>
      </c>
      <c r="J1273" s="11" t="s">
        <v>171</v>
      </c>
      <c r="K1273" s="8" t="s">
        <v>170</v>
      </c>
    </row>
    <row r="1274" spans="1:11" ht="15.5" x14ac:dyDescent="0.35">
      <c r="A1274" s="10"/>
      <c r="B1274" s="10"/>
      <c r="C1274" s="10"/>
      <c r="D1274" s="10"/>
      <c r="E1274" s="10"/>
      <c r="F1274" s="10"/>
      <c r="G1274" s="9"/>
      <c r="H1274" s="9"/>
      <c r="I1274" s="9"/>
      <c r="J1274" s="9"/>
      <c r="K1274" s="8" t="s">
        <v>169</v>
      </c>
    </row>
    <row r="1275" spans="1:11" ht="15.5" x14ac:dyDescent="0.35">
      <c r="A1275" s="10"/>
      <c r="B1275" s="10"/>
      <c r="C1275" s="10"/>
      <c r="D1275" s="10"/>
      <c r="E1275" s="10"/>
      <c r="F1275" s="10"/>
      <c r="G1275" s="11" t="s">
        <v>168</v>
      </c>
      <c r="H1275" s="11" t="s">
        <v>167</v>
      </c>
      <c r="I1275" s="14" t="s">
        <v>120</v>
      </c>
      <c r="J1275" s="11" t="s">
        <v>167</v>
      </c>
      <c r="K1275" s="8" t="s">
        <v>166</v>
      </c>
    </row>
    <row r="1276" spans="1:11" ht="15.5" x14ac:dyDescent="0.35">
      <c r="A1276" s="10"/>
      <c r="B1276" s="10"/>
      <c r="C1276" s="10"/>
      <c r="D1276" s="9"/>
      <c r="E1276" s="9"/>
      <c r="F1276" s="9"/>
      <c r="G1276" s="9"/>
      <c r="H1276" s="9"/>
      <c r="I1276" s="9"/>
      <c r="J1276" s="9"/>
      <c r="K1276" s="8" t="s">
        <v>165</v>
      </c>
    </row>
    <row r="1277" spans="1:11" ht="15.5" x14ac:dyDescent="0.35">
      <c r="A1277" s="10"/>
      <c r="B1277" s="10"/>
      <c r="C1277" s="10"/>
      <c r="D1277" s="11" t="s">
        <v>164</v>
      </c>
      <c r="E1277" s="11" t="s">
        <v>163</v>
      </c>
      <c r="F1277" s="11" t="s">
        <v>65</v>
      </c>
      <c r="G1277" s="11" t="s">
        <v>162</v>
      </c>
      <c r="H1277" s="11" t="s">
        <v>161</v>
      </c>
      <c r="I1277" s="14" t="s">
        <v>120</v>
      </c>
      <c r="J1277" s="11" t="s">
        <v>161</v>
      </c>
      <c r="K1277" s="8" t="s">
        <v>160</v>
      </c>
    </row>
    <row r="1278" spans="1:11" ht="15.5" x14ac:dyDescent="0.35">
      <c r="A1278" s="10"/>
      <c r="B1278" s="10"/>
      <c r="C1278" s="10"/>
      <c r="D1278" s="10"/>
      <c r="E1278" s="10"/>
      <c r="F1278" s="10"/>
      <c r="G1278" s="9"/>
      <c r="H1278" s="9"/>
      <c r="I1278" s="9"/>
      <c r="J1278" s="9"/>
      <c r="K1278" s="8" t="s">
        <v>159</v>
      </c>
    </row>
    <row r="1279" spans="1:11" ht="15.5" x14ac:dyDescent="0.35">
      <c r="A1279" s="10"/>
      <c r="B1279" s="10"/>
      <c r="C1279" s="10"/>
      <c r="D1279" s="10"/>
      <c r="E1279" s="10"/>
      <c r="F1279" s="10"/>
      <c r="G1279" s="11" t="s">
        <v>158</v>
      </c>
      <c r="H1279" s="11" t="s">
        <v>157</v>
      </c>
      <c r="I1279" s="14" t="s">
        <v>120</v>
      </c>
      <c r="J1279" s="11" t="s">
        <v>156</v>
      </c>
      <c r="K1279" s="8" t="s">
        <v>155</v>
      </c>
    </row>
    <row r="1280" spans="1:11" ht="15.5" x14ac:dyDescent="0.35">
      <c r="A1280" s="10"/>
      <c r="B1280" s="10"/>
      <c r="C1280" s="10"/>
      <c r="D1280" s="9"/>
      <c r="E1280" s="9"/>
      <c r="F1280" s="9"/>
      <c r="G1280" s="9"/>
      <c r="H1280" s="9"/>
      <c r="I1280" s="9"/>
      <c r="J1280" s="9"/>
      <c r="K1280" s="8" t="s">
        <v>154</v>
      </c>
    </row>
    <row r="1281" spans="1:11" ht="15.5" x14ac:dyDescent="0.35">
      <c r="A1281" s="10"/>
      <c r="B1281" s="10"/>
      <c r="C1281" s="10"/>
      <c r="D1281" s="11" t="s">
        <v>153</v>
      </c>
      <c r="E1281" s="11" t="s">
        <v>152</v>
      </c>
      <c r="F1281" s="11" t="s">
        <v>65</v>
      </c>
      <c r="G1281" s="11" t="s">
        <v>151</v>
      </c>
      <c r="H1281" s="11" t="s">
        <v>150</v>
      </c>
      <c r="I1281" s="14" t="s">
        <v>120</v>
      </c>
      <c r="J1281" s="11" t="s">
        <v>149</v>
      </c>
      <c r="K1281" s="8" t="s">
        <v>148</v>
      </c>
    </row>
    <row r="1282" spans="1:11" ht="15.5" x14ac:dyDescent="0.35">
      <c r="A1282" s="10"/>
      <c r="B1282" s="10"/>
      <c r="C1282" s="10"/>
      <c r="D1282" s="10"/>
      <c r="E1282" s="10"/>
      <c r="F1282" s="10"/>
      <c r="G1282" s="9"/>
      <c r="H1282" s="9"/>
      <c r="I1282" s="9"/>
      <c r="J1282" s="9"/>
      <c r="K1282" s="8" t="s">
        <v>147</v>
      </c>
    </row>
    <row r="1283" spans="1:11" ht="15.5" x14ac:dyDescent="0.35">
      <c r="A1283" s="10"/>
      <c r="B1283" s="10"/>
      <c r="C1283" s="10"/>
      <c r="D1283" s="10"/>
      <c r="E1283" s="10"/>
      <c r="F1283" s="10"/>
      <c r="G1283" s="11" t="s">
        <v>146</v>
      </c>
      <c r="H1283" s="11" t="s">
        <v>145</v>
      </c>
      <c r="I1283" s="14" t="s">
        <v>120</v>
      </c>
      <c r="J1283" s="11" t="s">
        <v>144</v>
      </c>
      <c r="K1283" s="8" t="s">
        <v>143</v>
      </c>
    </row>
    <row r="1284" spans="1:11" ht="15.5" x14ac:dyDescent="0.35">
      <c r="A1284" s="10"/>
      <c r="B1284" s="10"/>
      <c r="C1284" s="10"/>
      <c r="D1284" s="9"/>
      <c r="E1284" s="9"/>
      <c r="F1284" s="9"/>
      <c r="G1284" s="9"/>
      <c r="H1284" s="9"/>
      <c r="I1284" s="9"/>
      <c r="J1284" s="9"/>
      <c r="K1284" s="8" t="s">
        <v>142</v>
      </c>
    </row>
    <row r="1285" spans="1:11" ht="15.5" x14ac:dyDescent="0.35">
      <c r="A1285" s="10"/>
      <c r="B1285" s="10"/>
      <c r="C1285" s="10"/>
      <c r="D1285" s="11" t="s">
        <v>141</v>
      </c>
      <c r="E1285" s="11" t="s">
        <v>140</v>
      </c>
      <c r="F1285" s="11" t="s">
        <v>65</v>
      </c>
      <c r="G1285" s="11" t="s">
        <v>139</v>
      </c>
      <c r="H1285" s="11" t="s">
        <v>138</v>
      </c>
      <c r="I1285" s="14" t="s">
        <v>120</v>
      </c>
      <c r="J1285" s="11" t="s">
        <v>137</v>
      </c>
      <c r="K1285" s="8" t="s">
        <v>136</v>
      </c>
    </row>
    <row r="1286" spans="1:11" ht="15.5" x14ac:dyDescent="0.35">
      <c r="A1286" s="10"/>
      <c r="B1286" s="10"/>
      <c r="C1286" s="10"/>
      <c r="D1286" s="10"/>
      <c r="E1286" s="10"/>
      <c r="F1286" s="10"/>
      <c r="G1286" s="9"/>
      <c r="H1286" s="9"/>
      <c r="I1286" s="9"/>
      <c r="J1286" s="9"/>
      <c r="K1286" s="8" t="s">
        <v>135</v>
      </c>
    </row>
    <row r="1287" spans="1:11" ht="15.5" x14ac:dyDescent="0.35">
      <c r="A1287" s="10"/>
      <c r="B1287" s="10"/>
      <c r="C1287" s="10"/>
      <c r="D1287" s="10"/>
      <c r="E1287" s="10"/>
      <c r="F1287" s="10"/>
      <c r="G1287" s="11" t="s">
        <v>134</v>
      </c>
      <c r="H1287" s="11" t="s">
        <v>133</v>
      </c>
      <c r="I1287" s="14" t="s">
        <v>120</v>
      </c>
      <c r="J1287" s="11" t="s">
        <v>132</v>
      </c>
      <c r="K1287" s="8" t="s">
        <v>131</v>
      </c>
    </row>
    <row r="1288" spans="1:11" ht="15.5" x14ac:dyDescent="0.35">
      <c r="A1288" s="10"/>
      <c r="B1288" s="10"/>
      <c r="C1288" s="10"/>
      <c r="D1288" s="9"/>
      <c r="E1288" s="9"/>
      <c r="F1288" s="9"/>
      <c r="G1288" s="9"/>
      <c r="H1288" s="9"/>
      <c r="I1288" s="9"/>
      <c r="J1288" s="9"/>
      <c r="K1288" s="8" t="s">
        <v>130</v>
      </c>
    </row>
    <row r="1289" spans="1:11" ht="15.5" x14ac:dyDescent="0.35">
      <c r="A1289" s="10"/>
      <c r="B1289" s="10"/>
      <c r="C1289" s="10"/>
      <c r="D1289" s="11" t="s">
        <v>129</v>
      </c>
      <c r="E1289" s="11" t="s">
        <v>128</v>
      </c>
      <c r="F1289" s="11" t="s">
        <v>65</v>
      </c>
      <c r="G1289" s="11" t="s">
        <v>127</v>
      </c>
      <c r="H1289" s="11" t="s">
        <v>126</v>
      </c>
      <c r="I1289" s="14" t="s">
        <v>120</v>
      </c>
      <c r="J1289" s="11" t="s">
        <v>125</v>
      </c>
      <c r="K1289" s="8" t="s">
        <v>124</v>
      </c>
    </row>
    <row r="1290" spans="1:11" ht="15.5" x14ac:dyDescent="0.35">
      <c r="A1290" s="10"/>
      <c r="B1290" s="10"/>
      <c r="C1290" s="10"/>
      <c r="D1290" s="10"/>
      <c r="E1290" s="10"/>
      <c r="F1290" s="10"/>
      <c r="G1290" s="9"/>
      <c r="H1290" s="9"/>
      <c r="I1290" s="9"/>
      <c r="J1290" s="9"/>
      <c r="K1290" s="8" t="s">
        <v>123</v>
      </c>
    </row>
    <row r="1291" spans="1:11" ht="15.5" x14ac:dyDescent="0.35">
      <c r="A1291" s="10"/>
      <c r="B1291" s="10"/>
      <c r="C1291" s="10"/>
      <c r="D1291" s="10"/>
      <c r="E1291" s="10"/>
      <c r="F1291" s="10"/>
      <c r="G1291" s="11" t="s">
        <v>122</v>
      </c>
      <c r="H1291" s="11" t="s">
        <v>121</v>
      </c>
      <c r="I1291" s="14" t="s">
        <v>120</v>
      </c>
      <c r="J1291" s="11" t="s">
        <v>119</v>
      </c>
      <c r="K1291" s="8" t="s">
        <v>118</v>
      </c>
    </row>
    <row r="1292" spans="1:11" ht="15.5" x14ac:dyDescent="0.35">
      <c r="A1292" s="10"/>
      <c r="B1292" s="10"/>
      <c r="C1292" s="9"/>
      <c r="D1292" s="9"/>
      <c r="E1292" s="9"/>
      <c r="F1292" s="9"/>
      <c r="G1292" s="9"/>
      <c r="H1292" s="9"/>
      <c r="I1292" s="9"/>
      <c r="J1292" s="9"/>
      <c r="K1292" s="8" t="s">
        <v>117</v>
      </c>
    </row>
    <row r="1293" spans="1:11" ht="15.5" x14ac:dyDescent="0.35">
      <c r="A1293" s="10"/>
      <c r="B1293" s="10"/>
      <c r="C1293" s="13" t="s">
        <v>116</v>
      </c>
      <c r="D1293" s="11" t="s">
        <v>115</v>
      </c>
      <c r="E1293" s="11" t="s">
        <v>114</v>
      </c>
      <c r="F1293" s="11" t="s">
        <v>65</v>
      </c>
      <c r="G1293" s="11" t="s">
        <v>113</v>
      </c>
      <c r="H1293" s="11" t="s">
        <v>112</v>
      </c>
      <c r="I1293" s="12" t="s">
        <v>58</v>
      </c>
      <c r="J1293" s="11" t="s">
        <v>111</v>
      </c>
      <c r="K1293" s="8" t="s">
        <v>110</v>
      </c>
    </row>
    <row r="1294" spans="1:11" ht="15.5" x14ac:dyDescent="0.35">
      <c r="A1294" s="10"/>
      <c r="B1294" s="10"/>
      <c r="C1294" s="10"/>
      <c r="D1294" s="10"/>
      <c r="E1294" s="10"/>
      <c r="F1294" s="10"/>
      <c r="G1294" s="9"/>
      <c r="H1294" s="9"/>
      <c r="I1294" s="9"/>
      <c r="J1294" s="9"/>
      <c r="K1294" s="8" t="s">
        <v>109</v>
      </c>
    </row>
    <row r="1295" spans="1:11" ht="15.5" x14ac:dyDescent="0.35">
      <c r="A1295" s="10"/>
      <c r="B1295" s="10"/>
      <c r="C1295" s="10"/>
      <c r="D1295" s="10"/>
      <c r="E1295" s="10"/>
      <c r="F1295" s="10"/>
      <c r="G1295" s="11" t="s">
        <v>108</v>
      </c>
      <c r="H1295" s="11" t="s">
        <v>107</v>
      </c>
      <c r="I1295" s="12" t="s">
        <v>58</v>
      </c>
      <c r="J1295" s="11" t="s">
        <v>106</v>
      </c>
      <c r="K1295" s="8" t="s">
        <v>105</v>
      </c>
    </row>
    <row r="1296" spans="1:11" ht="15.5" x14ac:dyDescent="0.35">
      <c r="A1296" s="10"/>
      <c r="B1296" s="10"/>
      <c r="C1296" s="10"/>
      <c r="D1296" s="9"/>
      <c r="E1296" s="9"/>
      <c r="F1296" s="9"/>
      <c r="G1296" s="9"/>
      <c r="H1296" s="9"/>
      <c r="I1296" s="9"/>
      <c r="J1296" s="9"/>
      <c r="K1296" s="8" t="s">
        <v>104</v>
      </c>
    </row>
    <row r="1297" spans="1:11" ht="15.5" x14ac:dyDescent="0.35">
      <c r="A1297" s="10"/>
      <c r="B1297" s="10"/>
      <c r="C1297" s="10"/>
      <c r="D1297" s="11" t="s">
        <v>103</v>
      </c>
      <c r="E1297" s="11" t="s">
        <v>102</v>
      </c>
      <c r="F1297" s="11" t="s">
        <v>65</v>
      </c>
      <c r="G1297" s="11" t="s">
        <v>101</v>
      </c>
      <c r="H1297" s="11" t="s">
        <v>100</v>
      </c>
      <c r="I1297" s="12" t="s">
        <v>58</v>
      </c>
      <c r="J1297" s="11" t="s">
        <v>99</v>
      </c>
      <c r="K1297" s="8" t="s">
        <v>98</v>
      </c>
    </row>
    <row r="1298" spans="1:11" ht="15.5" x14ac:dyDescent="0.35">
      <c r="A1298" s="10"/>
      <c r="B1298" s="10"/>
      <c r="C1298" s="10"/>
      <c r="D1298" s="10"/>
      <c r="E1298" s="10"/>
      <c r="F1298" s="10"/>
      <c r="G1298" s="9"/>
      <c r="H1298" s="9"/>
      <c r="I1298" s="9"/>
      <c r="J1298" s="9"/>
      <c r="K1298" s="8" t="s">
        <v>97</v>
      </c>
    </row>
    <row r="1299" spans="1:11" ht="15.5" x14ac:dyDescent="0.35">
      <c r="A1299" s="10"/>
      <c r="B1299" s="10"/>
      <c r="C1299" s="10"/>
      <c r="D1299" s="10"/>
      <c r="E1299" s="10"/>
      <c r="F1299" s="10"/>
      <c r="G1299" s="11" t="s">
        <v>96</v>
      </c>
      <c r="H1299" s="11" t="s">
        <v>95</v>
      </c>
      <c r="I1299" s="12" t="s">
        <v>58</v>
      </c>
      <c r="J1299" s="11" t="s">
        <v>94</v>
      </c>
      <c r="K1299" s="8" t="s">
        <v>93</v>
      </c>
    </row>
    <row r="1300" spans="1:11" ht="15.5" x14ac:dyDescent="0.35">
      <c r="A1300" s="10"/>
      <c r="B1300" s="10"/>
      <c r="C1300" s="10"/>
      <c r="D1300" s="9"/>
      <c r="E1300" s="9"/>
      <c r="F1300" s="9"/>
      <c r="G1300" s="9"/>
      <c r="H1300" s="9"/>
      <c r="I1300" s="9"/>
      <c r="J1300" s="9"/>
      <c r="K1300" s="8" t="s">
        <v>92</v>
      </c>
    </row>
    <row r="1301" spans="1:11" ht="15.5" x14ac:dyDescent="0.35">
      <c r="A1301" s="10"/>
      <c r="B1301" s="10"/>
      <c r="C1301" s="10"/>
      <c r="D1301" s="11" t="s">
        <v>91</v>
      </c>
      <c r="E1301" s="11" t="s">
        <v>90</v>
      </c>
      <c r="F1301" s="11" t="s">
        <v>65</v>
      </c>
      <c r="G1301" s="11" t="s">
        <v>89</v>
      </c>
      <c r="H1301" s="11" t="s">
        <v>88</v>
      </c>
      <c r="I1301" s="12" t="s">
        <v>58</v>
      </c>
      <c r="J1301" s="11" t="s">
        <v>87</v>
      </c>
      <c r="K1301" s="8" t="s">
        <v>86</v>
      </c>
    </row>
    <row r="1302" spans="1:11" ht="15.5" x14ac:dyDescent="0.35">
      <c r="A1302" s="10"/>
      <c r="B1302" s="10"/>
      <c r="C1302" s="10"/>
      <c r="D1302" s="10"/>
      <c r="E1302" s="10"/>
      <c r="F1302" s="10"/>
      <c r="G1302" s="9"/>
      <c r="H1302" s="9"/>
      <c r="I1302" s="9"/>
      <c r="J1302" s="9"/>
      <c r="K1302" s="8" t="s">
        <v>85</v>
      </c>
    </row>
    <row r="1303" spans="1:11" ht="15.5" x14ac:dyDescent="0.35">
      <c r="A1303" s="10"/>
      <c r="B1303" s="10"/>
      <c r="C1303" s="10"/>
      <c r="D1303" s="10"/>
      <c r="E1303" s="10"/>
      <c r="F1303" s="10"/>
      <c r="G1303" s="11" t="s">
        <v>84</v>
      </c>
      <c r="H1303" s="11" t="s">
        <v>83</v>
      </c>
      <c r="I1303" s="12" t="s">
        <v>58</v>
      </c>
      <c r="J1303" s="11" t="s">
        <v>82</v>
      </c>
      <c r="K1303" s="8" t="s">
        <v>81</v>
      </c>
    </row>
    <row r="1304" spans="1:11" ht="15.5" x14ac:dyDescent="0.35">
      <c r="A1304" s="10"/>
      <c r="B1304" s="10"/>
      <c r="C1304" s="10"/>
      <c r="D1304" s="9"/>
      <c r="E1304" s="9"/>
      <c r="F1304" s="9"/>
      <c r="G1304" s="9"/>
      <c r="H1304" s="9"/>
      <c r="I1304" s="9"/>
      <c r="J1304" s="9"/>
      <c r="K1304" s="8" t="s">
        <v>80</v>
      </c>
    </row>
    <row r="1305" spans="1:11" ht="15.5" x14ac:dyDescent="0.35">
      <c r="A1305" s="10"/>
      <c r="B1305" s="10"/>
      <c r="C1305" s="10"/>
      <c r="D1305" s="11" t="s">
        <v>79</v>
      </c>
      <c r="E1305" s="11" t="s">
        <v>78</v>
      </c>
      <c r="F1305" s="11" t="s">
        <v>65</v>
      </c>
      <c r="G1305" s="11" t="s">
        <v>77</v>
      </c>
      <c r="H1305" s="11" t="s">
        <v>76</v>
      </c>
      <c r="I1305" s="12" t="s">
        <v>58</v>
      </c>
      <c r="J1305" s="11" t="s">
        <v>75</v>
      </c>
      <c r="K1305" s="8" t="s">
        <v>74</v>
      </c>
    </row>
    <row r="1306" spans="1:11" ht="15.5" x14ac:dyDescent="0.35">
      <c r="A1306" s="10"/>
      <c r="B1306" s="10"/>
      <c r="C1306" s="10"/>
      <c r="D1306" s="10"/>
      <c r="E1306" s="10"/>
      <c r="F1306" s="10"/>
      <c r="G1306" s="9"/>
      <c r="H1306" s="9"/>
      <c r="I1306" s="9"/>
      <c r="J1306" s="9"/>
      <c r="K1306" s="8" t="s">
        <v>73</v>
      </c>
    </row>
    <row r="1307" spans="1:11" ht="15.5" x14ac:dyDescent="0.35">
      <c r="A1307" s="10"/>
      <c r="B1307" s="10"/>
      <c r="C1307" s="10"/>
      <c r="D1307" s="10"/>
      <c r="E1307" s="10"/>
      <c r="F1307" s="10"/>
      <c r="G1307" s="11" t="s">
        <v>72</v>
      </c>
      <c r="H1307" s="11" t="s">
        <v>71</v>
      </c>
      <c r="I1307" s="12" t="s">
        <v>58</v>
      </c>
      <c r="J1307" s="11" t="s">
        <v>70</v>
      </c>
      <c r="K1307" s="8" t="s">
        <v>69</v>
      </c>
    </row>
    <row r="1308" spans="1:11" ht="15.5" x14ac:dyDescent="0.35">
      <c r="A1308" s="10"/>
      <c r="B1308" s="10"/>
      <c r="C1308" s="10"/>
      <c r="D1308" s="9"/>
      <c r="E1308" s="9"/>
      <c r="F1308" s="9"/>
      <c r="G1308" s="9"/>
      <c r="H1308" s="9"/>
      <c r="I1308" s="9"/>
      <c r="J1308" s="9"/>
      <c r="K1308" s="8" t="s">
        <v>68</v>
      </c>
    </row>
    <row r="1309" spans="1:11" ht="15.5" x14ac:dyDescent="0.35">
      <c r="A1309" s="10"/>
      <c r="B1309" s="10"/>
      <c r="C1309" s="10"/>
      <c r="D1309" s="11" t="s">
        <v>67</v>
      </c>
      <c r="E1309" s="11" t="s">
        <v>66</v>
      </c>
      <c r="F1309" s="11" t="s">
        <v>65</v>
      </c>
      <c r="G1309" s="11" t="s">
        <v>64</v>
      </c>
      <c r="H1309" s="11" t="s">
        <v>63</v>
      </c>
      <c r="I1309" s="12" t="s">
        <v>58</v>
      </c>
      <c r="J1309" s="11" t="s">
        <v>63</v>
      </c>
      <c r="K1309" s="8" t="s">
        <v>62</v>
      </c>
    </row>
    <row r="1310" spans="1:11" ht="15.5" x14ac:dyDescent="0.35">
      <c r="A1310" s="10"/>
      <c r="B1310" s="10"/>
      <c r="C1310" s="10"/>
      <c r="D1310" s="10"/>
      <c r="E1310" s="10"/>
      <c r="F1310" s="10"/>
      <c r="G1310" s="9"/>
      <c r="H1310" s="9"/>
      <c r="I1310" s="9"/>
      <c r="J1310" s="9"/>
      <c r="K1310" s="8" t="s">
        <v>61</v>
      </c>
    </row>
    <row r="1311" spans="1:11" ht="15.5" x14ac:dyDescent="0.35">
      <c r="A1311" s="10"/>
      <c r="B1311" s="10"/>
      <c r="C1311" s="10"/>
      <c r="D1311" s="10"/>
      <c r="E1311" s="10"/>
      <c r="F1311" s="10"/>
      <c r="G1311" s="11" t="s">
        <v>60</v>
      </c>
      <c r="H1311" s="11" t="s">
        <v>59</v>
      </c>
      <c r="I1311" s="12" t="s">
        <v>58</v>
      </c>
      <c r="J1311" s="11" t="s">
        <v>57</v>
      </c>
      <c r="K1311" s="8" t="s">
        <v>56</v>
      </c>
    </row>
    <row r="1312" spans="1:11" ht="15.5" x14ac:dyDescent="0.35">
      <c r="A1312" s="10"/>
      <c r="B1312" s="9"/>
      <c r="C1312" s="9"/>
      <c r="D1312" s="9"/>
      <c r="E1312" s="9"/>
      <c r="F1312" s="9"/>
      <c r="G1312" s="9"/>
      <c r="H1312" s="9"/>
      <c r="I1312" s="9"/>
      <c r="J1312" s="9"/>
      <c r="K1312" s="8" t="s">
        <v>55</v>
      </c>
    </row>
  </sheetData>
  <mergeCells count="3123">
    <mergeCell ref="C573:C592"/>
    <mergeCell ref="D573:D576"/>
    <mergeCell ref="E573:E576"/>
    <mergeCell ref="D525:D528"/>
    <mergeCell ref="E525:E528"/>
    <mergeCell ref="D529:D532"/>
    <mergeCell ref="E529:E532"/>
    <mergeCell ref="C513:C532"/>
    <mergeCell ref="D513:D516"/>
    <mergeCell ref="D589:D592"/>
    <mergeCell ref="E589:E592"/>
    <mergeCell ref="D561:D564"/>
    <mergeCell ref="E561:E564"/>
    <mergeCell ref="D569:D572"/>
    <mergeCell ref="E569:E572"/>
    <mergeCell ref="D497:D500"/>
    <mergeCell ref="E497:E500"/>
    <mergeCell ref="D581:D584"/>
    <mergeCell ref="E581:E584"/>
    <mergeCell ref="D585:D588"/>
    <mergeCell ref="E585:E588"/>
    <mergeCell ref="D501:D504"/>
    <mergeCell ref="E501:E504"/>
    <mergeCell ref="C613:C632"/>
    <mergeCell ref="D613:D616"/>
    <mergeCell ref="E613:E616"/>
    <mergeCell ref="D617:D620"/>
    <mergeCell ref="E617:E620"/>
    <mergeCell ref="D505:D508"/>
    <mergeCell ref="E505:E508"/>
    <mergeCell ref="D509:D512"/>
    <mergeCell ref="E509:E512"/>
    <mergeCell ref="C493:C512"/>
    <mergeCell ref="D625:D628"/>
    <mergeCell ref="E625:E628"/>
    <mergeCell ref="D629:D632"/>
    <mergeCell ref="E629:E632"/>
    <mergeCell ref="D601:D604"/>
    <mergeCell ref="E601:E604"/>
    <mergeCell ref="E605:E608"/>
    <mergeCell ref="D609:D612"/>
    <mergeCell ref="E609:E612"/>
    <mergeCell ref="D577:D580"/>
    <mergeCell ref="E577:E580"/>
    <mergeCell ref="C593:C612"/>
    <mergeCell ref="D593:D596"/>
    <mergeCell ref="E593:E596"/>
    <mergeCell ref="D597:D600"/>
    <mergeCell ref="E597:E600"/>
    <mergeCell ref="D641:D644"/>
    <mergeCell ref="E641:E644"/>
    <mergeCell ref="C653:C672"/>
    <mergeCell ref="D653:D656"/>
    <mergeCell ref="E653:E656"/>
    <mergeCell ref="D657:D660"/>
    <mergeCell ref="E657:E660"/>
    <mergeCell ref="D661:D664"/>
    <mergeCell ref="E661:E664"/>
    <mergeCell ref="D665:D668"/>
    <mergeCell ref="E665:E668"/>
    <mergeCell ref="D669:D672"/>
    <mergeCell ref="E669:E672"/>
    <mergeCell ref="E769:E772"/>
    <mergeCell ref="C753:C772"/>
    <mergeCell ref="D753:D756"/>
    <mergeCell ref="E753:E756"/>
    <mergeCell ref="D757:D760"/>
    <mergeCell ref="E757:E760"/>
    <mergeCell ref="D761:D764"/>
    <mergeCell ref="E729:E732"/>
    <mergeCell ref="C733:C752"/>
    <mergeCell ref="D733:D736"/>
    <mergeCell ref="E733:E736"/>
    <mergeCell ref="D765:D768"/>
    <mergeCell ref="E765:E768"/>
    <mergeCell ref="E673:E676"/>
    <mergeCell ref="E677:E680"/>
    <mergeCell ref="C693:C712"/>
    <mergeCell ref="D833:D836"/>
    <mergeCell ref="E833:E836"/>
    <mergeCell ref="D681:D684"/>
    <mergeCell ref="E681:E684"/>
    <mergeCell ref="E713:E716"/>
    <mergeCell ref="D717:D720"/>
    <mergeCell ref="E717:E720"/>
    <mergeCell ref="C713:C732"/>
    <mergeCell ref="D713:D716"/>
    <mergeCell ref="B533:B652"/>
    <mergeCell ref="B653:B832"/>
    <mergeCell ref="C673:C692"/>
    <mergeCell ref="D673:D676"/>
    <mergeCell ref="D721:D724"/>
    <mergeCell ref="D769:D772"/>
    <mergeCell ref="C633:C652"/>
    <mergeCell ref="D633:D636"/>
    <mergeCell ref="E333:E334"/>
    <mergeCell ref="A223:A451"/>
    <mergeCell ref="B333:B391"/>
    <mergeCell ref="B393:B451"/>
    <mergeCell ref="D229:D230"/>
    <mergeCell ref="E229:E230"/>
    <mergeCell ref="D283:D284"/>
    <mergeCell ref="E283:E284"/>
    <mergeCell ref="D285:D286"/>
    <mergeCell ref="E285:E286"/>
    <mergeCell ref="E219:E220"/>
    <mergeCell ref="D223:D224"/>
    <mergeCell ref="E223:E224"/>
    <mergeCell ref="E241:E242"/>
    <mergeCell ref="E301:E302"/>
    <mergeCell ref="E331:E332"/>
    <mergeCell ref="D287:D288"/>
    <mergeCell ref="E287:E288"/>
    <mergeCell ref="D305:D306"/>
    <mergeCell ref="E305:E306"/>
    <mergeCell ref="B223:B281"/>
    <mergeCell ref="B283:B331"/>
    <mergeCell ref="D321:D322"/>
    <mergeCell ref="E321:E322"/>
    <mergeCell ref="E323:E324"/>
    <mergeCell ref="E325:E326"/>
    <mergeCell ref="E327:E328"/>
    <mergeCell ref="E329:E330"/>
    <mergeCell ref="D307:D308"/>
    <mergeCell ref="E307:E308"/>
    <mergeCell ref="D741:D744"/>
    <mergeCell ref="E741:E744"/>
    <mergeCell ref="D745:D748"/>
    <mergeCell ref="E745:E748"/>
    <mergeCell ref="D749:D752"/>
    <mergeCell ref="E749:E752"/>
    <mergeCell ref="D705:D708"/>
    <mergeCell ref="E705:E708"/>
    <mergeCell ref="D709:D712"/>
    <mergeCell ref="E709:E712"/>
    <mergeCell ref="D737:D740"/>
    <mergeCell ref="E737:E740"/>
    <mergeCell ref="D725:D728"/>
    <mergeCell ref="E725:E728"/>
    <mergeCell ref="D729:D732"/>
    <mergeCell ref="E721:E724"/>
    <mergeCell ref="D677:D680"/>
    <mergeCell ref="D693:D696"/>
    <mergeCell ref="E693:E696"/>
    <mergeCell ref="D697:D700"/>
    <mergeCell ref="E697:E700"/>
    <mergeCell ref="D701:D704"/>
    <mergeCell ref="E701:E704"/>
    <mergeCell ref="A453:A472"/>
    <mergeCell ref="B453:B472"/>
    <mergeCell ref="A473:A832"/>
    <mergeCell ref="B473:B532"/>
    <mergeCell ref="D845:D848"/>
    <mergeCell ref="E845:E848"/>
    <mergeCell ref="D685:D688"/>
    <mergeCell ref="E685:E688"/>
    <mergeCell ref="D689:D692"/>
    <mergeCell ref="E689:E692"/>
    <mergeCell ref="C793:C812"/>
    <mergeCell ref="D793:D796"/>
    <mergeCell ref="E793:E796"/>
    <mergeCell ref="D797:D800"/>
    <mergeCell ref="E797:E800"/>
    <mergeCell ref="D801:D804"/>
    <mergeCell ref="E801:E804"/>
    <mergeCell ref="C773:C792"/>
    <mergeCell ref="D773:D776"/>
    <mergeCell ref="E773:E776"/>
    <mergeCell ref="D777:D780"/>
    <mergeCell ref="E777:E780"/>
    <mergeCell ref="D781:D784"/>
    <mergeCell ref="E781:E784"/>
    <mergeCell ref="E857:E860"/>
    <mergeCell ref="E761:E764"/>
    <mergeCell ref="D785:D788"/>
    <mergeCell ref="E785:E788"/>
    <mergeCell ref="D789:D792"/>
    <mergeCell ref="E789:E792"/>
    <mergeCell ref="D805:D808"/>
    <mergeCell ref="E805:E808"/>
    <mergeCell ref="D809:D812"/>
    <mergeCell ref="E809:E812"/>
    <mergeCell ref="D821:D824"/>
    <mergeCell ref="E821:E824"/>
    <mergeCell ref="D849:D852"/>
    <mergeCell ref="E849:E852"/>
    <mergeCell ref="D841:D844"/>
    <mergeCell ref="D853:D856"/>
    <mergeCell ref="E853:E856"/>
    <mergeCell ref="E893:E896"/>
    <mergeCell ref="D825:D828"/>
    <mergeCell ref="E825:E828"/>
    <mergeCell ref="D829:D832"/>
    <mergeCell ref="E829:E832"/>
    <mergeCell ref="C813:C832"/>
    <mergeCell ref="D813:D816"/>
    <mergeCell ref="E813:E816"/>
    <mergeCell ref="D817:D820"/>
    <mergeCell ref="E817:E820"/>
    <mergeCell ref="E873:E876"/>
    <mergeCell ref="E877:E880"/>
    <mergeCell ref="C873:C892"/>
    <mergeCell ref="D873:D876"/>
    <mergeCell ref="D877:D880"/>
    <mergeCell ref="D881:D884"/>
    <mergeCell ref="D885:D888"/>
    <mergeCell ref="D889:D892"/>
    <mergeCell ref="E881:E884"/>
    <mergeCell ref="E885:E888"/>
    <mergeCell ref="E913:E916"/>
    <mergeCell ref="E917:E920"/>
    <mergeCell ref="E921:E924"/>
    <mergeCell ref="E925:E928"/>
    <mergeCell ref="D861:D864"/>
    <mergeCell ref="E861:E864"/>
    <mergeCell ref="D865:D868"/>
    <mergeCell ref="E865:E868"/>
    <mergeCell ref="D869:D872"/>
    <mergeCell ref="E869:E872"/>
    <mergeCell ref="C853:C872"/>
    <mergeCell ref="C893:C912"/>
    <mergeCell ref="C913:C932"/>
    <mergeCell ref="D913:D916"/>
    <mergeCell ref="D917:D920"/>
    <mergeCell ref="D921:D924"/>
    <mergeCell ref="D925:D928"/>
    <mergeCell ref="D929:D932"/>
    <mergeCell ref="D893:D896"/>
    <mergeCell ref="D857:D860"/>
    <mergeCell ref="D961:D964"/>
    <mergeCell ref="E961:E964"/>
    <mergeCell ref="D897:D900"/>
    <mergeCell ref="E897:E900"/>
    <mergeCell ref="D901:D904"/>
    <mergeCell ref="E901:E904"/>
    <mergeCell ref="D905:D908"/>
    <mergeCell ref="E905:E908"/>
    <mergeCell ref="D909:D912"/>
    <mergeCell ref="E909:E912"/>
    <mergeCell ref="E945:E948"/>
    <mergeCell ref="D949:D952"/>
    <mergeCell ref="D953:D956"/>
    <mergeCell ref="E953:E956"/>
    <mergeCell ref="D957:D960"/>
    <mergeCell ref="E957:E960"/>
    <mergeCell ref="D941:D944"/>
    <mergeCell ref="D945:D948"/>
    <mergeCell ref="E929:E932"/>
    <mergeCell ref="C933:C952"/>
    <mergeCell ref="D933:D936"/>
    <mergeCell ref="E933:E936"/>
    <mergeCell ref="D937:D940"/>
    <mergeCell ref="E937:E940"/>
    <mergeCell ref="E941:E944"/>
    <mergeCell ref="E949:E952"/>
    <mergeCell ref="D989:D992"/>
    <mergeCell ref="E989:E992"/>
    <mergeCell ref="D993:D996"/>
    <mergeCell ref="E993:E996"/>
    <mergeCell ref="D997:D1000"/>
    <mergeCell ref="E997:E1000"/>
    <mergeCell ref="D977:D980"/>
    <mergeCell ref="E977:E980"/>
    <mergeCell ref="D981:D984"/>
    <mergeCell ref="E981:E984"/>
    <mergeCell ref="D985:D988"/>
    <mergeCell ref="E985:E988"/>
    <mergeCell ref="D965:D968"/>
    <mergeCell ref="E965:E968"/>
    <mergeCell ref="D969:D972"/>
    <mergeCell ref="E969:E972"/>
    <mergeCell ref="D973:D976"/>
    <mergeCell ref="E973:E976"/>
    <mergeCell ref="D1025:D1028"/>
    <mergeCell ref="E1025:E1028"/>
    <mergeCell ref="D1029:D1032"/>
    <mergeCell ref="E1029:E1032"/>
    <mergeCell ref="D1033:D1036"/>
    <mergeCell ref="E1033:E1036"/>
    <mergeCell ref="D1013:D1016"/>
    <mergeCell ref="E1013:E1016"/>
    <mergeCell ref="D1017:D1020"/>
    <mergeCell ref="E1017:E1020"/>
    <mergeCell ref="D1021:D1024"/>
    <mergeCell ref="E1021:E1024"/>
    <mergeCell ref="D1065:D1068"/>
    <mergeCell ref="E1065:E1068"/>
    <mergeCell ref="D1069:D1072"/>
    <mergeCell ref="E1069:E1072"/>
    <mergeCell ref="D1001:D1004"/>
    <mergeCell ref="E1001:E1004"/>
    <mergeCell ref="D1005:D1008"/>
    <mergeCell ref="E1005:E1008"/>
    <mergeCell ref="D1009:D1012"/>
    <mergeCell ref="E1009:E1012"/>
    <mergeCell ref="B953:B1072"/>
    <mergeCell ref="C953:C972"/>
    <mergeCell ref="C973:C992"/>
    <mergeCell ref="C993:C1012"/>
    <mergeCell ref="C1013:C1032"/>
    <mergeCell ref="C1033:C1052"/>
    <mergeCell ref="C1053:C1072"/>
    <mergeCell ref="D1053:D1056"/>
    <mergeCell ref="E1053:E1056"/>
    <mergeCell ref="D1057:D1060"/>
    <mergeCell ref="E1057:E1060"/>
    <mergeCell ref="D1061:D1064"/>
    <mergeCell ref="E1061:E1064"/>
    <mergeCell ref="D1129:D1132"/>
    <mergeCell ref="E1129:E1132"/>
    <mergeCell ref="D1133:D1136"/>
    <mergeCell ref="D1221:D1224"/>
    <mergeCell ref="D1185:D1188"/>
    <mergeCell ref="E1185:E1188"/>
    <mergeCell ref="D1209:D1212"/>
    <mergeCell ref="E1209:E1212"/>
    <mergeCell ref="D1213:D1216"/>
    <mergeCell ref="E1213:E1216"/>
    <mergeCell ref="D1117:D1120"/>
    <mergeCell ref="E1117:E1120"/>
    <mergeCell ref="D1121:D1124"/>
    <mergeCell ref="E1121:E1124"/>
    <mergeCell ref="D1125:D1128"/>
    <mergeCell ref="E1125:E1128"/>
    <mergeCell ref="E1249:E1252"/>
    <mergeCell ref="C1193:C1212"/>
    <mergeCell ref="C1213:C1232"/>
    <mergeCell ref="D1225:D1228"/>
    <mergeCell ref="E1225:E1228"/>
    <mergeCell ref="D1229:D1232"/>
    <mergeCell ref="E1229:E1232"/>
    <mergeCell ref="C1233:C1252"/>
    <mergeCell ref="E1217:E1220"/>
    <mergeCell ref="E1257:E1260"/>
    <mergeCell ref="D1285:D1288"/>
    <mergeCell ref="E1285:E1288"/>
    <mergeCell ref="D1237:D1240"/>
    <mergeCell ref="E1237:E1240"/>
    <mergeCell ref="D1241:D1244"/>
    <mergeCell ref="E1241:E1244"/>
    <mergeCell ref="D1245:D1248"/>
    <mergeCell ref="E1245:E1248"/>
    <mergeCell ref="D1249:D1252"/>
    <mergeCell ref="E1177:E1180"/>
    <mergeCell ref="D1181:D1184"/>
    <mergeCell ref="E1181:E1184"/>
    <mergeCell ref="D1265:D1268"/>
    <mergeCell ref="E1265:E1268"/>
    <mergeCell ref="D1269:D1272"/>
    <mergeCell ref="E1269:E1272"/>
    <mergeCell ref="D1233:D1236"/>
    <mergeCell ref="E1233:E1236"/>
    <mergeCell ref="D1253:D1256"/>
    <mergeCell ref="D1305:D1308"/>
    <mergeCell ref="E1305:E1308"/>
    <mergeCell ref="D1309:D1312"/>
    <mergeCell ref="E1309:E1312"/>
    <mergeCell ref="D1281:D1284"/>
    <mergeCell ref="E1281:E1284"/>
    <mergeCell ref="D1289:D1292"/>
    <mergeCell ref="E1289:E1292"/>
    <mergeCell ref="D1293:D1296"/>
    <mergeCell ref="E1293:E1296"/>
    <mergeCell ref="E1105:E1108"/>
    <mergeCell ref="D1109:D1112"/>
    <mergeCell ref="E1109:E1112"/>
    <mergeCell ref="D1113:D1116"/>
    <mergeCell ref="E1113:E1116"/>
    <mergeCell ref="D1301:D1304"/>
    <mergeCell ref="E1301:E1304"/>
    <mergeCell ref="D1173:D1176"/>
    <mergeCell ref="E1173:E1176"/>
    <mergeCell ref="D1177:D1180"/>
    <mergeCell ref="D1297:D1300"/>
    <mergeCell ref="E1297:E1300"/>
    <mergeCell ref="D1089:D1092"/>
    <mergeCell ref="E1089:E1092"/>
    <mergeCell ref="D1093:D1096"/>
    <mergeCell ref="E1093:E1096"/>
    <mergeCell ref="D1097:D1100"/>
    <mergeCell ref="E1097:E1100"/>
    <mergeCell ref="D1101:D1104"/>
    <mergeCell ref="E1101:E1104"/>
    <mergeCell ref="A1193:A1312"/>
    <mergeCell ref="B1193:B1312"/>
    <mergeCell ref="B1073:B1192"/>
    <mergeCell ref="C1073:C1092"/>
    <mergeCell ref="C1093:C1112"/>
    <mergeCell ref="C1113:C1132"/>
    <mergeCell ref="C1133:C1152"/>
    <mergeCell ref="C1153:C1172"/>
    <mergeCell ref="C1173:C1192"/>
    <mergeCell ref="C1293:C1312"/>
    <mergeCell ref="D1165:D1168"/>
    <mergeCell ref="E1165:E1168"/>
    <mergeCell ref="A833:A1192"/>
    <mergeCell ref="B833:B952"/>
    <mergeCell ref="C833:C852"/>
    <mergeCell ref="D837:D840"/>
    <mergeCell ref="E837:E840"/>
    <mergeCell ref="E841:E844"/>
    <mergeCell ref="E889:E892"/>
    <mergeCell ref="D1105:D1108"/>
    <mergeCell ref="D1153:D1156"/>
    <mergeCell ref="E1153:E1156"/>
    <mergeCell ref="D1157:D1160"/>
    <mergeCell ref="E1157:E1160"/>
    <mergeCell ref="D1161:D1164"/>
    <mergeCell ref="E1161:E1164"/>
    <mergeCell ref="E1221:E1224"/>
    <mergeCell ref="E1133:E1136"/>
    <mergeCell ref="D1137:D1140"/>
    <mergeCell ref="E1137:E1140"/>
    <mergeCell ref="D1141:D1144"/>
    <mergeCell ref="E1141:E1144"/>
    <mergeCell ref="D1145:D1148"/>
    <mergeCell ref="E1145:E1148"/>
    <mergeCell ref="D1149:D1152"/>
    <mergeCell ref="E1149:E1152"/>
    <mergeCell ref="D1085:D1088"/>
    <mergeCell ref="E1085:E1088"/>
    <mergeCell ref="D1037:D1040"/>
    <mergeCell ref="E1037:E1040"/>
    <mergeCell ref="D1041:D1044"/>
    <mergeCell ref="E1041:E1044"/>
    <mergeCell ref="D1045:D1048"/>
    <mergeCell ref="E1045:E1048"/>
    <mergeCell ref="D1049:D1052"/>
    <mergeCell ref="E1049:E1052"/>
    <mergeCell ref="E1197:E1200"/>
    <mergeCell ref="E1201:E1204"/>
    <mergeCell ref="E1205:E1208"/>
    <mergeCell ref="D1217:D1220"/>
    <mergeCell ref="D1073:D1076"/>
    <mergeCell ref="E1073:E1076"/>
    <mergeCell ref="D1077:D1080"/>
    <mergeCell ref="E1077:E1080"/>
    <mergeCell ref="D1081:D1084"/>
    <mergeCell ref="E1081:E1084"/>
    <mergeCell ref="D21:D22"/>
    <mergeCell ref="D1169:D1172"/>
    <mergeCell ref="E1169:E1172"/>
    <mergeCell ref="D1201:D1204"/>
    <mergeCell ref="D1205:D1208"/>
    <mergeCell ref="D1189:D1192"/>
    <mergeCell ref="E1189:E1192"/>
    <mergeCell ref="D1193:D1196"/>
    <mergeCell ref="E1193:E1196"/>
    <mergeCell ref="D1197:D1200"/>
    <mergeCell ref="C3:C12"/>
    <mergeCell ref="C13:C22"/>
    <mergeCell ref="E15:E16"/>
    <mergeCell ref="F15:F16"/>
    <mergeCell ref="D17:D18"/>
    <mergeCell ref="E17:E18"/>
    <mergeCell ref="F17:F18"/>
    <mergeCell ref="D19:D20"/>
    <mergeCell ref="E19:E20"/>
    <mergeCell ref="F19:F20"/>
    <mergeCell ref="D11:D12"/>
    <mergeCell ref="E11:E12"/>
    <mergeCell ref="D13:D14"/>
    <mergeCell ref="E13:E14"/>
    <mergeCell ref="F13:F14"/>
    <mergeCell ref="D15:D16"/>
    <mergeCell ref="E5:E6"/>
    <mergeCell ref="F5:F6"/>
    <mergeCell ref="D7:D8"/>
    <mergeCell ref="E7:E8"/>
    <mergeCell ref="D5:D6"/>
    <mergeCell ref="D9:D10"/>
    <mergeCell ref="E9:E10"/>
    <mergeCell ref="F9:F10"/>
    <mergeCell ref="D1261:D1264"/>
    <mergeCell ref="E1261:E1264"/>
    <mergeCell ref="C1273:C1292"/>
    <mergeCell ref="D1273:D1276"/>
    <mergeCell ref="E1273:E1276"/>
    <mergeCell ref="D1277:D1280"/>
    <mergeCell ref="E1277:E1280"/>
    <mergeCell ref="C1253:C1272"/>
    <mergeCell ref="E1253:E1256"/>
    <mergeCell ref="D1257:D1260"/>
    <mergeCell ref="D39:D40"/>
    <mergeCell ref="E39:E40"/>
    <mergeCell ref="F39:F40"/>
    <mergeCell ref="D41:D42"/>
    <mergeCell ref="E41:E42"/>
    <mergeCell ref="F41:F42"/>
    <mergeCell ref="C33:C42"/>
    <mergeCell ref="D33:D34"/>
    <mergeCell ref="D35:D36"/>
    <mergeCell ref="D37:D38"/>
    <mergeCell ref="E33:E34"/>
    <mergeCell ref="F33:F34"/>
    <mergeCell ref="E35:E36"/>
    <mergeCell ref="F35:F36"/>
    <mergeCell ref="E37:E38"/>
    <mergeCell ref="F37:F38"/>
    <mergeCell ref="E27:E28"/>
    <mergeCell ref="F27:F28"/>
    <mergeCell ref="D29:D30"/>
    <mergeCell ref="E29:E30"/>
    <mergeCell ref="F29:F30"/>
    <mergeCell ref="D31:D32"/>
    <mergeCell ref="E31:E32"/>
    <mergeCell ref="F31:F32"/>
    <mergeCell ref="F21:F22"/>
    <mergeCell ref="C23:C32"/>
    <mergeCell ref="D23:D24"/>
    <mergeCell ref="E23:E24"/>
    <mergeCell ref="F23:F24"/>
    <mergeCell ref="E25:E26"/>
    <mergeCell ref="F25:F26"/>
    <mergeCell ref="E21:E22"/>
    <mergeCell ref="D25:D26"/>
    <mergeCell ref="D27:D28"/>
    <mergeCell ref="F43:F44"/>
    <mergeCell ref="E45:E46"/>
    <mergeCell ref="F45:F46"/>
    <mergeCell ref="E47:E48"/>
    <mergeCell ref="F47:F48"/>
    <mergeCell ref="E49:E50"/>
    <mergeCell ref="F49:F50"/>
    <mergeCell ref="C43:C52"/>
    <mergeCell ref="D43:D44"/>
    <mergeCell ref="D45:D46"/>
    <mergeCell ref="D47:D48"/>
    <mergeCell ref="D49:D50"/>
    <mergeCell ref="E43:E44"/>
    <mergeCell ref="D51:D52"/>
    <mergeCell ref="E51:E52"/>
    <mergeCell ref="D61:D62"/>
    <mergeCell ref="E61:E62"/>
    <mergeCell ref="D65:D66"/>
    <mergeCell ref="D67:D68"/>
    <mergeCell ref="E67:E68"/>
    <mergeCell ref="F67:F68"/>
    <mergeCell ref="E55:E56"/>
    <mergeCell ref="F55:F56"/>
    <mergeCell ref="E57:E58"/>
    <mergeCell ref="F57:F58"/>
    <mergeCell ref="E59:E60"/>
    <mergeCell ref="F59:F60"/>
    <mergeCell ref="D81:D82"/>
    <mergeCell ref="E81:E82"/>
    <mergeCell ref="F81:F82"/>
    <mergeCell ref="C53:C61"/>
    <mergeCell ref="D53:D54"/>
    <mergeCell ref="D55:D56"/>
    <mergeCell ref="D57:D58"/>
    <mergeCell ref="D59:D60"/>
    <mergeCell ref="E53:E54"/>
    <mergeCell ref="F53:F54"/>
    <mergeCell ref="D77:D78"/>
    <mergeCell ref="E77:E78"/>
    <mergeCell ref="F77:F78"/>
    <mergeCell ref="D79:D80"/>
    <mergeCell ref="E79:E80"/>
    <mergeCell ref="F79:F80"/>
    <mergeCell ref="D71:D72"/>
    <mergeCell ref="E71:E72"/>
    <mergeCell ref="F71:F72"/>
    <mergeCell ref="C73:C82"/>
    <mergeCell ref="D73:D74"/>
    <mergeCell ref="E73:E74"/>
    <mergeCell ref="F73:F74"/>
    <mergeCell ref="D75:D76"/>
    <mergeCell ref="E75:E76"/>
    <mergeCell ref="F75:F76"/>
    <mergeCell ref="D69:D70"/>
    <mergeCell ref="E69:E70"/>
    <mergeCell ref="F61:F62"/>
    <mergeCell ref="C63:C71"/>
    <mergeCell ref="D63:D64"/>
    <mergeCell ref="E63:E64"/>
    <mergeCell ref="F63:F64"/>
    <mergeCell ref="E65:E66"/>
    <mergeCell ref="F65:F66"/>
    <mergeCell ref="F69:F70"/>
    <mergeCell ref="C93:C102"/>
    <mergeCell ref="D93:D94"/>
    <mergeCell ref="D95:D96"/>
    <mergeCell ref="E93:E94"/>
    <mergeCell ref="F93:F94"/>
    <mergeCell ref="E95:E96"/>
    <mergeCell ref="F95:F96"/>
    <mergeCell ref="D89:D90"/>
    <mergeCell ref="E89:E90"/>
    <mergeCell ref="F89:F90"/>
    <mergeCell ref="D91:D92"/>
    <mergeCell ref="E91:E92"/>
    <mergeCell ref="F91:F92"/>
    <mergeCell ref="C83:C92"/>
    <mergeCell ref="D83:D84"/>
    <mergeCell ref="E83:E84"/>
    <mergeCell ref="F83:F84"/>
    <mergeCell ref="D85:D86"/>
    <mergeCell ref="E85:E86"/>
    <mergeCell ref="F85:F86"/>
    <mergeCell ref="D87:D88"/>
    <mergeCell ref="E87:E88"/>
    <mergeCell ref="F87:F88"/>
    <mergeCell ref="D111:D112"/>
    <mergeCell ref="E111:E112"/>
    <mergeCell ref="F111:F112"/>
    <mergeCell ref="F101:F102"/>
    <mergeCell ref="C103:C112"/>
    <mergeCell ref="D103:D104"/>
    <mergeCell ref="E103:E104"/>
    <mergeCell ref="F103:F104"/>
    <mergeCell ref="E105:E106"/>
    <mergeCell ref="F105:F106"/>
    <mergeCell ref="D105:D106"/>
    <mergeCell ref="D107:D108"/>
    <mergeCell ref="E107:E108"/>
    <mergeCell ref="F107:F108"/>
    <mergeCell ref="D109:D110"/>
    <mergeCell ref="E109:E110"/>
    <mergeCell ref="F109:F110"/>
    <mergeCell ref="B3:B51"/>
    <mergeCell ref="B53:B111"/>
    <mergeCell ref="D97:D98"/>
    <mergeCell ref="E97:E98"/>
    <mergeCell ref="F97:F98"/>
    <mergeCell ref="D99:D100"/>
    <mergeCell ref="E99:E100"/>
    <mergeCell ref="F99:F100"/>
    <mergeCell ref="D101:D102"/>
    <mergeCell ref="E101:E102"/>
    <mergeCell ref="D121:D122"/>
    <mergeCell ref="E121:E122"/>
    <mergeCell ref="F121:F122"/>
    <mergeCell ref="D123:D124"/>
    <mergeCell ref="E123:E124"/>
    <mergeCell ref="F123:F124"/>
    <mergeCell ref="D117:D118"/>
    <mergeCell ref="E117:E118"/>
    <mergeCell ref="F117:F118"/>
    <mergeCell ref="D119:D120"/>
    <mergeCell ref="E119:E120"/>
    <mergeCell ref="F119:F120"/>
    <mergeCell ref="D113:D114"/>
    <mergeCell ref="E113:E114"/>
    <mergeCell ref="F113:F114"/>
    <mergeCell ref="D115:D116"/>
    <mergeCell ref="E115:E116"/>
    <mergeCell ref="F115:F116"/>
    <mergeCell ref="D133:D134"/>
    <mergeCell ref="E133:E134"/>
    <mergeCell ref="F133:F134"/>
    <mergeCell ref="D135:D136"/>
    <mergeCell ref="E135:E136"/>
    <mergeCell ref="F135:F136"/>
    <mergeCell ref="D129:D130"/>
    <mergeCell ref="E129:E130"/>
    <mergeCell ref="F129:F130"/>
    <mergeCell ref="D131:D132"/>
    <mergeCell ref="E131:E132"/>
    <mergeCell ref="F131:F132"/>
    <mergeCell ref="D125:D126"/>
    <mergeCell ref="E125:E126"/>
    <mergeCell ref="F125:F126"/>
    <mergeCell ref="D127:D128"/>
    <mergeCell ref="E127:E128"/>
    <mergeCell ref="F127:F128"/>
    <mergeCell ref="D145:D146"/>
    <mergeCell ref="E145:E146"/>
    <mergeCell ref="F145:F146"/>
    <mergeCell ref="D147:D148"/>
    <mergeCell ref="E147:E148"/>
    <mergeCell ref="F147:F148"/>
    <mergeCell ref="D141:D142"/>
    <mergeCell ref="E141:E142"/>
    <mergeCell ref="F141:F142"/>
    <mergeCell ref="D143:D144"/>
    <mergeCell ref="E143:E144"/>
    <mergeCell ref="F143:F144"/>
    <mergeCell ref="D137:D138"/>
    <mergeCell ref="E137:E138"/>
    <mergeCell ref="F137:F138"/>
    <mergeCell ref="D139:D140"/>
    <mergeCell ref="E139:E140"/>
    <mergeCell ref="F139:F140"/>
    <mergeCell ref="D157:D158"/>
    <mergeCell ref="E157:E158"/>
    <mergeCell ref="F157:F158"/>
    <mergeCell ref="D159:D160"/>
    <mergeCell ref="E159:E160"/>
    <mergeCell ref="F159:F160"/>
    <mergeCell ref="D153:D154"/>
    <mergeCell ref="E153:E154"/>
    <mergeCell ref="F153:F154"/>
    <mergeCell ref="D155:D156"/>
    <mergeCell ref="E155:E156"/>
    <mergeCell ref="F155:F156"/>
    <mergeCell ref="D149:D150"/>
    <mergeCell ref="E149:E150"/>
    <mergeCell ref="F149:F150"/>
    <mergeCell ref="D151:D152"/>
    <mergeCell ref="E151:E152"/>
    <mergeCell ref="F151:F152"/>
    <mergeCell ref="B113:B171"/>
    <mergeCell ref="C113:C122"/>
    <mergeCell ref="C123:C132"/>
    <mergeCell ref="C133:C142"/>
    <mergeCell ref="C143:C152"/>
    <mergeCell ref="C153:C162"/>
    <mergeCell ref="F171:F172"/>
    <mergeCell ref="D173:D174"/>
    <mergeCell ref="E173:E174"/>
    <mergeCell ref="F173:F174"/>
    <mergeCell ref="D175:D176"/>
    <mergeCell ref="E175:E176"/>
    <mergeCell ref="F175:F176"/>
    <mergeCell ref="C163:C172"/>
    <mergeCell ref="D163:D164"/>
    <mergeCell ref="E163:E164"/>
    <mergeCell ref="F163:F164"/>
    <mergeCell ref="E165:E166"/>
    <mergeCell ref="F165:F166"/>
    <mergeCell ref="E167:E168"/>
    <mergeCell ref="F167:F168"/>
    <mergeCell ref="D169:D170"/>
    <mergeCell ref="E169:E170"/>
    <mergeCell ref="E205:E206"/>
    <mergeCell ref="F205:F206"/>
    <mergeCell ref="D161:D162"/>
    <mergeCell ref="E161:E162"/>
    <mergeCell ref="D165:D166"/>
    <mergeCell ref="D167:D168"/>
    <mergeCell ref="F161:F162"/>
    <mergeCell ref="F169:F170"/>
    <mergeCell ref="D171:D172"/>
    <mergeCell ref="E171:E172"/>
    <mergeCell ref="B173:B221"/>
    <mergeCell ref="C173:C182"/>
    <mergeCell ref="C193:C202"/>
    <mergeCell ref="C213:C222"/>
    <mergeCell ref="C203:C212"/>
    <mergeCell ref="D203:D204"/>
    <mergeCell ref="D219:D220"/>
    <mergeCell ref="E177:E178"/>
    <mergeCell ref="E191:E192"/>
    <mergeCell ref="F191:F192"/>
    <mergeCell ref="D193:D194"/>
    <mergeCell ref="E193:E194"/>
    <mergeCell ref="F193:F194"/>
    <mergeCell ref="F177:F178"/>
    <mergeCell ref="E225:E226"/>
    <mergeCell ref="F225:F226"/>
    <mergeCell ref="D227:D228"/>
    <mergeCell ref="E227:E228"/>
    <mergeCell ref="F227:F228"/>
    <mergeCell ref="D199:D200"/>
    <mergeCell ref="D221:D222"/>
    <mergeCell ref="E221:E222"/>
    <mergeCell ref="E203:E204"/>
    <mergeCell ref="F203:F204"/>
    <mergeCell ref="F223:F224"/>
    <mergeCell ref="A3:A221"/>
    <mergeCell ref="D3:D4"/>
    <mergeCell ref="E3:E4"/>
    <mergeCell ref="F3:F4"/>
    <mergeCell ref="F7:F8"/>
    <mergeCell ref="F11:F12"/>
    <mergeCell ref="F51:F52"/>
    <mergeCell ref="F219:F220"/>
    <mergeCell ref="D177:D178"/>
    <mergeCell ref="E273:E274"/>
    <mergeCell ref="E275:E276"/>
    <mergeCell ref="E277:E278"/>
    <mergeCell ref="E279:E280"/>
    <mergeCell ref="E281:E282"/>
    <mergeCell ref="D239:D240"/>
    <mergeCell ref="C273:C282"/>
    <mergeCell ref="D273:D274"/>
    <mergeCell ref="D275:D276"/>
    <mergeCell ref="D277:D278"/>
    <mergeCell ref="D279:D280"/>
    <mergeCell ref="D281:D282"/>
    <mergeCell ref="C263:C272"/>
    <mergeCell ref="D263:D264"/>
    <mergeCell ref="E263:E264"/>
    <mergeCell ref="D265:D266"/>
    <mergeCell ref="E265:E266"/>
    <mergeCell ref="E267:E268"/>
    <mergeCell ref="E271:E272"/>
    <mergeCell ref="D337:D338"/>
    <mergeCell ref="D339:D340"/>
    <mergeCell ref="C323:C332"/>
    <mergeCell ref="D323:D324"/>
    <mergeCell ref="D325:D326"/>
    <mergeCell ref="D327:D328"/>
    <mergeCell ref="D329:D330"/>
    <mergeCell ref="D331:D332"/>
    <mergeCell ref="C333:C342"/>
    <mergeCell ref="D341:D342"/>
    <mergeCell ref="D315:D316"/>
    <mergeCell ref="D317:D318"/>
    <mergeCell ref="D319:D320"/>
    <mergeCell ref="E313:E314"/>
    <mergeCell ref="E315:E316"/>
    <mergeCell ref="E317:E318"/>
    <mergeCell ref="E319:E320"/>
    <mergeCell ref="E339:E340"/>
    <mergeCell ref="E341:E342"/>
    <mergeCell ref="C343:C352"/>
    <mergeCell ref="D359:D360"/>
    <mergeCell ref="E359:E360"/>
    <mergeCell ref="E309:E310"/>
    <mergeCell ref="D311:D312"/>
    <mergeCell ref="E311:E312"/>
    <mergeCell ref="C313:C322"/>
    <mergeCell ref="D313:D314"/>
    <mergeCell ref="D365:D366"/>
    <mergeCell ref="E365:E366"/>
    <mergeCell ref="D345:D346"/>
    <mergeCell ref="E345:E346"/>
    <mergeCell ref="D347:D348"/>
    <mergeCell ref="E347:E348"/>
    <mergeCell ref="D349:D350"/>
    <mergeCell ref="E349:E350"/>
    <mergeCell ref="D351:D352"/>
    <mergeCell ref="E351:E352"/>
    <mergeCell ref="D355:D356"/>
    <mergeCell ref="E355:E356"/>
    <mergeCell ref="D369:D370"/>
    <mergeCell ref="E369:E370"/>
    <mergeCell ref="D371:D372"/>
    <mergeCell ref="E371:E372"/>
    <mergeCell ref="D357:D358"/>
    <mergeCell ref="E357:E358"/>
    <mergeCell ref="D363:D364"/>
    <mergeCell ref="E363:E364"/>
    <mergeCell ref="C383:C392"/>
    <mergeCell ref="D383:D384"/>
    <mergeCell ref="E383:E384"/>
    <mergeCell ref="D361:D362"/>
    <mergeCell ref="E361:E362"/>
    <mergeCell ref="D343:D344"/>
    <mergeCell ref="E343:E344"/>
    <mergeCell ref="C353:C362"/>
    <mergeCell ref="D353:D354"/>
    <mergeCell ref="E353:E354"/>
    <mergeCell ref="D391:D392"/>
    <mergeCell ref="E391:E392"/>
    <mergeCell ref="D377:D378"/>
    <mergeCell ref="E377:E378"/>
    <mergeCell ref="D381:D382"/>
    <mergeCell ref="E381:E382"/>
    <mergeCell ref="D379:D380"/>
    <mergeCell ref="E379:E380"/>
    <mergeCell ref="D367:D368"/>
    <mergeCell ref="E367:E368"/>
    <mergeCell ref="C373:C382"/>
    <mergeCell ref="D373:D374"/>
    <mergeCell ref="E373:E374"/>
    <mergeCell ref="D375:D376"/>
    <mergeCell ref="E375:E376"/>
    <mergeCell ref="C363:C372"/>
    <mergeCell ref="D411:D412"/>
    <mergeCell ref="E411:E412"/>
    <mergeCell ref="D397:D398"/>
    <mergeCell ref="E397:E398"/>
    <mergeCell ref="C403:C412"/>
    <mergeCell ref="D403:D404"/>
    <mergeCell ref="E403:E404"/>
    <mergeCell ref="D405:D406"/>
    <mergeCell ref="E405:E406"/>
    <mergeCell ref="D385:D386"/>
    <mergeCell ref="E385:E386"/>
    <mergeCell ref="C393:C402"/>
    <mergeCell ref="D393:D394"/>
    <mergeCell ref="E393:E394"/>
    <mergeCell ref="D395:D396"/>
    <mergeCell ref="E395:E396"/>
    <mergeCell ref="D387:D388"/>
    <mergeCell ref="E387:E388"/>
    <mergeCell ref="D389:D390"/>
    <mergeCell ref="C423:C432"/>
    <mergeCell ref="D423:D424"/>
    <mergeCell ref="E423:E424"/>
    <mergeCell ref="D425:D426"/>
    <mergeCell ref="E425:E426"/>
    <mergeCell ref="D399:D400"/>
    <mergeCell ref="E399:E400"/>
    <mergeCell ref="D401:D402"/>
    <mergeCell ref="E401:E402"/>
    <mergeCell ref="D409:D410"/>
    <mergeCell ref="D407:D408"/>
    <mergeCell ref="E407:E408"/>
    <mergeCell ref="C413:C422"/>
    <mergeCell ref="D413:D414"/>
    <mergeCell ref="E413:E414"/>
    <mergeCell ref="D415:D416"/>
    <mergeCell ref="E415:E416"/>
    <mergeCell ref="D417:D418"/>
    <mergeCell ref="E417:E418"/>
    <mergeCell ref="E409:E410"/>
    <mergeCell ref="D621:D624"/>
    <mergeCell ref="E621:E624"/>
    <mergeCell ref="D605:D608"/>
    <mergeCell ref="D419:D420"/>
    <mergeCell ref="E419:E420"/>
    <mergeCell ref="D421:D422"/>
    <mergeCell ref="E421:E422"/>
    <mergeCell ref="D429:D430"/>
    <mergeCell ref="E429:E430"/>
    <mergeCell ref="D431:D432"/>
    <mergeCell ref="F625:F628"/>
    <mergeCell ref="F629:F632"/>
    <mergeCell ref="F633:F636"/>
    <mergeCell ref="D645:D648"/>
    <mergeCell ref="E645:E648"/>
    <mergeCell ref="D649:D652"/>
    <mergeCell ref="E649:E652"/>
    <mergeCell ref="E633:E636"/>
    <mergeCell ref="D637:D640"/>
    <mergeCell ref="E637:E640"/>
    <mergeCell ref="F601:F604"/>
    <mergeCell ref="F605:F608"/>
    <mergeCell ref="F609:F612"/>
    <mergeCell ref="F613:F616"/>
    <mergeCell ref="F617:F620"/>
    <mergeCell ref="F621:F624"/>
    <mergeCell ref="F693:F696"/>
    <mergeCell ref="F697:F700"/>
    <mergeCell ref="F701:F704"/>
    <mergeCell ref="F705:F708"/>
    <mergeCell ref="F577:F580"/>
    <mergeCell ref="F581:F584"/>
    <mergeCell ref="F585:F588"/>
    <mergeCell ref="F589:F592"/>
    <mergeCell ref="F593:F596"/>
    <mergeCell ref="F597:F600"/>
    <mergeCell ref="F565:F568"/>
    <mergeCell ref="F569:F572"/>
    <mergeCell ref="F573:F576"/>
    <mergeCell ref="D433:D434"/>
    <mergeCell ref="E433:E434"/>
    <mergeCell ref="D435:D436"/>
    <mergeCell ref="E435:E436"/>
    <mergeCell ref="D477:D480"/>
    <mergeCell ref="E477:E480"/>
    <mergeCell ref="D493:D496"/>
    <mergeCell ref="F541:F544"/>
    <mergeCell ref="F545:F548"/>
    <mergeCell ref="F549:F552"/>
    <mergeCell ref="F553:F556"/>
    <mergeCell ref="F557:F560"/>
    <mergeCell ref="F561:F564"/>
    <mergeCell ref="D443:D444"/>
    <mergeCell ref="E443:E444"/>
    <mergeCell ref="D445:D446"/>
    <mergeCell ref="E445:E446"/>
    <mergeCell ref="D451:D452"/>
    <mergeCell ref="E451:E452"/>
    <mergeCell ref="F709:F712"/>
    <mergeCell ref="F657:F660"/>
    <mergeCell ref="F661:F664"/>
    <mergeCell ref="F665:F668"/>
    <mergeCell ref="F669:F672"/>
    <mergeCell ref="F673:F676"/>
    <mergeCell ref="F677:F680"/>
    <mergeCell ref="F681:F684"/>
    <mergeCell ref="F685:F688"/>
    <mergeCell ref="F689:F692"/>
    <mergeCell ref="D191:D192"/>
    <mergeCell ref="E199:E200"/>
    <mergeCell ref="F199:F200"/>
    <mergeCell ref="D195:D196"/>
    <mergeCell ref="E195:E196"/>
    <mergeCell ref="F195:F196"/>
    <mergeCell ref="D197:D198"/>
    <mergeCell ref="E197:E198"/>
    <mergeCell ref="F197:F198"/>
    <mergeCell ref="D189:D190"/>
    <mergeCell ref="E189:E190"/>
    <mergeCell ref="F181:F182"/>
    <mergeCell ref="C183:C192"/>
    <mergeCell ref="D183:D184"/>
    <mergeCell ref="E183:E184"/>
    <mergeCell ref="F183:F184"/>
    <mergeCell ref="E185:E186"/>
    <mergeCell ref="F185:F186"/>
    <mergeCell ref="F189:F190"/>
    <mergeCell ref="E179:E180"/>
    <mergeCell ref="F179:F180"/>
    <mergeCell ref="D181:D182"/>
    <mergeCell ref="E181:E182"/>
    <mergeCell ref="D185:D186"/>
    <mergeCell ref="D187:D188"/>
    <mergeCell ref="E187:E188"/>
    <mergeCell ref="F187:F188"/>
    <mergeCell ref="F201:F202"/>
    <mergeCell ref="F637:F640"/>
    <mergeCell ref="F641:F644"/>
    <mergeCell ref="F645:F648"/>
    <mergeCell ref="F649:F652"/>
    <mergeCell ref="F653:F656"/>
    <mergeCell ref="F525:F528"/>
    <mergeCell ref="F529:F532"/>
    <mergeCell ref="F533:F536"/>
    <mergeCell ref="F537:F540"/>
    <mergeCell ref="F207:F208"/>
    <mergeCell ref="D209:D210"/>
    <mergeCell ref="E209:E210"/>
    <mergeCell ref="F209:F210"/>
    <mergeCell ref="D211:D212"/>
    <mergeCell ref="E211:E212"/>
    <mergeCell ref="F211:F212"/>
    <mergeCell ref="D179:D180"/>
    <mergeCell ref="D215:D216"/>
    <mergeCell ref="E215:E216"/>
    <mergeCell ref="D213:D214"/>
    <mergeCell ref="E213:E214"/>
    <mergeCell ref="D201:D202"/>
    <mergeCell ref="E201:E202"/>
    <mergeCell ref="D205:D206"/>
    <mergeCell ref="D207:D208"/>
    <mergeCell ref="E207:E208"/>
    <mergeCell ref="F233:F234"/>
    <mergeCell ref="F235:F236"/>
    <mergeCell ref="F237:F238"/>
    <mergeCell ref="F239:F240"/>
    <mergeCell ref="C233:C242"/>
    <mergeCell ref="D233:D234"/>
    <mergeCell ref="D235:D236"/>
    <mergeCell ref="D237:D238"/>
    <mergeCell ref="F213:F214"/>
    <mergeCell ref="F215:F216"/>
    <mergeCell ref="F221:F222"/>
    <mergeCell ref="D217:D218"/>
    <mergeCell ref="F229:F230"/>
    <mergeCell ref="D231:D232"/>
    <mergeCell ref="E231:E232"/>
    <mergeCell ref="F231:F232"/>
    <mergeCell ref="E217:E218"/>
    <mergeCell ref="F217:F218"/>
    <mergeCell ref="E245:E246"/>
    <mergeCell ref="D247:D248"/>
    <mergeCell ref="E247:E248"/>
    <mergeCell ref="D249:D250"/>
    <mergeCell ref="E249:E250"/>
    <mergeCell ref="C223:C232"/>
    <mergeCell ref="C243:C252"/>
    <mergeCell ref="D251:D252"/>
    <mergeCell ref="E251:E252"/>
    <mergeCell ref="D225:D226"/>
    <mergeCell ref="F271:F272"/>
    <mergeCell ref="D241:D242"/>
    <mergeCell ref="E261:E262"/>
    <mergeCell ref="E233:E234"/>
    <mergeCell ref="E235:E236"/>
    <mergeCell ref="E237:E238"/>
    <mergeCell ref="E239:E240"/>
    <mergeCell ref="D243:D244"/>
    <mergeCell ref="E243:E244"/>
    <mergeCell ref="D245:D246"/>
    <mergeCell ref="F259:F260"/>
    <mergeCell ref="F261:F262"/>
    <mergeCell ref="F263:F264"/>
    <mergeCell ref="F265:F266"/>
    <mergeCell ref="F267:F268"/>
    <mergeCell ref="F269:F270"/>
    <mergeCell ref="D271:D272"/>
    <mergeCell ref="F241:F242"/>
    <mergeCell ref="F243:F244"/>
    <mergeCell ref="F245:F246"/>
    <mergeCell ref="F247:F248"/>
    <mergeCell ref="F249:F250"/>
    <mergeCell ref="F251:F252"/>
    <mergeCell ref="F253:F254"/>
    <mergeCell ref="F255:F256"/>
    <mergeCell ref="F257:F258"/>
    <mergeCell ref="E253:E254"/>
    <mergeCell ref="E255:E256"/>
    <mergeCell ref="E257:E258"/>
    <mergeCell ref="E259:E260"/>
    <mergeCell ref="D267:D268"/>
    <mergeCell ref="D269:D270"/>
    <mergeCell ref="E269:E270"/>
    <mergeCell ref="F299:F300"/>
    <mergeCell ref="F301:F302"/>
    <mergeCell ref="F303:F304"/>
    <mergeCell ref="F305:F306"/>
    <mergeCell ref="C253:C262"/>
    <mergeCell ref="D253:D254"/>
    <mergeCell ref="D255:D256"/>
    <mergeCell ref="D257:D258"/>
    <mergeCell ref="D259:D260"/>
    <mergeCell ref="D261:D262"/>
    <mergeCell ref="F285:F286"/>
    <mergeCell ref="F287:F288"/>
    <mergeCell ref="F289:F290"/>
    <mergeCell ref="F291:F292"/>
    <mergeCell ref="F293:F294"/>
    <mergeCell ref="F295:F296"/>
    <mergeCell ref="F273:F274"/>
    <mergeCell ref="F275:F276"/>
    <mergeCell ref="F277:F278"/>
    <mergeCell ref="F279:F280"/>
    <mergeCell ref="F281:F282"/>
    <mergeCell ref="F283:F284"/>
    <mergeCell ref="F337:F338"/>
    <mergeCell ref="D289:D290"/>
    <mergeCell ref="E289:E290"/>
    <mergeCell ref="D291:D292"/>
    <mergeCell ref="E291:E292"/>
    <mergeCell ref="D333:D334"/>
    <mergeCell ref="D335:D336"/>
    <mergeCell ref="E335:E336"/>
    <mergeCell ref="E337:E338"/>
    <mergeCell ref="F297:F298"/>
    <mergeCell ref="F325:F326"/>
    <mergeCell ref="F327:F328"/>
    <mergeCell ref="F329:F330"/>
    <mergeCell ref="F331:F332"/>
    <mergeCell ref="F333:F334"/>
    <mergeCell ref="F335:F336"/>
    <mergeCell ref="C433:C442"/>
    <mergeCell ref="F307:F308"/>
    <mergeCell ref="F309:F310"/>
    <mergeCell ref="F311:F312"/>
    <mergeCell ref="F313:F314"/>
    <mergeCell ref="F315:F316"/>
    <mergeCell ref="F317:F318"/>
    <mergeCell ref="F319:F320"/>
    <mergeCell ref="F321:F322"/>
    <mergeCell ref="F323:F324"/>
    <mergeCell ref="D439:D440"/>
    <mergeCell ref="E439:E440"/>
    <mergeCell ref="D441:D442"/>
    <mergeCell ref="E441:E442"/>
    <mergeCell ref="D427:D428"/>
    <mergeCell ref="E427:E428"/>
    <mergeCell ref="D437:D438"/>
    <mergeCell ref="E437:E438"/>
    <mergeCell ref="E431:E432"/>
    <mergeCell ref="D447:D448"/>
    <mergeCell ref="E447:E448"/>
    <mergeCell ref="C453:C462"/>
    <mergeCell ref="D453:D454"/>
    <mergeCell ref="E453:E454"/>
    <mergeCell ref="D455:D456"/>
    <mergeCell ref="E455:E456"/>
    <mergeCell ref="D449:D450"/>
    <mergeCell ref="E449:E450"/>
    <mergeCell ref="C443:C452"/>
    <mergeCell ref="E295:E296"/>
    <mergeCell ref="E297:E298"/>
    <mergeCell ref="E299:E300"/>
    <mergeCell ref="C283:C292"/>
    <mergeCell ref="C303:C312"/>
    <mergeCell ref="D303:D304"/>
    <mergeCell ref="E303:E304"/>
    <mergeCell ref="D309:D310"/>
    <mergeCell ref="C473:C492"/>
    <mergeCell ref="D473:D476"/>
    <mergeCell ref="E473:E476"/>
    <mergeCell ref="C293:C302"/>
    <mergeCell ref="D293:D294"/>
    <mergeCell ref="D295:D296"/>
    <mergeCell ref="D297:D298"/>
    <mergeCell ref="D299:D300"/>
    <mergeCell ref="D301:D302"/>
    <mergeCell ref="E293:E294"/>
    <mergeCell ref="D489:D492"/>
    <mergeCell ref="E489:E492"/>
    <mergeCell ref="D467:D468"/>
    <mergeCell ref="E467:E468"/>
    <mergeCell ref="D471:D472"/>
    <mergeCell ref="E471:E472"/>
    <mergeCell ref="D457:D458"/>
    <mergeCell ref="E457:E458"/>
    <mergeCell ref="C463:C471"/>
    <mergeCell ref="D463:D464"/>
    <mergeCell ref="E463:E464"/>
    <mergeCell ref="D465:D466"/>
    <mergeCell ref="E465:E466"/>
    <mergeCell ref="D459:D460"/>
    <mergeCell ref="E459:E460"/>
    <mergeCell ref="D461:D462"/>
    <mergeCell ref="D553:D556"/>
    <mergeCell ref="E553:E556"/>
    <mergeCell ref="D557:D560"/>
    <mergeCell ref="E557:E560"/>
    <mergeCell ref="D469:D470"/>
    <mergeCell ref="E469:E470"/>
    <mergeCell ref="D481:D484"/>
    <mergeCell ref="E481:E484"/>
    <mergeCell ref="D485:D488"/>
    <mergeCell ref="E485:E488"/>
    <mergeCell ref="C533:C552"/>
    <mergeCell ref="D533:D536"/>
    <mergeCell ref="E533:E536"/>
    <mergeCell ref="D537:D540"/>
    <mergeCell ref="E537:E540"/>
    <mergeCell ref="D565:D568"/>
    <mergeCell ref="E565:E568"/>
    <mergeCell ref="D541:D544"/>
    <mergeCell ref="E541:E544"/>
    <mergeCell ref="C553:C572"/>
    <mergeCell ref="D517:D520"/>
    <mergeCell ref="E517:E520"/>
    <mergeCell ref="D545:D548"/>
    <mergeCell ref="E545:E548"/>
    <mergeCell ref="D549:D552"/>
    <mergeCell ref="E549:E552"/>
    <mergeCell ref="D521:D524"/>
    <mergeCell ref="E521:E524"/>
    <mergeCell ref="F363:F364"/>
    <mergeCell ref="F365:F366"/>
    <mergeCell ref="F367:F368"/>
    <mergeCell ref="F369:F370"/>
    <mergeCell ref="F371:F372"/>
    <mergeCell ref="E513:E516"/>
    <mergeCell ref="E461:E462"/>
    <mergeCell ref="E389:E390"/>
    <mergeCell ref="E493:E496"/>
    <mergeCell ref="F351:F352"/>
    <mergeCell ref="F353:F354"/>
    <mergeCell ref="F355:F356"/>
    <mergeCell ref="F357:F358"/>
    <mergeCell ref="F359:F360"/>
    <mergeCell ref="F361:F362"/>
    <mergeCell ref="F339:F340"/>
    <mergeCell ref="F341:F342"/>
    <mergeCell ref="F343:F344"/>
    <mergeCell ref="F345:F346"/>
    <mergeCell ref="F347:F348"/>
    <mergeCell ref="F349:F350"/>
    <mergeCell ref="F395:F396"/>
    <mergeCell ref="F397:F398"/>
    <mergeCell ref="F399:F400"/>
    <mergeCell ref="F401:F402"/>
    <mergeCell ref="F403:F404"/>
    <mergeCell ref="F405:F406"/>
    <mergeCell ref="F383:F384"/>
    <mergeCell ref="F385:F386"/>
    <mergeCell ref="F387:F388"/>
    <mergeCell ref="F389:F390"/>
    <mergeCell ref="F391:F392"/>
    <mergeCell ref="F393:F394"/>
    <mergeCell ref="F431:F432"/>
    <mergeCell ref="F433:F434"/>
    <mergeCell ref="F435:F436"/>
    <mergeCell ref="F437:F438"/>
    <mergeCell ref="F439:F440"/>
    <mergeCell ref="F373:F374"/>
    <mergeCell ref="F375:F376"/>
    <mergeCell ref="F377:F378"/>
    <mergeCell ref="F379:F380"/>
    <mergeCell ref="F381:F382"/>
    <mergeCell ref="F419:F420"/>
    <mergeCell ref="F421:F422"/>
    <mergeCell ref="F423:F424"/>
    <mergeCell ref="F425:F426"/>
    <mergeCell ref="F427:F428"/>
    <mergeCell ref="F429:F430"/>
    <mergeCell ref="F407:F408"/>
    <mergeCell ref="F409:F410"/>
    <mergeCell ref="F411:F412"/>
    <mergeCell ref="F413:F414"/>
    <mergeCell ref="F415:F416"/>
    <mergeCell ref="F417:F418"/>
    <mergeCell ref="H475:H476"/>
    <mergeCell ref="F465:F466"/>
    <mergeCell ref="F467:F468"/>
    <mergeCell ref="F469:F470"/>
    <mergeCell ref="F471:F472"/>
    <mergeCell ref="F473:F476"/>
    <mergeCell ref="G473:G474"/>
    <mergeCell ref="H473:H474"/>
    <mergeCell ref="F455:F456"/>
    <mergeCell ref="F457:F458"/>
    <mergeCell ref="F459:F460"/>
    <mergeCell ref="F461:F462"/>
    <mergeCell ref="F463:F464"/>
    <mergeCell ref="G475:G476"/>
    <mergeCell ref="H495:H496"/>
    <mergeCell ref="I495:I496"/>
    <mergeCell ref="J495:J496"/>
    <mergeCell ref="F441:F442"/>
    <mergeCell ref="F443:F444"/>
    <mergeCell ref="F445:F446"/>
    <mergeCell ref="F447:F448"/>
    <mergeCell ref="F449:F450"/>
    <mergeCell ref="F451:F452"/>
    <mergeCell ref="F453:F454"/>
    <mergeCell ref="I491:I492"/>
    <mergeCell ref="J491:J492"/>
    <mergeCell ref="H491:H492"/>
    <mergeCell ref="H493:H494"/>
    <mergeCell ref="I493:I494"/>
    <mergeCell ref="J493:J494"/>
    <mergeCell ref="G505:G506"/>
    <mergeCell ref="I479:I480"/>
    <mergeCell ref="J479:J480"/>
    <mergeCell ref="G479:G480"/>
    <mergeCell ref="G481:G482"/>
    <mergeCell ref="H487:H488"/>
    <mergeCell ref="I487:I488"/>
    <mergeCell ref="H489:H490"/>
    <mergeCell ref="I489:I490"/>
    <mergeCell ref="J489:J490"/>
    <mergeCell ref="H501:H502"/>
    <mergeCell ref="H505:H506"/>
    <mergeCell ref="I505:I506"/>
    <mergeCell ref="I501:I502"/>
    <mergeCell ref="J501:J502"/>
    <mergeCell ref="G503:G504"/>
    <mergeCell ref="H503:H504"/>
    <mergeCell ref="I503:I504"/>
    <mergeCell ref="J503:J504"/>
    <mergeCell ref="J505:J506"/>
    <mergeCell ref="G521:G522"/>
    <mergeCell ref="H497:H498"/>
    <mergeCell ref="I497:I498"/>
    <mergeCell ref="J497:J498"/>
    <mergeCell ref="G497:G498"/>
    <mergeCell ref="G499:G500"/>
    <mergeCell ref="H499:H500"/>
    <mergeCell ref="I499:I500"/>
    <mergeCell ref="J499:J500"/>
    <mergeCell ref="G501:G502"/>
    <mergeCell ref="G515:G516"/>
    <mergeCell ref="H515:H516"/>
    <mergeCell ref="I515:I516"/>
    <mergeCell ref="J515:J516"/>
    <mergeCell ref="G517:G518"/>
    <mergeCell ref="H517:H518"/>
    <mergeCell ref="J519:J520"/>
    <mergeCell ref="J521:J522"/>
    <mergeCell ref="G511:G512"/>
    <mergeCell ref="H511:H512"/>
    <mergeCell ref="I511:I512"/>
    <mergeCell ref="J511:J512"/>
    <mergeCell ref="H513:H514"/>
    <mergeCell ref="I513:I514"/>
    <mergeCell ref="J513:J514"/>
    <mergeCell ref="G513:G514"/>
    <mergeCell ref="J507:J508"/>
    <mergeCell ref="G509:G510"/>
    <mergeCell ref="H509:H510"/>
    <mergeCell ref="H521:H522"/>
    <mergeCell ref="I521:I522"/>
    <mergeCell ref="I517:I518"/>
    <mergeCell ref="J517:J518"/>
    <mergeCell ref="G519:G520"/>
    <mergeCell ref="H519:H520"/>
    <mergeCell ref="I519:I520"/>
    <mergeCell ref="F493:F496"/>
    <mergeCell ref="F497:F500"/>
    <mergeCell ref="F501:F504"/>
    <mergeCell ref="F505:F508"/>
    <mergeCell ref="I509:I510"/>
    <mergeCell ref="J509:J510"/>
    <mergeCell ref="F509:F512"/>
    <mergeCell ref="G507:G508"/>
    <mergeCell ref="H507:H508"/>
    <mergeCell ref="I507:I508"/>
    <mergeCell ref="H485:H486"/>
    <mergeCell ref="I485:I486"/>
    <mergeCell ref="F481:F484"/>
    <mergeCell ref="G483:G484"/>
    <mergeCell ref="H483:H484"/>
    <mergeCell ref="I483:I484"/>
    <mergeCell ref="F485:F488"/>
    <mergeCell ref="H481:H482"/>
    <mergeCell ref="I481:I482"/>
    <mergeCell ref="F477:F480"/>
    <mergeCell ref="G477:G478"/>
    <mergeCell ref="H477:H478"/>
    <mergeCell ref="I477:I478"/>
    <mergeCell ref="H479:H480"/>
    <mergeCell ref="G523:G524"/>
    <mergeCell ref="H523:H524"/>
    <mergeCell ref="I523:I524"/>
    <mergeCell ref="J523:J524"/>
    <mergeCell ref="G525:G526"/>
    <mergeCell ref="H525:H526"/>
    <mergeCell ref="G537:G538"/>
    <mergeCell ref="G539:G540"/>
    <mergeCell ref="H539:H540"/>
    <mergeCell ref="I539:I540"/>
    <mergeCell ref="J539:J540"/>
    <mergeCell ref="G541:G542"/>
    <mergeCell ref="H541:H542"/>
    <mergeCell ref="G543:G544"/>
    <mergeCell ref="H543:H544"/>
    <mergeCell ref="I543:I544"/>
    <mergeCell ref="J543:J544"/>
    <mergeCell ref="J535:J536"/>
    <mergeCell ref="H537:H538"/>
    <mergeCell ref="I537:I538"/>
    <mergeCell ref="J537:J538"/>
    <mergeCell ref="I541:I542"/>
    <mergeCell ref="J541:J542"/>
    <mergeCell ref="F513:F516"/>
    <mergeCell ref="F517:F520"/>
    <mergeCell ref="F521:F524"/>
    <mergeCell ref="G485:G486"/>
    <mergeCell ref="G487:G488"/>
    <mergeCell ref="F489:F492"/>
    <mergeCell ref="G489:G490"/>
    <mergeCell ref="G491:G492"/>
    <mergeCell ref="G493:G494"/>
    <mergeCell ref="G495:G496"/>
    <mergeCell ref="H553:H554"/>
    <mergeCell ref="I553:I554"/>
    <mergeCell ref="J553:J554"/>
    <mergeCell ref="G553:G554"/>
    <mergeCell ref="I549:I550"/>
    <mergeCell ref="J549:J550"/>
    <mergeCell ref="G549:G550"/>
    <mergeCell ref="H549:H550"/>
    <mergeCell ref="G551:G552"/>
    <mergeCell ref="H551:H552"/>
    <mergeCell ref="I551:I552"/>
    <mergeCell ref="J551:J552"/>
    <mergeCell ref="H545:H546"/>
    <mergeCell ref="I545:I546"/>
    <mergeCell ref="J545:J546"/>
    <mergeCell ref="G545:G546"/>
    <mergeCell ref="G547:G548"/>
    <mergeCell ref="H547:H548"/>
    <mergeCell ref="I547:I548"/>
    <mergeCell ref="J547:J548"/>
    <mergeCell ref="J565:J566"/>
    <mergeCell ref="G561:G562"/>
    <mergeCell ref="G563:G564"/>
    <mergeCell ref="H563:H564"/>
    <mergeCell ref="I563:I564"/>
    <mergeCell ref="J563:J564"/>
    <mergeCell ref="G565:G566"/>
    <mergeCell ref="H565:H566"/>
    <mergeCell ref="H561:H562"/>
    <mergeCell ref="I561:I562"/>
    <mergeCell ref="I557:I558"/>
    <mergeCell ref="J557:J558"/>
    <mergeCell ref="G559:G560"/>
    <mergeCell ref="H559:H560"/>
    <mergeCell ref="I559:I560"/>
    <mergeCell ref="J559:J560"/>
    <mergeCell ref="J561:J562"/>
    <mergeCell ref="G555:G556"/>
    <mergeCell ref="H555:H556"/>
    <mergeCell ref="I555:I556"/>
    <mergeCell ref="J555:J556"/>
    <mergeCell ref="G557:G558"/>
    <mergeCell ref="H557:H558"/>
    <mergeCell ref="H577:H578"/>
    <mergeCell ref="I577:I578"/>
    <mergeCell ref="I573:I574"/>
    <mergeCell ref="J573:J574"/>
    <mergeCell ref="G575:G576"/>
    <mergeCell ref="H575:H576"/>
    <mergeCell ref="I575:I576"/>
    <mergeCell ref="J575:J576"/>
    <mergeCell ref="J577:J578"/>
    <mergeCell ref="G571:G572"/>
    <mergeCell ref="H571:H572"/>
    <mergeCell ref="I571:I572"/>
    <mergeCell ref="J571:J572"/>
    <mergeCell ref="G573:G574"/>
    <mergeCell ref="H573:H574"/>
    <mergeCell ref="G567:G568"/>
    <mergeCell ref="H567:H568"/>
    <mergeCell ref="I567:I568"/>
    <mergeCell ref="J567:J568"/>
    <mergeCell ref="H569:H570"/>
    <mergeCell ref="I569:I570"/>
    <mergeCell ref="J569:J570"/>
    <mergeCell ref="G569:G570"/>
    <mergeCell ref="H581:H582"/>
    <mergeCell ref="G583:G584"/>
    <mergeCell ref="H583:H584"/>
    <mergeCell ref="I583:I584"/>
    <mergeCell ref="J583:J584"/>
    <mergeCell ref="H585:H586"/>
    <mergeCell ref="I585:I586"/>
    <mergeCell ref="J585:J586"/>
    <mergeCell ref="G585:G586"/>
    <mergeCell ref="G597:G598"/>
    <mergeCell ref="H597:H598"/>
    <mergeCell ref="I581:I582"/>
    <mergeCell ref="J581:J582"/>
    <mergeCell ref="G577:G578"/>
    <mergeCell ref="G579:G580"/>
    <mergeCell ref="H579:H580"/>
    <mergeCell ref="I579:I580"/>
    <mergeCell ref="J579:J580"/>
    <mergeCell ref="G581:G582"/>
    <mergeCell ref="G591:G592"/>
    <mergeCell ref="H591:H592"/>
    <mergeCell ref="I591:I592"/>
    <mergeCell ref="J591:J592"/>
    <mergeCell ref="J593:J594"/>
    <mergeCell ref="I597:I598"/>
    <mergeCell ref="J597:J598"/>
    <mergeCell ref="G593:G594"/>
    <mergeCell ref="G595:G596"/>
    <mergeCell ref="H595:H596"/>
    <mergeCell ref="G605:G606"/>
    <mergeCell ref="H605:H606"/>
    <mergeCell ref="G587:G588"/>
    <mergeCell ref="H587:H588"/>
    <mergeCell ref="I587:I588"/>
    <mergeCell ref="J587:J588"/>
    <mergeCell ref="G589:G590"/>
    <mergeCell ref="H589:H590"/>
    <mergeCell ref="H593:H594"/>
    <mergeCell ref="I593:I594"/>
    <mergeCell ref="I601:I602"/>
    <mergeCell ref="J601:J602"/>
    <mergeCell ref="G601:G602"/>
    <mergeCell ref="G603:G604"/>
    <mergeCell ref="H603:H604"/>
    <mergeCell ref="I603:I604"/>
    <mergeCell ref="J603:J604"/>
    <mergeCell ref="G607:G608"/>
    <mergeCell ref="H607:H608"/>
    <mergeCell ref="I607:I608"/>
    <mergeCell ref="J607:J608"/>
    <mergeCell ref="J609:J610"/>
    <mergeCell ref="G599:G600"/>
    <mergeCell ref="H599:H600"/>
    <mergeCell ref="I599:I600"/>
    <mergeCell ref="J599:J600"/>
    <mergeCell ref="H601:H602"/>
    <mergeCell ref="H617:H618"/>
    <mergeCell ref="I617:I618"/>
    <mergeCell ref="J617:J618"/>
    <mergeCell ref="G617:G618"/>
    <mergeCell ref="H609:H610"/>
    <mergeCell ref="I609:I610"/>
    <mergeCell ref="G609:G610"/>
    <mergeCell ref="G611:G612"/>
    <mergeCell ref="H611:H612"/>
    <mergeCell ref="I611:I612"/>
    <mergeCell ref="J611:J612"/>
    <mergeCell ref="G613:G614"/>
    <mergeCell ref="H613:H614"/>
    <mergeCell ref="G631:G632"/>
    <mergeCell ref="H631:H632"/>
    <mergeCell ref="I631:I632"/>
    <mergeCell ref="J631:J632"/>
    <mergeCell ref="I613:I614"/>
    <mergeCell ref="J613:J614"/>
    <mergeCell ref="G615:G616"/>
    <mergeCell ref="H615:H616"/>
    <mergeCell ref="I615:I616"/>
    <mergeCell ref="J615:J616"/>
    <mergeCell ref="G627:G628"/>
    <mergeCell ref="H627:H628"/>
    <mergeCell ref="I627:I628"/>
    <mergeCell ref="J627:J628"/>
    <mergeCell ref="G629:G630"/>
    <mergeCell ref="H629:H630"/>
    <mergeCell ref="H625:H626"/>
    <mergeCell ref="I625:I626"/>
    <mergeCell ref="I621:I622"/>
    <mergeCell ref="J621:J622"/>
    <mergeCell ref="G623:G624"/>
    <mergeCell ref="H623:H624"/>
    <mergeCell ref="I623:I624"/>
    <mergeCell ref="J623:J624"/>
    <mergeCell ref="J625:J626"/>
    <mergeCell ref="G625:G626"/>
    <mergeCell ref="G619:G620"/>
    <mergeCell ref="H619:H620"/>
    <mergeCell ref="I619:I620"/>
    <mergeCell ref="J619:J620"/>
    <mergeCell ref="G621:G622"/>
    <mergeCell ref="H621:H622"/>
    <mergeCell ref="G641:G642"/>
    <mergeCell ref="G643:G644"/>
    <mergeCell ref="H643:H644"/>
    <mergeCell ref="I643:I644"/>
    <mergeCell ref="J643:J644"/>
    <mergeCell ref="G645:G646"/>
    <mergeCell ref="H645:H646"/>
    <mergeCell ref="H639:H640"/>
    <mergeCell ref="I639:I640"/>
    <mergeCell ref="J639:J640"/>
    <mergeCell ref="J641:J642"/>
    <mergeCell ref="I645:I646"/>
    <mergeCell ref="J645:J646"/>
    <mergeCell ref="H637:H638"/>
    <mergeCell ref="G647:G648"/>
    <mergeCell ref="H647:H648"/>
    <mergeCell ref="I647:I648"/>
    <mergeCell ref="J647:J648"/>
    <mergeCell ref="H641:H642"/>
    <mergeCell ref="I641:I642"/>
    <mergeCell ref="I637:I638"/>
    <mergeCell ref="J637:J638"/>
    <mergeCell ref="G639:G640"/>
    <mergeCell ref="J657:J658"/>
    <mergeCell ref="H633:H634"/>
    <mergeCell ref="I633:I634"/>
    <mergeCell ref="J633:J634"/>
    <mergeCell ref="G633:G634"/>
    <mergeCell ref="G635:G636"/>
    <mergeCell ref="H635:H636"/>
    <mergeCell ref="I635:I636"/>
    <mergeCell ref="J635:J636"/>
    <mergeCell ref="G637:G638"/>
    <mergeCell ref="G653:G654"/>
    <mergeCell ref="H653:H654"/>
    <mergeCell ref="H657:H658"/>
    <mergeCell ref="I657:I658"/>
    <mergeCell ref="I653:I654"/>
    <mergeCell ref="J653:J654"/>
    <mergeCell ref="G655:G656"/>
    <mergeCell ref="H655:H656"/>
    <mergeCell ref="I655:I656"/>
    <mergeCell ref="J655:J656"/>
    <mergeCell ref="H649:H650"/>
    <mergeCell ref="I649:I650"/>
    <mergeCell ref="J649:J650"/>
    <mergeCell ref="G649:G650"/>
    <mergeCell ref="G651:G652"/>
    <mergeCell ref="H651:H652"/>
    <mergeCell ref="I651:I652"/>
    <mergeCell ref="J651:J652"/>
    <mergeCell ref="H661:H662"/>
    <mergeCell ref="G663:G664"/>
    <mergeCell ref="H663:H664"/>
    <mergeCell ref="I663:I664"/>
    <mergeCell ref="J663:J664"/>
    <mergeCell ref="H665:H666"/>
    <mergeCell ref="I665:I666"/>
    <mergeCell ref="J665:J666"/>
    <mergeCell ref="G665:G666"/>
    <mergeCell ref="G677:G678"/>
    <mergeCell ref="H677:H678"/>
    <mergeCell ref="I661:I662"/>
    <mergeCell ref="J661:J662"/>
    <mergeCell ref="G657:G658"/>
    <mergeCell ref="G659:G660"/>
    <mergeCell ref="H659:H660"/>
    <mergeCell ref="I659:I660"/>
    <mergeCell ref="J659:J660"/>
    <mergeCell ref="G661:G662"/>
    <mergeCell ref="G671:G672"/>
    <mergeCell ref="H671:H672"/>
    <mergeCell ref="I671:I672"/>
    <mergeCell ref="J671:J672"/>
    <mergeCell ref="J673:J674"/>
    <mergeCell ref="I677:I678"/>
    <mergeCell ref="J677:J678"/>
    <mergeCell ref="G673:G674"/>
    <mergeCell ref="G675:G676"/>
    <mergeCell ref="H675:H676"/>
    <mergeCell ref="G667:G668"/>
    <mergeCell ref="H667:H668"/>
    <mergeCell ref="I667:I668"/>
    <mergeCell ref="J667:J668"/>
    <mergeCell ref="G669:G670"/>
    <mergeCell ref="H669:H670"/>
    <mergeCell ref="I669:I670"/>
    <mergeCell ref="J669:J670"/>
    <mergeCell ref="H689:H690"/>
    <mergeCell ref="I689:I690"/>
    <mergeCell ref="I685:I686"/>
    <mergeCell ref="J685:J686"/>
    <mergeCell ref="G687:G688"/>
    <mergeCell ref="H687:H688"/>
    <mergeCell ref="I687:I688"/>
    <mergeCell ref="J687:J688"/>
    <mergeCell ref="J689:J690"/>
    <mergeCell ref="G681:G682"/>
    <mergeCell ref="G683:G684"/>
    <mergeCell ref="H683:H684"/>
    <mergeCell ref="I683:I684"/>
    <mergeCell ref="J683:J684"/>
    <mergeCell ref="G685:G686"/>
    <mergeCell ref="H685:H686"/>
    <mergeCell ref="H697:H698"/>
    <mergeCell ref="I697:I698"/>
    <mergeCell ref="J697:J698"/>
    <mergeCell ref="G697:G698"/>
    <mergeCell ref="G679:G680"/>
    <mergeCell ref="H679:H680"/>
    <mergeCell ref="I679:I680"/>
    <mergeCell ref="J679:J680"/>
    <mergeCell ref="H681:H682"/>
    <mergeCell ref="I681:I682"/>
    <mergeCell ref="G693:G694"/>
    <mergeCell ref="H693:H694"/>
    <mergeCell ref="G695:G696"/>
    <mergeCell ref="H695:H696"/>
    <mergeCell ref="I695:I696"/>
    <mergeCell ref="J695:J696"/>
    <mergeCell ref="G535:G536"/>
    <mergeCell ref="H535:H536"/>
    <mergeCell ref="I535:I536"/>
    <mergeCell ref="I693:I694"/>
    <mergeCell ref="J693:J694"/>
    <mergeCell ref="G689:G690"/>
    <mergeCell ref="G691:G692"/>
    <mergeCell ref="H691:H692"/>
    <mergeCell ref="I691:I692"/>
    <mergeCell ref="J691:J692"/>
    <mergeCell ref="G529:G530"/>
    <mergeCell ref="G531:G532"/>
    <mergeCell ref="H531:H532"/>
    <mergeCell ref="I531:I532"/>
    <mergeCell ref="J531:J532"/>
    <mergeCell ref="G533:G534"/>
    <mergeCell ref="H533:H534"/>
    <mergeCell ref="I533:I534"/>
    <mergeCell ref="J533:J534"/>
    <mergeCell ref="G703:G704"/>
    <mergeCell ref="H703:H704"/>
    <mergeCell ref="I703:I704"/>
    <mergeCell ref="J703:J704"/>
    <mergeCell ref="J705:J706"/>
    <mergeCell ref="G527:G528"/>
    <mergeCell ref="H527:H528"/>
    <mergeCell ref="I527:I528"/>
    <mergeCell ref="J527:J528"/>
    <mergeCell ref="H529:H530"/>
    <mergeCell ref="J773:J774"/>
    <mergeCell ref="G775:G776"/>
    <mergeCell ref="H775:H776"/>
    <mergeCell ref="G699:G700"/>
    <mergeCell ref="H699:H700"/>
    <mergeCell ref="I699:I700"/>
    <mergeCell ref="J699:J700"/>
    <mergeCell ref="G701:G702"/>
    <mergeCell ref="H701:H702"/>
    <mergeCell ref="H705:H706"/>
    <mergeCell ref="I775:I776"/>
    <mergeCell ref="J775:J776"/>
    <mergeCell ref="G793:G794"/>
    <mergeCell ref="H793:H794"/>
    <mergeCell ref="I793:I794"/>
    <mergeCell ref="J793:J794"/>
    <mergeCell ref="G763:G764"/>
    <mergeCell ref="G765:G766"/>
    <mergeCell ref="H765:H766"/>
    <mergeCell ref="I765:I766"/>
    <mergeCell ref="J765:J766"/>
    <mergeCell ref="G767:G768"/>
    <mergeCell ref="H767:H768"/>
    <mergeCell ref="I761:I762"/>
    <mergeCell ref="J761:J762"/>
    <mergeCell ref="H763:H764"/>
    <mergeCell ref="I763:I764"/>
    <mergeCell ref="J763:J764"/>
    <mergeCell ref="I767:I768"/>
    <mergeCell ref="J767:J768"/>
    <mergeCell ref="G811:G812"/>
    <mergeCell ref="H811:H812"/>
    <mergeCell ref="I811:I812"/>
    <mergeCell ref="J811:J812"/>
    <mergeCell ref="J799:J800"/>
    <mergeCell ref="G801:G802"/>
    <mergeCell ref="H801:H802"/>
    <mergeCell ref="I809:I810"/>
    <mergeCell ref="J809:J810"/>
    <mergeCell ref="I801:I802"/>
    <mergeCell ref="J801:J802"/>
    <mergeCell ref="G797:G798"/>
    <mergeCell ref="G799:G800"/>
    <mergeCell ref="H799:H800"/>
    <mergeCell ref="I799:I800"/>
    <mergeCell ref="H789:H790"/>
    <mergeCell ref="I789:I790"/>
    <mergeCell ref="J789:J790"/>
    <mergeCell ref="G791:G792"/>
    <mergeCell ref="H791:H792"/>
    <mergeCell ref="G795:G796"/>
    <mergeCell ref="H795:H796"/>
    <mergeCell ref="I795:I796"/>
    <mergeCell ref="J795:J796"/>
    <mergeCell ref="G815:G816"/>
    <mergeCell ref="H815:H816"/>
    <mergeCell ref="I815:I816"/>
    <mergeCell ref="J815:J816"/>
    <mergeCell ref="G817:G818"/>
    <mergeCell ref="H817:H818"/>
    <mergeCell ref="G761:G762"/>
    <mergeCell ref="H761:H762"/>
    <mergeCell ref="H813:H814"/>
    <mergeCell ref="I813:I814"/>
    <mergeCell ref="J813:J814"/>
    <mergeCell ref="G813:G814"/>
    <mergeCell ref="I791:I792"/>
    <mergeCell ref="J791:J792"/>
    <mergeCell ref="G787:G788"/>
    <mergeCell ref="G789:G790"/>
    <mergeCell ref="G757:G758"/>
    <mergeCell ref="H757:H758"/>
    <mergeCell ref="I757:I758"/>
    <mergeCell ref="J757:J758"/>
    <mergeCell ref="G759:G760"/>
    <mergeCell ref="H759:H760"/>
    <mergeCell ref="G753:G754"/>
    <mergeCell ref="H753:H754"/>
    <mergeCell ref="I753:I754"/>
    <mergeCell ref="J753:J754"/>
    <mergeCell ref="J755:J756"/>
    <mergeCell ref="G755:G756"/>
    <mergeCell ref="G781:G782"/>
    <mergeCell ref="H781:H782"/>
    <mergeCell ref="I781:I782"/>
    <mergeCell ref="J781:J782"/>
    <mergeCell ref="G783:G784"/>
    <mergeCell ref="H783:H784"/>
    <mergeCell ref="I817:I818"/>
    <mergeCell ref="J817:J818"/>
    <mergeCell ref="G777:G778"/>
    <mergeCell ref="H777:H778"/>
    <mergeCell ref="I777:I778"/>
    <mergeCell ref="J777:J778"/>
    <mergeCell ref="H779:H780"/>
    <mergeCell ref="I779:I780"/>
    <mergeCell ref="J779:J780"/>
    <mergeCell ref="G779:G780"/>
    <mergeCell ref="J783:J784"/>
    <mergeCell ref="G785:G786"/>
    <mergeCell ref="H785:H786"/>
    <mergeCell ref="I785:I786"/>
    <mergeCell ref="J785:J786"/>
    <mergeCell ref="J787:J788"/>
    <mergeCell ref="H837:H838"/>
    <mergeCell ref="I837:I838"/>
    <mergeCell ref="J837:J838"/>
    <mergeCell ref="G837:G838"/>
    <mergeCell ref="I823:I824"/>
    <mergeCell ref="J823:J824"/>
    <mergeCell ref="G825:G826"/>
    <mergeCell ref="H825:H826"/>
    <mergeCell ref="I833:I834"/>
    <mergeCell ref="J833:J834"/>
    <mergeCell ref="I825:I826"/>
    <mergeCell ref="J825:J826"/>
    <mergeCell ref="G821:G822"/>
    <mergeCell ref="G823:G824"/>
    <mergeCell ref="H823:H824"/>
    <mergeCell ref="G835:G836"/>
    <mergeCell ref="H835:H836"/>
    <mergeCell ref="I835:I836"/>
    <mergeCell ref="J835:J836"/>
    <mergeCell ref="G819:G820"/>
    <mergeCell ref="H819:H820"/>
    <mergeCell ref="I819:I820"/>
    <mergeCell ref="J819:J820"/>
    <mergeCell ref="H821:H822"/>
    <mergeCell ref="I821:I822"/>
    <mergeCell ref="J821:J822"/>
    <mergeCell ref="G807:G808"/>
    <mergeCell ref="H807:H808"/>
    <mergeCell ref="I807:I808"/>
    <mergeCell ref="J807:J808"/>
    <mergeCell ref="G809:G810"/>
    <mergeCell ref="H809:H810"/>
    <mergeCell ref="G803:G804"/>
    <mergeCell ref="H803:H804"/>
    <mergeCell ref="I803:I804"/>
    <mergeCell ref="J803:J804"/>
    <mergeCell ref="H805:H806"/>
    <mergeCell ref="I805:I806"/>
    <mergeCell ref="J805:J806"/>
    <mergeCell ref="G805:G806"/>
    <mergeCell ref="H843:H844"/>
    <mergeCell ref="G839:G840"/>
    <mergeCell ref="H839:H840"/>
    <mergeCell ref="I839:I840"/>
    <mergeCell ref="J839:J840"/>
    <mergeCell ref="G841:G842"/>
    <mergeCell ref="H841:H842"/>
    <mergeCell ref="G831:G832"/>
    <mergeCell ref="H831:H832"/>
    <mergeCell ref="I831:I832"/>
    <mergeCell ref="J831:J832"/>
    <mergeCell ref="G833:G834"/>
    <mergeCell ref="H833:H834"/>
    <mergeCell ref="G865:G866"/>
    <mergeCell ref="H865:H866"/>
    <mergeCell ref="G827:G828"/>
    <mergeCell ref="H827:H828"/>
    <mergeCell ref="I827:I828"/>
    <mergeCell ref="J827:J828"/>
    <mergeCell ref="H829:H830"/>
    <mergeCell ref="I829:I830"/>
    <mergeCell ref="J829:J830"/>
    <mergeCell ref="G829:G830"/>
    <mergeCell ref="J841:J842"/>
    <mergeCell ref="G859:G860"/>
    <mergeCell ref="H859:H860"/>
    <mergeCell ref="I859:I860"/>
    <mergeCell ref="J859:J860"/>
    <mergeCell ref="H861:H862"/>
    <mergeCell ref="I861:I862"/>
    <mergeCell ref="J861:J862"/>
    <mergeCell ref="G861:G862"/>
    <mergeCell ref="G843:G844"/>
    <mergeCell ref="G849:G850"/>
    <mergeCell ref="H849:H850"/>
    <mergeCell ref="I857:I858"/>
    <mergeCell ref="J857:J858"/>
    <mergeCell ref="I865:I866"/>
    <mergeCell ref="J865:J866"/>
    <mergeCell ref="G863:G864"/>
    <mergeCell ref="H863:H864"/>
    <mergeCell ref="I863:I864"/>
    <mergeCell ref="J863:J864"/>
    <mergeCell ref="H845:H846"/>
    <mergeCell ref="I845:I846"/>
    <mergeCell ref="J845:J846"/>
    <mergeCell ref="I849:I850"/>
    <mergeCell ref="J849:J850"/>
    <mergeCell ref="G845:G846"/>
    <mergeCell ref="G847:G848"/>
    <mergeCell ref="H847:H848"/>
    <mergeCell ref="I847:I848"/>
    <mergeCell ref="J847:J848"/>
    <mergeCell ref="G867:G868"/>
    <mergeCell ref="H867:H868"/>
    <mergeCell ref="I867:I868"/>
    <mergeCell ref="J867:J868"/>
    <mergeCell ref="H869:H870"/>
    <mergeCell ref="I869:I870"/>
    <mergeCell ref="G855:G856"/>
    <mergeCell ref="H855:H856"/>
    <mergeCell ref="I855:I856"/>
    <mergeCell ref="J855:J856"/>
    <mergeCell ref="G857:G858"/>
    <mergeCell ref="H857:H858"/>
    <mergeCell ref="G851:G852"/>
    <mergeCell ref="H851:H852"/>
    <mergeCell ref="I851:I852"/>
    <mergeCell ref="J851:J852"/>
    <mergeCell ref="H853:H854"/>
    <mergeCell ref="I853:I854"/>
    <mergeCell ref="J853:J854"/>
    <mergeCell ref="G853:G854"/>
    <mergeCell ref="G887:G888"/>
    <mergeCell ref="H887:H888"/>
    <mergeCell ref="I887:I888"/>
    <mergeCell ref="J887:J888"/>
    <mergeCell ref="G889:G890"/>
    <mergeCell ref="H889:H890"/>
    <mergeCell ref="G883:G884"/>
    <mergeCell ref="H883:H884"/>
    <mergeCell ref="I883:I884"/>
    <mergeCell ref="J883:J884"/>
    <mergeCell ref="H885:H886"/>
    <mergeCell ref="I885:I886"/>
    <mergeCell ref="J885:J886"/>
    <mergeCell ref="G885:G886"/>
    <mergeCell ref="G895:G896"/>
    <mergeCell ref="H895:H896"/>
    <mergeCell ref="I895:I896"/>
    <mergeCell ref="J895:J896"/>
    <mergeCell ref="G897:G898"/>
    <mergeCell ref="H897:H898"/>
    <mergeCell ref="H873:H874"/>
    <mergeCell ref="I881:I882"/>
    <mergeCell ref="J881:J882"/>
    <mergeCell ref="I889:I890"/>
    <mergeCell ref="J889:J890"/>
    <mergeCell ref="G907:G908"/>
    <mergeCell ref="H907:H908"/>
    <mergeCell ref="I907:I908"/>
    <mergeCell ref="J907:J908"/>
    <mergeCell ref="J897:J898"/>
    <mergeCell ref="I897:I898"/>
    <mergeCell ref="J869:J870"/>
    <mergeCell ref="I873:I874"/>
    <mergeCell ref="J873:J874"/>
    <mergeCell ref="G869:G870"/>
    <mergeCell ref="G871:G872"/>
    <mergeCell ref="H871:H872"/>
    <mergeCell ref="I871:I872"/>
    <mergeCell ref="J871:J872"/>
    <mergeCell ref="G873:G874"/>
    <mergeCell ref="G891:G892"/>
    <mergeCell ref="H891:H892"/>
    <mergeCell ref="I891:I892"/>
    <mergeCell ref="J891:J892"/>
    <mergeCell ref="H893:H894"/>
    <mergeCell ref="I893:I894"/>
    <mergeCell ref="J893:J894"/>
    <mergeCell ref="G893:G894"/>
    <mergeCell ref="G879:G880"/>
    <mergeCell ref="H879:H880"/>
    <mergeCell ref="I879:I880"/>
    <mergeCell ref="J879:J880"/>
    <mergeCell ref="G881:G882"/>
    <mergeCell ref="H881:H882"/>
    <mergeCell ref="G913:G914"/>
    <mergeCell ref="H913:H914"/>
    <mergeCell ref="G875:G876"/>
    <mergeCell ref="H875:H876"/>
    <mergeCell ref="I875:I876"/>
    <mergeCell ref="J875:J876"/>
    <mergeCell ref="H877:H878"/>
    <mergeCell ref="I877:I878"/>
    <mergeCell ref="J877:J878"/>
    <mergeCell ref="G877:G878"/>
    <mergeCell ref="H909:H910"/>
    <mergeCell ref="I909:I910"/>
    <mergeCell ref="J909:J910"/>
    <mergeCell ref="G909:G910"/>
    <mergeCell ref="G911:G912"/>
    <mergeCell ref="H911:H912"/>
    <mergeCell ref="I911:I912"/>
    <mergeCell ref="J911:J912"/>
    <mergeCell ref="G903:G904"/>
    <mergeCell ref="H903:H904"/>
    <mergeCell ref="I903:I904"/>
    <mergeCell ref="J903:J904"/>
    <mergeCell ref="G905:G906"/>
    <mergeCell ref="H905:H906"/>
    <mergeCell ref="I905:I906"/>
    <mergeCell ref="J905:J906"/>
    <mergeCell ref="G937:G938"/>
    <mergeCell ref="H937:H938"/>
    <mergeCell ref="G899:G900"/>
    <mergeCell ref="H899:H900"/>
    <mergeCell ref="I899:I900"/>
    <mergeCell ref="J899:J900"/>
    <mergeCell ref="H901:H902"/>
    <mergeCell ref="I901:I902"/>
    <mergeCell ref="J901:J902"/>
    <mergeCell ref="G901:G902"/>
    <mergeCell ref="H933:H934"/>
    <mergeCell ref="I933:I934"/>
    <mergeCell ref="J933:J934"/>
    <mergeCell ref="G933:G934"/>
    <mergeCell ref="G935:G936"/>
    <mergeCell ref="H935:H936"/>
    <mergeCell ref="I935:I936"/>
    <mergeCell ref="J935:J936"/>
    <mergeCell ref="G929:G930"/>
    <mergeCell ref="H929:H930"/>
    <mergeCell ref="I913:I914"/>
    <mergeCell ref="J913:J914"/>
    <mergeCell ref="G931:G932"/>
    <mergeCell ref="H931:H932"/>
    <mergeCell ref="I931:I932"/>
    <mergeCell ref="J931:J932"/>
    <mergeCell ref="G915:G916"/>
    <mergeCell ref="H915:H916"/>
    <mergeCell ref="J925:J926"/>
    <mergeCell ref="G925:G926"/>
    <mergeCell ref="G927:G928"/>
    <mergeCell ref="H927:H928"/>
    <mergeCell ref="I927:I928"/>
    <mergeCell ref="J927:J928"/>
    <mergeCell ref="I929:I930"/>
    <mergeCell ref="J929:J930"/>
    <mergeCell ref="I937:I938"/>
    <mergeCell ref="J937:J938"/>
    <mergeCell ref="G923:G924"/>
    <mergeCell ref="H923:H924"/>
    <mergeCell ref="I923:I924"/>
    <mergeCell ref="J923:J924"/>
    <mergeCell ref="H925:H926"/>
    <mergeCell ref="I925:I926"/>
    <mergeCell ref="G917:G918"/>
    <mergeCell ref="G919:G920"/>
    <mergeCell ref="H919:H920"/>
    <mergeCell ref="I919:I920"/>
    <mergeCell ref="J919:J920"/>
    <mergeCell ref="G921:G922"/>
    <mergeCell ref="H921:H922"/>
    <mergeCell ref="I915:I916"/>
    <mergeCell ref="J915:J916"/>
    <mergeCell ref="H917:H918"/>
    <mergeCell ref="I917:I918"/>
    <mergeCell ref="J917:J918"/>
    <mergeCell ref="I921:I922"/>
    <mergeCell ref="J921:J922"/>
    <mergeCell ref="G951:G952"/>
    <mergeCell ref="H951:H952"/>
    <mergeCell ref="I951:I952"/>
    <mergeCell ref="J951:J952"/>
    <mergeCell ref="G953:G954"/>
    <mergeCell ref="H953:H954"/>
    <mergeCell ref="I947:I948"/>
    <mergeCell ref="J947:J948"/>
    <mergeCell ref="H949:H950"/>
    <mergeCell ref="I949:I950"/>
    <mergeCell ref="J949:J950"/>
    <mergeCell ref="G949:G950"/>
    <mergeCell ref="G945:G946"/>
    <mergeCell ref="H945:H946"/>
    <mergeCell ref="I953:I954"/>
    <mergeCell ref="J953:J954"/>
    <mergeCell ref="G955:G956"/>
    <mergeCell ref="H955:H956"/>
    <mergeCell ref="I955:I956"/>
    <mergeCell ref="J955:J956"/>
    <mergeCell ref="G947:G948"/>
    <mergeCell ref="H947:H948"/>
    <mergeCell ref="G939:G940"/>
    <mergeCell ref="H939:H940"/>
    <mergeCell ref="I939:I940"/>
    <mergeCell ref="J939:J940"/>
    <mergeCell ref="G941:G942"/>
    <mergeCell ref="G943:G944"/>
    <mergeCell ref="H943:H944"/>
    <mergeCell ref="I943:I944"/>
    <mergeCell ref="J943:J944"/>
    <mergeCell ref="I977:I978"/>
    <mergeCell ref="J977:J978"/>
    <mergeCell ref="H979:H980"/>
    <mergeCell ref="I985:I986"/>
    <mergeCell ref="J985:J986"/>
    <mergeCell ref="H981:H982"/>
    <mergeCell ref="I981:I982"/>
    <mergeCell ref="J981:J982"/>
    <mergeCell ref="H983:H984"/>
    <mergeCell ref="H941:H942"/>
    <mergeCell ref="I941:I942"/>
    <mergeCell ref="J941:J942"/>
    <mergeCell ref="I945:I946"/>
    <mergeCell ref="J945:J946"/>
    <mergeCell ref="J979:J980"/>
    <mergeCell ref="H975:H976"/>
    <mergeCell ref="I975:I976"/>
    <mergeCell ref="J975:J976"/>
    <mergeCell ref="H977:H978"/>
    <mergeCell ref="I1051:I1052"/>
    <mergeCell ref="J1051:J1052"/>
    <mergeCell ref="H1049:H1050"/>
    <mergeCell ref="I1049:I1050"/>
    <mergeCell ref="J1049:J1050"/>
    <mergeCell ref="H1051:H1052"/>
    <mergeCell ref="F1057:F1060"/>
    <mergeCell ref="I1057:I1058"/>
    <mergeCell ref="J1057:J1058"/>
    <mergeCell ref="H1053:H1054"/>
    <mergeCell ref="I1053:I1054"/>
    <mergeCell ref="J1053:J1054"/>
    <mergeCell ref="H1055:H1056"/>
    <mergeCell ref="I1055:I1056"/>
    <mergeCell ref="J1055:J1056"/>
    <mergeCell ref="H1057:H1058"/>
    <mergeCell ref="I1069:I1070"/>
    <mergeCell ref="J1069:J1070"/>
    <mergeCell ref="H1065:H1066"/>
    <mergeCell ref="I1065:I1066"/>
    <mergeCell ref="J1065:J1066"/>
    <mergeCell ref="H1067:H1068"/>
    <mergeCell ref="I1067:I1068"/>
    <mergeCell ref="J1067:J1068"/>
    <mergeCell ref="H1069:H1070"/>
    <mergeCell ref="F1065:F1068"/>
    <mergeCell ref="F1069:F1072"/>
    <mergeCell ref="G1057:G1058"/>
    <mergeCell ref="G1059:G1060"/>
    <mergeCell ref="F1061:F1064"/>
    <mergeCell ref="G1061:G1062"/>
    <mergeCell ref="G1063:G1064"/>
    <mergeCell ref="G1065:G1066"/>
    <mergeCell ref="G1067:G1068"/>
    <mergeCell ref="G1069:G1070"/>
    <mergeCell ref="G1083:G1084"/>
    <mergeCell ref="I1063:I1064"/>
    <mergeCell ref="J1063:J1064"/>
    <mergeCell ref="H1059:H1060"/>
    <mergeCell ref="I1059:I1060"/>
    <mergeCell ref="J1059:J1060"/>
    <mergeCell ref="H1061:H1062"/>
    <mergeCell ref="I1061:I1062"/>
    <mergeCell ref="J1061:J1062"/>
    <mergeCell ref="H1063:H1064"/>
    <mergeCell ref="G1071:G1072"/>
    <mergeCell ref="I1081:I1082"/>
    <mergeCell ref="J1081:J1082"/>
    <mergeCell ref="H1077:H1078"/>
    <mergeCell ref="I1077:I1078"/>
    <mergeCell ref="J1077:J1078"/>
    <mergeCell ref="H1079:H1080"/>
    <mergeCell ref="I1079:I1080"/>
    <mergeCell ref="J1079:J1080"/>
    <mergeCell ref="H1081:H1082"/>
    <mergeCell ref="I1093:I1094"/>
    <mergeCell ref="J1093:J1094"/>
    <mergeCell ref="H1095:H1096"/>
    <mergeCell ref="I1095:I1096"/>
    <mergeCell ref="J1095:J1096"/>
    <mergeCell ref="G1095:G1096"/>
    <mergeCell ref="H1071:H1072"/>
    <mergeCell ref="I1071:I1072"/>
    <mergeCell ref="J1071:J1072"/>
    <mergeCell ref="H1073:H1074"/>
    <mergeCell ref="I1073:I1074"/>
    <mergeCell ref="J1073:J1074"/>
    <mergeCell ref="I1105:I1106"/>
    <mergeCell ref="J1105:J1106"/>
    <mergeCell ref="G1107:G1108"/>
    <mergeCell ref="H1107:H1108"/>
    <mergeCell ref="I1099:I1100"/>
    <mergeCell ref="I1075:I1076"/>
    <mergeCell ref="J1075:J1076"/>
    <mergeCell ref="H1075:H1076"/>
    <mergeCell ref="G1093:G1094"/>
    <mergeCell ref="H1093:H1094"/>
    <mergeCell ref="J1223:J1224"/>
    <mergeCell ref="G1101:G1102"/>
    <mergeCell ref="H1101:H1102"/>
    <mergeCell ref="I1101:I1102"/>
    <mergeCell ref="J1101:J1102"/>
    <mergeCell ref="H1103:H1104"/>
    <mergeCell ref="I1103:I1104"/>
    <mergeCell ref="J1103:J1104"/>
    <mergeCell ref="G1103:G1104"/>
    <mergeCell ref="G1105:G1106"/>
    <mergeCell ref="H1211:H1212"/>
    <mergeCell ref="H1213:H1214"/>
    <mergeCell ref="H1215:H1216"/>
    <mergeCell ref="H1217:H1218"/>
    <mergeCell ref="H1219:H1220"/>
    <mergeCell ref="I1223:I1224"/>
    <mergeCell ref="G1099:G1100"/>
    <mergeCell ref="H1099:H1100"/>
    <mergeCell ref="H1201:H1202"/>
    <mergeCell ref="H1203:H1204"/>
    <mergeCell ref="H1207:H1208"/>
    <mergeCell ref="H1209:H1210"/>
    <mergeCell ref="H1105:H1106"/>
    <mergeCell ref="I1237:I1238"/>
    <mergeCell ref="J1237:J1238"/>
    <mergeCell ref="I1239:I1240"/>
    <mergeCell ref="J1239:J1240"/>
    <mergeCell ref="J1241:J1242"/>
    <mergeCell ref="I1241:I1242"/>
    <mergeCell ref="I1231:I1232"/>
    <mergeCell ref="J1231:J1232"/>
    <mergeCell ref="I1233:I1234"/>
    <mergeCell ref="J1233:J1234"/>
    <mergeCell ref="I1235:I1236"/>
    <mergeCell ref="J1235:J1236"/>
    <mergeCell ref="I1225:I1226"/>
    <mergeCell ref="J1225:J1226"/>
    <mergeCell ref="J1227:J1228"/>
    <mergeCell ref="I1227:I1228"/>
    <mergeCell ref="I1229:I1230"/>
    <mergeCell ref="J1229:J1230"/>
    <mergeCell ref="H1263:H1264"/>
    <mergeCell ref="G1251:G1252"/>
    <mergeCell ref="G1253:G1254"/>
    <mergeCell ref="G1255:G1256"/>
    <mergeCell ref="H1251:H1252"/>
    <mergeCell ref="H1253:H1254"/>
    <mergeCell ref="H1255:H1256"/>
    <mergeCell ref="J1255:J1256"/>
    <mergeCell ref="J1271:J1272"/>
    <mergeCell ref="I1259:I1260"/>
    <mergeCell ref="I1261:I1262"/>
    <mergeCell ref="I1263:I1264"/>
    <mergeCell ref="I1265:I1266"/>
    <mergeCell ref="I1267:I1268"/>
    <mergeCell ref="I1269:I1270"/>
    <mergeCell ref="I1271:I1272"/>
    <mergeCell ref="I1251:I1252"/>
    <mergeCell ref="I1253:I1254"/>
    <mergeCell ref="J1243:J1244"/>
    <mergeCell ref="J1245:J1246"/>
    <mergeCell ref="J1247:J1248"/>
    <mergeCell ref="J1249:J1250"/>
    <mergeCell ref="J1251:J1252"/>
    <mergeCell ref="J1253:J1254"/>
    <mergeCell ref="H1247:H1248"/>
    <mergeCell ref="H1249:H1250"/>
    <mergeCell ref="G1249:G1250"/>
    <mergeCell ref="I1243:I1244"/>
    <mergeCell ref="I1245:I1246"/>
    <mergeCell ref="I1247:I1248"/>
    <mergeCell ref="I1249:I1250"/>
    <mergeCell ref="G1257:G1258"/>
    <mergeCell ref="G1259:G1260"/>
    <mergeCell ref="G1261:G1262"/>
    <mergeCell ref="H1257:H1258"/>
    <mergeCell ref="H1259:H1260"/>
    <mergeCell ref="H1261:H1262"/>
    <mergeCell ref="J1269:J1270"/>
    <mergeCell ref="J1273:J1274"/>
    <mergeCell ref="J1275:J1276"/>
    <mergeCell ref="J1277:J1278"/>
    <mergeCell ref="I1273:I1274"/>
    <mergeCell ref="I1275:I1276"/>
    <mergeCell ref="I1277:I1278"/>
    <mergeCell ref="G1275:G1276"/>
    <mergeCell ref="J1279:J1280"/>
    <mergeCell ref="I1281:I1282"/>
    <mergeCell ref="J1281:J1282"/>
    <mergeCell ref="J1257:J1258"/>
    <mergeCell ref="J1259:J1260"/>
    <mergeCell ref="J1261:J1262"/>
    <mergeCell ref="J1263:J1264"/>
    <mergeCell ref="J1265:J1266"/>
    <mergeCell ref="J1267:J1268"/>
    <mergeCell ref="G1263:G1264"/>
    <mergeCell ref="G1265:G1266"/>
    <mergeCell ref="G1267:G1268"/>
    <mergeCell ref="G1269:G1270"/>
    <mergeCell ref="G1271:G1272"/>
    <mergeCell ref="G1273:G1274"/>
    <mergeCell ref="H1091:H1092"/>
    <mergeCell ref="J1099:J1100"/>
    <mergeCell ref="G1123:G1124"/>
    <mergeCell ref="H1123:H1124"/>
    <mergeCell ref="G1125:G1126"/>
    <mergeCell ref="H1125:H1126"/>
    <mergeCell ref="G1097:G1098"/>
    <mergeCell ref="H1097:H1098"/>
    <mergeCell ref="I1097:I1098"/>
    <mergeCell ref="J1097:J1098"/>
    <mergeCell ref="I1085:I1086"/>
    <mergeCell ref="J1085:J1086"/>
    <mergeCell ref="H1087:H1088"/>
    <mergeCell ref="I1087:I1088"/>
    <mergeCell ref="J1087:J1088"/>
    <mergeCell ref="I1091:I1092"/>
    <mergeCell ref="J1091:J1092"/>
    <mergeCell ref="H1089:H1090"/>
    <mergeCell ref="I1089:I1090"/>
    <mergeCell ref="J1089:J1090"/>
    <mergeCell ref="H1233:H1234"/>
    <mergeCell ref="G1233:G1234"/>
    <mergeCell ref="G1235:G1236"/>
    <mergeCell ref="G1237:G1238"/>
    <mergeCell ref="G1239:G1240"/>
    <mergeCell ref="G1085:G1086"/>
    <mergeCell ref="H1085:H1086"/>
    <mergeCell ref="G1087:G1088"/>
    <mergeCell ref="G1089:G1090"/>
    <mergeCell ref="G1091:G1092"/>
    <mergeCell ref="H1225:H1226"/>
    <mergeCell ref="H1227:H1228"/>
    <mergeCell ref="G1229:G1230"/>
    <mergeCell ref="H1229:H1230"/>
    <mergeCell ref="G1231:G1232"/>
    <mergeCell ref="H1231:H1232"/>
    <mergeCell ref="H1109:H1110"/>
    <mergeCell ref="G1111:G1112"/>
    <mergeCell ref="H1111:H1112"/>
    <mergeCell ref="H1113:H1114"/>
    <mergeCell ref="G1113:G1114"/>
    <mergeCell ref="G1115:G1116"/>
    <mergeCell ref="H1115:H1116"/>
    <mergeCell ref="F1129:F1132"/>
    <mergeCell ref="F1133:F1136"/>
    <mergeCell ref="F1137:F1140"/>
    <mergeCell ref="F1105:F1108"/>
    <mergeCell ref="F1109:F1112"/>
    <mergeCell ref="G1109:G1110"/>
    <mergeCell ref="G1117:G1118"/>
    <mergeCell ref="G1119:G1120"/>
    <mergeCell ref="G1121:G1122"/>
    <mergeCell ref="F1113:F1116"/>
    <mergeCell ref="J1115:J1116"/>
    <mergeCell ref="J1117:J1118"/>
    <mergeCell ref="F1117:F1120"/>
    <mergeCell ref="F1121:F1124"/>
    <mergeCell ref="F1125:F1128"/>
    <mergeCell ref="H1117:H1118"/>
    <mergeCell ref="H1119:H1120"/>
    <mergeCell ref="H1121:H1122"/>
    <mergeCell ref="F1197:F1200"/>
    <mergeCell ref="F1201:F1204"/>
    <mergeCell ref="F1205:F1208"/>
    <mergeCell ref="F1077:F1080"/>
    <mergeCell ref="F1081:F1084"/>
    <mergeCell ref="F1085:F1088"/>
    <mergeCell ref="F1089:F1092"/>
    <mergeCell ref="F1093:F1096"/>
    <mergeCell ref="F1097:F1100"/>
    <mergeCell ref="F1101:F1104"/>
    <mergeCell ref="F1173:F1176"/>
    <mergeCell ref="F1177:F1180"/>
    <mergeCell ref="F1181:F1184"/>
    <mergeCell ref="F1185:F1188"/>
    <mergeCell ref="F1189:F1192"/>
    <mergeCell ref="F1193:F1196"/>
    <mergeCell ref="F1297:F1300"/>
    <mergeCell ref="F1301:F1304"/>
    <mergeCell ref="F1141:F1144"/>
    <mergeCell ref="F1145:F1148"/>
    <mergeCell ref="F1149:F1152"/>
    <mergeCell ref="F1153:F1156"/>
    <mergeCell ref="F1157:F1160"/>
    <mergeCell ref="F1161:F1164"/>
    <mergeCell ref="F1165:F1168"/>
    <mergeCell ref="F1169:F1172"/>
    <mergeCell ref="F1245:F1248"/>
    <mergeCell ref="F1249:F1252"/>
    <mergeCell ref="F1253:F1256"/>
    <mergeCell ref="F1285:F1288"/>
    <mergeCell ref="F1289:F1292"/>
    <mergeCell ref="F1293:F1296"/>
    <mergeCell ref="H1287:H1288"/>
    <mergeCell ref="F1209:F1212"/>
    <mergeCell ref="F1213:F1216"/>
    <mergeCell ref="F1217:F1220"/>
    <mergeCell ref="F1221:F1224"/>
    <mergeCell ref="F1225:F1228"/>
    <mergeCell ref="F1229:F1232"/>
    <mergeCell ref="F1233:F1236"/>
    <mergeCell ref="F1237:F1240"/>
    <mergeCell ref="F1241:F1244"/>
    <mergeCell ref="H1277:H1278"/>
    <mergeCell ref="H1279:H1280"/>
    <mergeCell ref="H1281:H1282"/>
    <mergeCell ref="G1283:G1284"/>
    <mergeCell ref="H1283:H1284"/>
    <mergeCell ref="G1285:G1286"/>
    <mergeCell ref="H1285:H1286"/>
    <mergeCell ref="G1277:G1278"/>
    <mergeCell ref="G1279:G1280"/>
    <mergeCell ref="G1281:G1282"/>
    <mergeCell ref="H1265:H1266"/>
    <mergeCell ref="H1267:H1268"/>
    <mergeCell ref="H1269:H1270"/>
    <mergeCell ref="H1271:H1272"/>
    <mergeCell ref="H1273:H1274"/>
    <mergeCell ref="H1275:H1276"/>
    <mergeCell ref="H1157:H1158"/>
    <mergeCell ref="H1159:H1160"/>
    <mergeCell ref="H1143:H1144"/>
    <mergeCell ref="H1145:H1146"/>
    <mergeCell ref="H1147:H1148"/>
    <mergeCell ref="H1149:H1150"/>
    <mergeCell ref="H1151:H1152"/>
    <mergeCell ref="H1153:H1154"/>
    <mergeCell ref="H1155:H1156"/>
    <mergeCell ref="G1159:G1160"/>
    <mergeCell ref="F1305:F1308"/>
    <mergeCell ref="F1309:F1312"/>
    <mergeCell ref="F1257:F1260"/>
    <mergeCell ref="F1261:F1264"/>
    <mergeCell ref="F1265:F1268"/>
    <mergeCell ref="F1269:F1272"/>
    <mergeCell ref="F1273:F1276"/>
    <mergeCell ref="F1277:F1280"/>
    <mergeCell ref="F1281:F1284"/>
    <mergeCell ref="G1139:G1140"/>
    <mergeCell ref="H1129:H1130"/>
    <mergeCell ref="H1131:H1132"/>
    <mergeCell ref="H1133:H1134"/>
    <mergeCell ref="H1135:H1136"/>
    <mergeCell ref="H1137:H1138"/>
    <mergeCell ref="H1139:H1140"/>
    <mergeCell ref="I1215:I1216"/>
    <mergeCell ref="G1223:G1224"/>
    <mergeCell ref="G1225:G1226"/>
    <mergeCell ref="H1127:H1128"/>
    <mergeCell ref="G1127:G1128"/>
    <mergeCell ref="G1129:G1130"/>
    <mergeCell ref="G1131:G1132"/>
    <mergeCell ref="G1133:G1134"/>
    <mergeCell ref="G1135:G1136"/>
    <mergeCell ref="G1137:G1138"/>
    <mergeCell ref="H1239:H1240"/>
    <mergeCell ref="G1241:G1242"/>
    <mergeCell ref="H1241:H1242"/>
    <mergeCell ref="G1243:G1244"/>
    <mergeCell ref="H1243:H1244"/>
    <mergeCell ref="G1245:G1246"/>
    <mergeCell ref="H1245:H1246"/>
    <mergeCell ref="I1185:I1186"/>
    <mergeCell ref="I1217:I1218"/>
    <mergeCell ref="I1219:I1220"/>
    <mergeCell ref="I1221:I1222"/>
    <mergeCell ref="I1203:I1204"/>
    <mergeCell ref="I1205:I1206"/>
    <mergeCell ref="I1207:I1208"/>
    <mergeCell ref="I1209:I1210"/>
    <mergeCell ref="I1211:I1212"/>
    <mergeCell ref="I1213:I1214"/>
    <mergeCell ref="H1161:H1162"/>
    <mergeCell ref="G1163:G1164"/>
    <mergeCell ref="H1163:H1164"/>
    <mergeCell ref="I1255:I1256"/>
    <mergeCell ref="I1257:I1258"/>
    <mergeCell ref="I1175:I1176"/>
    <mergeCell ref="I1177:I1178"/>
    <mergeCell ref="I1179:I1180"/>
    <mergeCell ref="I1181:I1182"/>
    <mergeCell ref="I1183:I1184"/>
    <mergeCell ref="J1311:J1312"/>
    <mergeCell ref="J1285:J1286"/>
    <mergeCell ref="J1287:J1288"/>
    <mergeCell ref="J1289:J1290"/>
    <mergeCell ref="J1291:J1292"/>
    <mergeCell ref="J1293:J1294"/>
    <mergeCell ref="J1295:J1296"/>
    <mergeCell ref="J1297:J1298"/>
    <mergeCell ref="J1299:J1300"/>
    <mergeCell ref="J1301:J1302"/>
    <mergeCell ref="J1303:J1304"/>
    <mergeCell ref="J1305:J1306"/>
    <mergeCell ref="J1307:J1308"/>
    <mergeCell ref="J1309:J1310"/>
    <mergeCell ref="I1307:I1308"/>
    <mergeCell ref="I1309:I1310"/>
    <mergeCell ref="I1311:I1312"/>
    <mergeCell ref="I1283:I1284"/>
    <mergeCell ref="I1285:I1286"/>
    <mergeCell ref="I1287:I1288"/>
    <mergeCell ref="I1289:I1290"/>
    <mergeCell ref="I1291:I1292"/>
    <mergeCell ref="I1293:I1294"/>
    <mergeCell ref="I1295:I1296"/>
    <mergeCell ref="H1307:H1308"/>
    <mergeCell ref="H1309:H1310"/>
    <mergeCell ref="H1311:H1312"/>
    <mergeCell ref="H1289:H1290"/>
    <mergeCell ref="H1291:H1292"/>
    <mergeCell ref="H1293:H1294"/>
    <mergeCell ref="H1295:H1296"/>
    <mergeCell ref="H1297:H1298"/>
    <mergeCell ref="H1299:H1300"/>
    <mergeCell ref="H1301:H1302"/>
    <mergeCell ref="G1311:G1312"/>
    <mergeCell ref="G1287:G1288"/>
    <mergeCell ref="G1289:G1290"/>
    <mergeCell ref="G1291:G1292"/>
    <mergeCell ref="G1293:G1294"/>
    <mergeCell ref="G1295:G1296"/>
    <mergeCell ref="G1297:G1298"/>
    <mergeCell ref="G1299:G1300"/>
    <mergeCell ref="G1147:G1148"/>
    <mergeCell ref="G1149:G1150"/>
    <mergeCell ref="G1151:G1152"/>
    <mergeCell ref="G1153:G1154"/>
    <mergeCell ref="G1307:G1308"/>
    <mergeCell ref="G1309:G1310"/>
    <mergeCell ref="G1161:G1162"/>
    <mergeCell ref="G1247:G1248"/>
    <mergeCell ref="G1155:G1156"/>
    <mergeCell ref="G1157:G1158"/>
    <mergeCell ref="G1305:G1306"/>
    <mergeCell ref="I1279:I1280"/>
    <mergeCell ref="J1283:J1284"/>
    <mergeCell ref="I1297:I1298"/>
    <mergeCell ref="I1299:I1300"/>
    <mergeCell ref="I1301:I1302"/>
    <mergeCell ref="I1303:I1304"/>
    <mergeCell ref="I1305:I1306"/>
    <mergeCell ref="H1303:H1304"/>
    <mergeCell ref="H1305:H1306"/>
    <mergeCell ref="H715:H716"/>
    <mergeCell ref="J717:J718"/>
    <mergeCell ref="H717:H718"/>
    <mergeCell ref="I717:I718"/>
    <mergeCell ref="G1301:G1302"/>
    <mergeCell ref="G1303:G1304"/>
    <mergeCell ref="H1141:H1142"/>
    <mergeCell ref="G1141:G1142"/>
    <mergeCell ref="G1143:G1144"/>
    <mergeCell ref="G1145:G1146"/>
    <mergeCell ref="J729:J730"/>
    <mergeCell ref="H731:H732"/>
    <mergeCell ref="I731:I732"/>
    <mergeCell ref="J731:J732"/>
    <mergeCell ref="H733:H734"/>
    <mergeCell ref="F717:F720"/>
    <mergeCell ref="G719:G720"/>
    <mergeCell ref="H719:H720"/>
    <mergeCell ref="I719:I720"/>
    <mergeCell ref="J719:J720"/>
    <mergeCell ref="I715:I716"/>
    <mergeCell ref="J715:J716"/>
    <mergeCell ref="G711:G712"/>
    <mergeCell ref="H711:H712"/>
    <mergeCell ref="I711:I712"/>
    <mergeCell ref="J711:J712"/>
    <mergeCell ref="G713:G714"/>
    <mergeCell ref="H713:H714"/>
    <mergeCell ref="I713:I714"/>
    <mergeCell ref="J713:J714"/>
    <mergeCell ref="I709:I710"/>
    <mergeCell ref="J709:J710"/>
    <mergeCell ref="G705:G706"/>
    <mergeCell ref="G707:G708"/>
    <mergeCell ref="H707:H708"/>
    <mergeCell ref="I707:I708"/>
    <mergeCell ref="J707:J708"/>
    <mergeCell ref="G709:G710"/>
    <mergeCell ref="H709:H710"/>
    <mergeCell ref="I705:I706"/>
    <mergeCell ref="H747:H748"/>
    <mergeCell ref="I747:I748"/>
    <mergeCell ref="J747:J748"/>
    <mergeCell ref="G747:G748"/>
    <mergeCell ref="I741:I742"/>
    <mergeCell ref="J741:J742"/>
    <mergeCell ref="G743:G744"/>
    <mergeCell ref="H743:H744"/>
    <mergeCell ref="I727:I728"/>
    <mergeCell ref="J727:J728"/>
    <mergeCell ref="G745:G746"/>
    <mergeCell ref="H745:H746"/>
    <mergeCell ref="I745:I746"/>
    <mergeCell ref="J745:J746"/>
    <mergeCell ref="I733:I734"/>
    <mergeCell ref="J733:J734"/>
    <mergeCell ref="H729:H730"/>
    <mergeCell ref="I729:I730"/>
    <mergeCell ref="H721:H722"/>
    <mergeCell ref="I721:I722"/>
    <mergeCell ref="J721:J722"/>
    <mergeCell ref="I723:I724"/>
    <mergeCell ref="J723:J724"/>
    <mergeCell ref="H723:H724"/>
    <mergeCell ref="J743:J744"/>
    <mergeCell ref="F725:F728"/>
    <mergeCell ref="F729:F732"/>
    <mergeCell ref="F733:F736"/>
    <mergeCell ref="G739:G740"/>
    <mergeCell ref="G741:G742"/>
    <mergeCell ref="H741:H742"/>
    <mergeCell ref="H725:H726"/>
    <mergeCell ref="I725:I726"/>
    <mergeCell ref="J725:J726"/>
    <mergeCell ref="G737:G738"/>
    <mergeCell ref="H737:H738"/>
    <mergeCell ref="I737:I738"/>
    <mergeCell ref="J737:J738"/>
    <mergeCell ref="H739:H740"/>
    <mergeCell ref="I739:I740"/>
    <mergeCell ref="J739:J740"/>
    <mergeCell ref="G727:G728"/>
    <mergeCell ref="G729:G730"/>
    <mergeCell ref="G731:G732"/>
    <mergeCell ref="G733:G734"/>
    <mergeCell ref="G735:G736"/>
    <mergeCell ref="H735:H736"/>
    <mergeCell ref="H727:H728"/>
    <mergeCell ref="G715:G716"/>
    <mergeCell ref="G717:G718"/>
    <mergeCell ref="F721:F724"/>
    <mergeCell ref="G721:G722"/>
    <mergeCell ref="G723:G724"/>
    <mergeCell ref="G725:G726"/>
    <mergeCell ref="F713:F716"/>
    <mergeCell ref="G771:G772"/>
    <mergeCell ref="G773:G774"/>
    <mergeCell ref="H773:H774"/>
    <mergeCell ref="I773:I774"/>
    <mergeCell ref="G749:G750"/>
    <mergeCell ref="H749:H750"/>
    <mergeCell ref="I749:I750"/>
    <mergeCell ref="G751:G752"/>
    <mergeCell ref="H751:H752"/>
    <mergeCell ref="I751:I752"/>
    <mergeCell ref="F781:F784"/>
    <mergeCell ref="F785:F788"/>
    <mergeCell ref="H755:H756"/>
    <mergeCell ref="I755:I756"/>
    <mergeCell ref="I759:I760"/>
    <mergeCell ref="J759:J760"/>
    <mergeCell ref="G769:G770"/>
    <mergeCell ref="H769:H770"/>
    <mergeCell ref="I769:I770"/>
    <mergeCell ref="J769:J770"/>
    <mergeCell ref="F757:F760"/>
    <mergeCell ref="F761:F764"/>
    <mergeCell ref="F765:F768"/>
    <mergeCell ref="F769:F772"/>
    <mergeCell ref="F773:F776"/>
    <mergeCell ref="F777:F780"/>
    <mergeCell ref="F837:F840"/>
    <mergeCell ref="F841:F844"/>
    <mergeCell ref="F845:F848"/>
    <mergeCell ref="F849:F852"/>
    <mergeCell ref="F853:F856"/>
    <mergeCell ref="F737:F740"/>
    <mergeCell ref="F741:F744"/>
    <mergeCell ref="F745:F748"/>
    <mergeCell ref="F749:F752"/>
    <mergeCell ref="F753:F756"/>
    <mergeCell ref="F813:F816"/>
    <mergeCell ref="F817:F820"/>
    <mergeCell ref="F821:F824"/>
    <mergeCell ref="F825:F828"/>
    <mergeCell ref="F829:F832"/>
    <mergeCell ref="F833:F836"/>
    <mergeCell ref="F789:F792"/>
    <mergeCell ref="F793:F796"/>
    <mergeCell ref="F797:F800"/>
    <mergeCell ref="F801:F804"/>
    <mergeCell ref="F805:F808"/>
    <mergeCell ref="F809:F812"/>
    <mergeCell ref="G973:G974"/>
    <mergeCell ref="G975:G976"/>
    <mergeCell ref="G977:G978"/>
    <mergeCell ref="G979:G980"/>
    <mergeCell ref="F921:F924"/>
    <mergeCell ref="F925:F928"/>
    <mergeCell ref="F929:F932"/>
    <mergeCell ref="F933:F936"/>
    <mergeCell ref="F937:F940"/>
    <mergeCell ref="F941:F944"/>
    <mergeCell ref="F905:F908"/>
    <mergeCell ref="F909:F912"/>
    <mergeCell ref="F913:F916"/>
    <mergeCell ref="F917:F920"/>
    <mergeCell ref="I979:I980"/>
    <mergeCell ref="G963:G964"/>
    <mergeCell ref="G965:G966"/>
    <mergeCell ref="F969:F972"/>
    <mergeCell ref="G969:G970"/>
    <mergeCell ref="G971:G972"/>
    <mergeCell ref="F881:F884"/>
    <mergeCell ref="F885:F888"/>
    <mergeCell ref="F889:F892"/>
    <mergeCell ref="F893:F896"/>
    <mergeCell ref="F897:F900"/>
    <mergeCell ref="F901:F904"/>
    <mergeCell ref="F857:F860"/>
    <mergeCell ref="F861:F864"/>
    <mergeCell ref="F865:F868"/>
    <mergeCell ref="F869:F872"/>
    <mergeCell ref="F873:F876"/>
    <mergeCell ref="F877:F880"/>
    <mergeCell ref="H991:H992"/>
    <mergeCell ref="I997:I998"/>
    <mergeCell ref="J997:J998"/>
    <mergeCell ref="H993:H994"/>
    <mergeCell ref="I993:I994"/>
    <mergeCell ref="J993:J994"/>
    <mergeCell ref="H995:H996"/>
    <mergeCell ref="I995:I996"/>
    <mergeCell ref="J995:J996"/>
    <mergeCell ref="H997:H998"/>
    <mergeCell ref="H987:H988"/>
    <mergeCell ref="I987:I988"/>
    <mergeCell ref="J987:J988"/>
    <mergeCell ref="H989:H990"/>
    <mergeCell ref="I989:I990"/>
    <mergeCell ref="J989:J990"/>
    <mergeCell ref="I1009:I1010"/>
    <mergeCell ref="J1009:J1010"/>
    <mergeCell ref="H1005:H1006"/>
    <mergeCell ref="I1005:I1006"/>
    <mergeCell ref="J1005:J1006"/>
    <mergeCell ref="H1007:H1008"/>
    <mergeCell ref="I1007:I1008"/>
    <mergeCell ref="J1007:J1008"/>
    <mergeCell ref="H1009:H1010"/>
    <mergeCell ref="H1021:H1022"/>
    <mergeCell ref="I1003:I1004"/>
    <mergeCell ref="J1003:J1004"/>
    <mergeCell ref="H999:H1000"/>
    <mergeCell ref="I999:I1000"/>
    <mergeCell ref="J999:J1000"/>
    <mergeCell ref="H1001:H1002"/>
    <mergeCell ref="I1001:I1002"/>
    <mergeCell ref="J1001:J1002"/>
    <mergeCell ref="H1003:H1004"/>
    <mergeCell ref="H1017:H1018"/>
    <mergeCell ref="I1017:I1018"/>
    <mergeCell ref="J1017:J1018"/>
    <mergeCell ref="H1019:H1020"/>
    <mergeCell ref="I1019:I1020"/>
    <mergeCell ref="J1019:J1020"/>
    <mergeCell ref="H1033:H1034"/>
    <mergeCell ref="I1015:I1016"/>
    <mergeCell ref="J1015:J1016"/>
    <mergeCell ref="H1011:H1012"/>
    <mergeCell ref="I1011:I1012"/>
    <mergeCell ref="J1011:J1012"/>
    <mergeCell ref="H1013:H1014"/>
    <mergeCell ref="I1013:I1014"/>
    <mergeCell ref="J1013:J1014"/>
    <mergeCell ref="H1015:H1016"/>
    <mergeCell ref="H1029:H1030"/>
    <mergeCell ref="I1029:I1030"/>
    <mergeCell ref="J1029:J1030"/>
    <mergeCell ref="H1031:H1032"/>
    <mergeCell ref="I1031:I1032"/>
    <mergeCell ref="J1031:J1032"/>
    <mergeCell ref="G1021:G1022"/>
    <mergeCell ref="G1023:G1024"/>
    <mergeCell ref="G1025:G1026"/>
    <mergeCell ref="G1027:G1028"/>
    <mergeCell ref="G1029:G1030"/>
    <mergeCell ref="G1031:G1032"/>
    <mergeCell ref="H1023:H1024"/>
    <mergeCell ref="I1023:I1024"/>
    <mergeCell ref="J1023:J1024"/>
    <mergeCell ref="H1025:H1026"/>
    <mergeCell ref="I1025:I1026"/>
    <mergeCell ref="J1025:J1026"/>
    <mergeCell ref="H1047:H1048"/>
    <mergeCell ref="I1047:I1048"/>
    <mergeCell ref="J1047:J1048"/>
    <mergeCell ref="G1045:G1046"/>
    <mergeCell ref="G1047:G1048"/>
    <mergeCell ref="I1027:I1028"/>
    <mergeCell ref="J1027:J1028"/>
    <mergeCell ref="H1027:H1028"/>
    <mergeCell ref="G1033:G1034"/>
    <mergeCell ref="G1035:G1036"/>
    <mergeCell ref="I1045:I1046"/>
    <mergeCell ref="J1045:J1046"/>
    <mergeCell ref="H1041:H1042"/>
    <mergeCell ref="I1041:I1042"/>
    <mergeCell ref="J1041:J1042"/>
    <mergeCell ref="H1043:H1044"/>
    <mergeCell ref="I1043:I1044"/>
    <mergeCell ref="J1043:J1044"/>
    <mergeCell ref="H1045:H1046"/>
    <mergeCell ref="H1039:H1040"/>
    <mergeCell ref="F1041:F1044"/>
    <mergeCell ref="F1045:F1048"/>
    <mergeCell ref="F1029:F1032"/>
    <mergeCell ref="F1033:F1036"/>
    <mergeCell ref="F1037:F1040"/>
    <mergeCell ref="G1037:G1038"/>
    <mergeCell ref="G1039:G1040"/>
    <mergeCell ref="G1041:G1042"/>
    <mergeCell ref="G1043:G1044"/>
    <mergeCell ref="H1035:H1036"/>
    <mergeCell ref="I1035:I1036"/>
    <mergeCell ref="J1035:J1036"/>
    <mergeCell ref="H1037:H1038"/>
    <mergeCell ref="I1037:I1038"/>
    <mergeCell ref="J1037:J1038"/>
    <mergeCell ref="F997:F1000"/>
    <mergeCell ref="G991:G992"/>
    <mergeCell ref="G993:G994"/>
    <mergeCell ref="G995:G996"/>
    <mergeCell ref="G997:G998"/>
    <mergeCell ref="G999:G1000"/>
    <mergeCell ref="F973:F976"/>
    <mergeCell ref="F977:F980"/>
    <mergeCell ref="F981:F984"/>
    <mergeCell ref="F985:F988"/>
    <mergeCell ref="F989:F992"/>
    <mergeCell ref="F993:F996"/>
    <mergeCell ref="G1049:G1050"/>
    <mergeCell ref="G1051:G1052"/>
    <mergeCell ref="G1053:G1054"/>
    <mergeCell ref="G1055:G1056"/>
    <mergeCell ref="G981:G982"/>
    <mergeCell ref="G983:G984"/>
    <mergeCell ref="G985:G986"/>
    <mergeCell ref="G987:G988"/>
    <mergeCell ref="G989:G990"/>
    <mergeCell ref="G1019:G1020"/>
    <mergeCell ref="F1021:F1024"/>
    <mergeCell ref="F1025:F1028"/>
    <mergeCell ref="G1081:G1082"/>
    <mergeCell ref="F1073:F1076"/>
    <mergeCell ref="G1073:G1074"/>
    <mergeCell ref="G1075:G1076"/>
    <mergeCell ref="G1077:G1078"/>
    <mergeCell ref="G1079:G1080"/>
    <mergeCell ref="F1053:F1056"/>
    <mergeCell ref="F1049:F1052"/>
    <mergeCell ref="G1009:G1010"/>
    <mergeCell ref="G1011:G1012"/>
    <mergeCell ref="G1013:G1014"/>
    <mergeCell ref="G1015:G1016"/>
    <mergeCell ref="G1017:G1018"/>
    <mergeCell ref="F1001:F1004"/>
    <mergeCell ref="F1005:F1008"/>
    <mergeCell ref="F1009:F1012"/>
    <mergeCell ref="F1013:F1016"/>
    <mergeCell ref="F1017:F1020"/>
    <mergeCell ref="I967:I968"/>
    <mergeCell ref="J967:J968"/>
    <mergeCell ref="G1001:G1002"/>
    <mergeCell ref="G1003:G1004"/>
    <mergeCell ref="G1005:G1006"/>
    <mergeCell ref="G1007:G1008"/>
    <mergeCell ref="I983:I984"/>
    <mergeCell ref="J983:J984"/>
    <mergeCell ref="H985:H986"/>
    <mergeCell ref="I991:I992"/>
    <mergeCell ref="H961:H962"/>
    <mergeCell ref="H963:H964"/>
    <mergeCell ref="H965:H966"/>
    <mergeCell ref="F965:F968"/>
    <mergeCell ref="G967:G968"/>
    <mergeCell ref="H967:H968"/>
    <mergeCell ref="I965:I966"/>
    <mergeCell ref="J965:J966"/>
    <mergeCell ref="F949:F952"/>
    <mergeCell ref="F953:F956"/>
    <mergeCell ref="F957:F960"/>
    <mergeCell ref="G957:G958"/>
    <mergeCell ref="H957:H958"/>
    <mergeCell ref="I957:I958"/>
    <mergeCell ref="J957:J958"/>
    <mergeCell ref="G959:G960"/>
    <mergeCell ref="F945:F948"/>
    <mergeCell ref="I959:I960"/>
    <mergeCell ref="J959:J960"/>
    <mergeCell ref="I961:I962"/>
    <mergeCell ref="J961:J962"/>
    <mergeCell ref="I963:I964"/>
    <mergeCell ref="J963:J964"/>
    <mergeCell ref="H959:H960"/>
    <mergeCell ref="F961:F964"/>
    <mergeCell ref="G961:G962"/>
    <mergeCell ref="I1111:I1112"/>
    <mergeCell ref="J1111:J1112"/>
    <mergeCell ref="J1113:J1114"/>
    <mergeCell ref="I1113:I1114"/>
    <mergeCell ref="I1115:I1116"/>
    <mergeCell ref="I1117:I1118"/>
    <mergeCell ref="J1161:J1162"/>
    <mergeCell ref="J1145:J1146"/>
    <mergeCell ref="J1147:J1148"/>
    <mergeCell ref="J1149:J1150"/>
    <mergeCell ref="J1151:J1152"/>
    <mergeCell ref="J1153:J1154"/>
    <mergeCell ref="J1155:J1156"/>
    <mergeCell ref="J1157:J1158"/>
    <mergeCell ref="I973:I974"/>
    <mergeCell ref="J973:J974"/>
    <mergeCell ref="H1083:H1084"/>
    <mergeCell ref="I1083:I1084"/>
    <mergeCell ref="J1083:J1084"/>
    <mergeCell ref="J1159:J1160"/>
    <mergeCell ref="I1107:I1108"/>
    <mergeCell ref="J1107:J1108"/>
    <mergeCell ref="I1109:I1110"/>
    <mergeCell ref="J1109:J1110"/>
    <mergeCell ref="J1131:J1132"/>
    <mergeCell ref="J1133:J1134"/>
    <mergeCell ref="J1135:J1136"/>
    <mergeCell ref="J1137:J1138"/>
    <mergeCell ref="J1139:J1140"/>
    <mergeCell ref="J1141:J1142"/>
    <mergeCell ref="I1131:I1132"/>
    <mergeCell ref="I1133:I1134"/>
    <mergeCell ref="I1135:I1136"/>
    <mergeCell ref="I1137:I1138"/>
    <mergeCell ref="I1139:I1140"/>
    <mergeCell ref="I1141:I1142"/>
    <mergeCell ref="J1119:J1120"/>
    <mergeCell ref="I1121:I1122"/>
    <mergeCell ref="J1121:J1122"/>
    <mergeCell ref="I1123:I1124"/>
    <mergeCell ref="J1123:J1124"/>
    <mergeCell ref="I1125:I1126"/>
    <mergeCell ref="J1125:J1126"/>
    <mergeCell ref="I1119:I1120"/>
    <mergeCell ref="J1167:J1168"/>
    <mergeCell ref="I1169:I1170"/>
    <mergeCell ref="J1169:J1170"/>
    <mergeCell ref="I1171:I1172"/>
    <mergeCell ref="J1171:J1172"/>
    <mergeCell ref="J1173:J1174"/>
    <mergeCell ref="I1173:I1174"/>
    <mergeCell ref="J1219:J1220"/>
    <mergeCell ref="J1221:J1222"/>
    <mergeCell ref="J1203:J1204"/>
    <mergeCell ref="J1207:J1208"/>
    <mergeCell ref="J1209:J1210"/>
    <mergeCell ref="J1211:J1212"/>
    <mergeCell ref="J1213:J1214"/>
    <mergeCell ref="J1215:J1216"/>
    <mergeCell ref="J1217:J1218"/>
    <mergeCell ref="I1153:I1154"/>
    <mergeCell ref="I1155:I1156"/>
    <mergeCell ref="I1157:I1158"/>
    <mergeCell ref="I1159:I1160"/>
    <mergeCell ref="I1161:I1162"/>
    <mergeCell ref="I1163:I1164"/>
    <mergeCell ref="J1143:J1144"/>
    <mergeCell ref="I1143:I1144"/>
    <mergeCell ref="I1145:I1146"/>
    <mergeCell ref="I1147:I1148"/>
    <mergeCell ref="I1149:I1150"/>
    <mergeCell ref="I1151:I1152"/>
    <mergeCell ref="I1199:I1200"/>
    <mergeCell ref="I1201:I1202"/>
    <mergeCell ref="J1189:J1190"/>
    <mergeCell ref="J1191:J1192"/>
    <mergeCell ref="J1193:J1194"/>
    <mergeCell ref="J1195:J1196"/>
    <mergeCell ref="J1197:J1198"/>
    <mergeCell ref="J1199:J1200"/>
    <mergeCell ref="J1201:J1202"/>
    <mergeCell ref="J1187:J1188"/>
    <mergeCell ref="I1187:I1188"/>
    <mergeCell ref="I1191:I1192"/>
    <mergeCell ref="I1193:I1194"/>
    <mergeCell ref="I1195:I1196"/>
    <mergeCell ref="I1197:I1198"/>
    <mergeCell ref="H1185:H1186"/>
    <mergeCell ref="G1205:G1206"/>
    <mergeCell ref="G1207:G1208"/>
    <mergeCell ref="G1209:G1210"/>
    <mergeCell ref="J1175:J1176"/>
    <mergeCell ref="J1177:J1178"/>
    <mergeCell ref="J1179:J1180"/>
    <mergeCell ref="J1181:J1182"/>
    <mergeCell ref="J1183:J1184"/>
    <mergeCell ref="J1185:J1186"/>
    <mergeCell ref="H1173:H1174"/>
    <mergeCell ref="H1175:H1176"/>
    <mergeCell ref="H1177:H1178"/>
    <mergeCell ref="H1179:H1180"/>
    <mergeCell ref="H1181:H1182"/>
    <mergeCell ref="H1183:H1184"/>
    <mergeCell ref="G1173:G1174"/>
    <mergeCell ref="G1175:G1176"/>
    <mergeCell ref="G1177:G1178"/>
    <mergeCell ref="G1179:G1180"/>
    <mergeCell ref="G1181:G1182"/>
    <mergeCell ref="G1183:G1184"/>
    <mergeCell ref="H1221:H1222"/>
    <mergeCell ref="H1223:H1224"/>
    <mergeCell ref="G1165:G1166"/>
    <mergeCell ref="H1165:H1166"/>
    <mergeCell ref="G1167:G1168"/>
    <mergeCell ref="H1167:H1168"/>
    <mergeCell ref="G1169:G1170"/>
    <mergeCell ref="H1169:H1170"/>
    <mergeCell ref="H1171:H1172"/>
    <mergeCell ref="G1171:G1172"/>
    <mergeCell ref="G1199:G1200"/>
    <mergeCell ref="G1201:G1202"/>
    <mergeCell ref="G1203:G1204"/>
    <mergeCell ref="G1227:G1228"/>
    <mergeCell ref="G1213:G1214"/>
    <mergeCell ref="G1215:G1216"/>
    <mergeCell ref="G1217:G1218"/>
    <mergeCell ref="G1219:G1220"/>
    <mergeCell ref="G1221:G1222"/>
    <mergeCell ref="H1187:H1188"/>
    <mergeCell ref="H1189:H1190"/>
    <mergeCell ref="H1191:H1192"/>
    <mergeCell ref="H1193:H1194"/>
    <mergeCell ref="H1195:H1196"/>
    <mergeCell ref="H1197:H1198"/>
    <mergeCell ref="G1211:G1212"/>
    <mergeCell ref="H1235:H1236"/>
    <mergeCell ref="H1237:H1238"/>
    <mergeCell ref="G1185:G1186"/>
    <mergeCell ref="G1187:G1188"/>
    <mergeCell ref="G1189:G1190"/>
    <mergeCell ref="G1191:G1192"/>
    <mergeCell ref="G1193:G1194"/>
    <mergeCell ref="G1195:G1196"/>
    <mergeCell ref="G1197:G1198"/>
    <mergeCell ref="I529:I530"/>
    <mergeCell ref="I589:I590"/>
    <mergeCell ref="J589:J590"/>
    <mergeCell ref="I595:I596"/>
    <mergeCell ref="J595:J596"/>
    <mergeCell ref="J529:J530"/>
    <mergeCell ref="I565:I566"/>
    <mergeCell ref="I629:I630"/>
    <mergeCell ref="J629:J630"/>
    <mergeCell ref="I605:I606"/>
    <mergeCell ref="J605:J606"/>
    <mergeCell ref="H673:H674"/>
    <mergeCell ref="I673:I674"/>
    <mergeCell ref="I675:I676"/>
    <mergeCell ref="J675:J676"/>
    <mergeCell ref="H771:H772"/>
    <mergeCell ref="I771:I772"/>
    <mergeCell ref="J771:J772"/>
    <mergeCell ref="J749:J750"/>
    <mergeCell ref="I735:I736"/>
    <mergeCell ref="J735:J736"/>
    <mergeCell ref="I743:I744"/>
    <mergeCell ref="J751:J752"/>
    <mergeCell ref="I701:I702"/>
    <mergeCell ref="J701:J702"/>
    <mergeCell ref="J681:J682"/>
    <mergeCell ref="H797:H798"/>
    <mergeCell ref="I797:I798"/>
    <mergeCell ref="J797:J798"/>
    <mergeCell ref="H787:H788"/>
    <mergeCell ref="I787:I788"/>
    <mergeCell ref="I783:I784"/>
    <mergeCell ref="I843:I844"/>
    <mergeCell ref="J843:J844"/>
    <mergeCell ref="I841:I842"/>
    <mergeCell ref="J991:J992"/>
    <mergeCell ref="I969:I970"/>
    <mergeCell ref="J969:J970"/>
    <mergeCell ref="I971:I972"/>
    <mergeCell ref="J971:J972"/>
    <mergeCell ref="I1039:I1040"/>
    <mergeCell ref="J1039:J1040"/>
    <mergeCell ref="I1033:I1034"/>
    <mergeCell ref="J1033:J1034"/>
    <mergeCell ref="I1021:I1022"/>
    <mergeCell ref="J1021:J1022"/>
    <mergeCell ref="H969:H970"/>
    <mergeCell ref="H971:H972"/>
    <mergeCell ref="H973:H974"/>
    <mergeCell ref="I1127:I1128"/>
    <mergeCell ref="J1127:J1128"/>
    <mergeCell ref="J1129:J1130"/>
    <mergeCell ref="I1129:I1130"/>
    <mergeCell ref="H1199:H1200"/>
    <mergeCell ref="J1163:J1164"/>
    <mergeCell ref="I1165:I1166"/>
    <mergeCell ref="J1165:J1166"/>
    <mergeCell ref="I1167:I1168"/>
    <mergeCell ref="I475:I476"/>
    <mergeCell ref="J475:J476"/>
    <mergeCell ref="J477:J478"/>
    <mergeCell ref="J481:J482"/>
    <mergeCell ref="J483:J484"/>
    <mergeCell ref="J485:J486"/>
    <mergeCell ref="I473:I474"/>
    <mergeCell ref="J473:J474"/>
    <mergeCell ref="I525:I526"/>
    <mergeCell ref="J525:J526"/>
    <mergeCell ref="J487:J48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4.1</vt:lpstr>
      <vt:lpstr>4.2</vt:lpstr>
      <vt:lpstr>4.3</vt:lpstr>
      <vt:lpstr>4.4</vt:lpstr>
      <vt:lpstr>4.5</vt:lpstr>
      <vt:lpstr>4.6</vt:lpstr>
      <vt:lpstr>synthèse</vt:lpstr>
      <vt:lpstr>COSO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Jiankam</dc:creator>
  <cp:lastModifiedBy>Samuel Jiankam</cp:lastModifiedBy>
  <dcterms:created xsi:type="dcterms:W3CDTF">2025-04-15T06:56:52Z</dcterms:created>
  <dcterms:modified xsi:type="dcterms:W3CDTF">2025-04-16T21:59:24Z</dcterms:modified>
</cp:coreProperties>
</file>